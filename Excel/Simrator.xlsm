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4795" windowHeight="10080" tabRatio="673" firstSheet="11" activeTab="11"/>
  </bookViews>
  <sheets>
    <sheet name="二次関数" sheetId="1" r:id="rId1"/>
    <sheet name="演習問題1" sheetId="4" r:id="rId2"/>
    <sheet name="ウサギとキツネの生態系" sheetId="5" r:id="rId3"/>
    <sheet name="感染症の流行" sheetId="6" r:id="rId4"/>
    <sheet name="第7章" sheetId="7" r:id="rId5"/>
    <sheet name="第9章(セルオートマトン)" sheetId="8" r:id="rId6"/>
    <sheet name="第9章(計算用)" sheetId="9" r:id="rId7"/>
    <sheet name="第10章" sheetId="10" r:id="rId8"/>
    <sheet name="第10章（セル値の合計）" sheetId="11" r:id="rId9"/>
    <sheet name="第10章 (次ステップ)" sheetId="15" r:id="rId10"/>
    <sheet name="第10章（ルール表）" sheetId="14" r:id="rId11"/>
    <sheet name="第11章(森林)" sheetId="23" r:id="rId12"/>
    <sheet name="第11章(次ステップ)" sheetId="24" r:id="rId13"/>
    <sheet name="第11章(発火セル合計)" sheetId="25" r:id="rId14"/>
    <sheet name="第11章(ルール)" sheetId="26" r:id="rId15"/>
    <sheet name="第12章(媒質)" sheetId="16" r:id="rId16"/>
    <sheet name="第12章(クラスター)" sheetId="20" r:id="rId17"/>
    <sheet name="第12章(次ステップのクラスター)" sheetId="21" r:id="rId18"/>
    <sheet name="第12章(ルール)" sheetId="19" r:id="rId19"/>
    <sheet name="第12章(演習問題)" sheetId="22" r:id="rId20"/>
  </sheets>
  <calcPr calcId="145621" calcOnSave="0"/>
</workbook>
</file>

<file path=xl/calcChain.xml><?xml version="1.0" encoding="utf-8"?>
<calcChain xmlns="http://schemas.openxmlformats.org/spreadsheetml/2006/main">
  <c r="Q19" i="25" l="1"/>
  <c r="Q19" i="24" s="1"/>
  <c r="S20" i="25"/>
  <c r="S20" i="24" s="1"/>
  <c r="B3" i="25"/>
  <c r="B3" i="24" s="1"/>
  <c r="C3" i="25"/>
  <c r="C3" i="24" s="1"/>
  <c r="D3" i="25"/>
  <c r="D3" i="24" s="1"/>
  <c r="E3" i="25"/>
  <c r="E3" i="24" s="1"/>
  <c r="F3" i="25"/>
  <c r="F3" i="24" s="1"/>
  <c r="G3" i="25"/>
  <c r="G3" i="24" s="1"/>
  <c r="H3" i="25"/>
  <c r="H3" i="24" s="1"/>
  <c r="I3" i="25"/>
  <c r="I3" i="24" s="1"/>
  <c r="J3" i="25"/>
  <c r="J3" i="24" s="1"/>
  <c r="K3" i="25"/>
  <c r="K3" i="24" s="1"/>
  <c r="L3" i="25"/>
  <c r="L3" i="24" s="1"/>
  <c r="M3" i="25"/>
  <c r="M3" i="24" s="1"/>
  <c r="N3" i="25"/>
  <c r="N3" i="24" s="1"/>
  <c r="O3" i="25"/>
  <c r="O3" i="24" s="1"/>
  <c r="P3" i="25"/>
  <c r="P3" i="24" s="1"/>
  <c r="Q3" i="25"/>
  <c r="Q3" i="24" s="1"/>
  <c r="R3" i="25"/>
  <c r="R3" i="24" s="1"/>
  <c r="S3" i="25"/>
  <c r="S3" i="24" s="1"/>
  <c r="T3" i="25"/>
  <c r="T3" i="24" s="1"/>
  <c r="U3" i="25"/>
  <c r="U3" i="24" s="1"/>
  <c r="V3" i="25"/>
  <c r="V3" i="24" s="1"/>
  <c r="W3" i="25"/>
  <c r="W3" i="24" s="1"/>
  <c r="X3" i="25"/>
  <c r="X3" i="24" s="1"/>
  <c r="Y3" i="25"/>
  <c r="Y3" i="24" s="1"/>
  <c r="Z3" i="25"/>
  <c r="Z3" i="24" s="1"/>
  <c r="B4" i="25"/>
  <c r="B4" i="24" s="1"/>
  <c r="C4" i="25"/>
  <c r="C4" i="24" s="1"/>
  <c r="D4" i="25"/>
  <c r="D4" i="24" s="1"/>
  <c r="E4" i="25"/>
  <c r="E4" i="24" s="1"/>
  <c r="F4" i="25"/>
  <c r="F4" i="24" s="1"/>
  <c r="G4" i="25"/>
  <c r="G4" i="24" s="1"/>
  <c r="H4" i="25"/>
  <c r="H4" i="24" s="1"/>
  <c r="I4" i="25"/>
  <c r="I4" i="24" s="1"/>
  <c r="J4" i="25"/>
  <c r="J4" i="24" s="1"/>
  <c r="K4" i="25"/>
  <c r="K4" i="24" s="1"/>
  <c r="L4" i="25"/>
  <c r="L4" i="24" s="1"/>
  <c r="M4" i="25"/>
  <c r="M4" i="24" s="1"/>
  <c r="N4" i="25"/>
  <c r="N4" i="24" s="1"/>
  <c r="O4" i="25"/>
  <c r="O4" i="24" s="1"/>
  <c r="P4" i="25"/>
  <c r="P4" i="24" s="1"/>
  <c r="Q4" i="25"/>
  <c r="Q4" i="24" s="1"/>
  <c r="R4" i="25"/>
  <c r="R4" i="24" s="1"/>
  <c r="S4" i="25"/>
  <c r="S4" i="24" s="1"/>
  <c r="T4" i="25"/>
  <c r="T4" i="24" s="1"/>
  <c r="U4" i="25"/>
  <c r="U4" i="24" s="1"/>
  <c r="V4" i="25"/>
  <c r="V4" i="24" s="1"/>
  <c r="W4" i="25"/>
  <c r="W4" i="24" s="1"/>
  <c r="X4" i="25"/>
  <c r="X4" i="24" s="1"/>
  <c r="Y4" i="25"/>
  <c r="Y4" i="24" s="1"/>
  <c r="Z4" i="25"/>
  <c r="Z4" i="24" s="1"/>
  <c r="B5" i="25"/>
  <c r="B5" i="24" s="1"/>
  <c r="C5" i="25"/>
  <c r="C5" i="24" s="1"/>
  <c r="D5" i="25"/>
  <c r="D5" i="24" s="1"/>
  <c r="E5" i="25"/>
  <c r="E5" i="24" s="1"/>
  <c r="F5" i="25"/>
  <c r="F5" i="24" s="1"/>
  <c r="G5" i="25"/>
  <c r="G5" i="24" s="1"/>
  <c r="H5" i="25"/>
  <c r="H5" i="24" s="1"/>
  <c r="I5" i="25"/>
  <c r="I5" i="24" s="1"/>
  <c r="J5" i="25"/>
  <c r="J5" i="24" s="1"/>
  <c r="K5" i="25"/>
  <c r="K5" i="24" s="1"/>
  <c r="L5" i="25"/>
  <c r="L5" i="24" s="1"/>
  <c r="M5" i="25"/>
  <c r="M5" i="24" s="1"/>
  <c r="N5" i="25"/>
  <c r="N5" i="24" s="1"/>
  <c r="O5" i="25"/>
  <c r="O5" i="24" s="1"/>
  <c r="P5" i="25"/>
  <c r="P5" i="24" s="1"/>
  <c r="Q5" i="25"/>
  <c r="Q5" i="24" s="1"/>
  <c r="R5" i="25"/>
  <c r="R5" i="24" s="1"/>
  <c r="S5" i="25"/>
  <c r="S5" i="24" s="1"/>
  <c r="T5" i="25"/>
  <c r="T5" i="24" s="1"/>
  <c r="U5" i="25"/>
  <c r="U5" i="24" s="1"/>
  <c r="V5" i="25"/>
  <c r="V5" i="24" s="1"/>
  <c r="W5" i="25"/>
  <c r="W5" i="24" s="1"/>
  <c r="X5" i="25"/>
  <c r="X5" i="24" s="1"/>
  <c r="Y5" i="25"/>
  <c r="Y5" i="24" s="1"/>
  <c r="Z5" i="25"/>
  <c r="Z5" i="24" s="1"/>
  <c r="B6" i="25"/>
  <c r="B6" i="24" s="1"/>
  <c r="C6" i="25"/>
  <c r="C6" i="24" s="1"/>
  <c r="D6" i="25"/>
  <c r="D6" i="24" s="1"/>
  <c r="E6" i="25"/>
  <c r="E6" i="24" s="1"/>
  <c r="F6" i="25"/>
  <c r="F6" i="24" s="1"/>
  <c r="G6" i="25"/>
  <c r="G6" i="24" s="1"/>
  <c r="H6" i="25"/>
  <c r="H6" i="24" s="1"/>
  <c r="I6" i="25"/>
  <c r="I6" i="24" s="1"/>
  <c r="J6" i="25"/>
  <c r="J6" i="24" s="1"/>
  <c r="K6" i="25"/>
  <c r="K6" i="24" s="1"/>
  <c r="L6" i="25"/>
  <c r="L6" i="24" s="1"/>
  <c r="M6" i="25"/>
  <c r="M6" i="24" s="1"/>
  <c r="N6" i="25"/>
  <c r="N6" i="24" s="1"/>
  <c r="O6" i="25"/>
  <c r="O6" i="24" s="1"/>
  <c r="P6" i="25"/>
  <c r="P6" i="24" s="1"/>
  <c r="Q6" i="25"/>
  <c r="Q6" i="24" s="1"/>
  <c r="R6" i="25"/>
  <c r="R6" i="24" s="1"/>
  <c r="S6" i="25"/>
  <c r="S6" i="24" s="1"/>
  <c r="T6" i="25"/>
  <c r="T6" i="24" s="1"/>
  <c r="U6" i="25"/>
  <c r="U6" i="24" s="1"/>
  <c r="V6" i="25"/>
  <c r="V6" i="24" s="1"/>
  <c r="W6" i="25"/>
  <c r="W6" i="24" s="1"/>
  <c r="X6" i="25"/>
  <c r="X6" i="24" s="1"/>
  <c r="Y6" i="25"/>
  <c r="Y6" i="24" s="1"/>
  <c r="Z6" i="25"/>
  <c r="Z6" i="24" s="1"/>
  <c r="B7" i="25"/>
  <c r="B7" i="24" s="1"/>
  <c r="C7" i="25"/>
  <c r="C7" i="24" s="1"/>
  <c r="D7" i="25"/>
  <c r="D7" i="24" s="1"/>
  <c r="E7" i="25"/>
  <c r="E7" i="24" s="1"/>
  <c r="F7" i="25"/>
  <c r="F7" i="24" s="1"/>
  <c r="G7" i="25"/>
  <c r="G7" i="24" s="1"/>
  <c r="H7" i="25"/>
  <c r="H7" i="24" s="1"/>
  <c r="I7" i="25"/>
  <c r="I7" i="24" s="1"/>
  <c r="J7" i="25"/>
  <c r="J7" i="24" s="1"/>
  <c r="K7" i="25"/>
  <c r="K7" i="24" s="1"/>
  <c r="L7" i="25"/>
  <c r="L7" i="24" s="1"/>
  <c r="M7" i="25"/>
  <c r="M7" i="24" s="1"/>
  <c r="N7" i="25"/>
  <c r="N7" i="24" s="1"/>
  <c r="O7" i="25"/>
  <c r="O7" i="24" s="1"/>
  <c r="P7" i="25"/>
  <c r="P7" i="24" s="1"/>
  <c r="Q7" i="25"/>
  <c r="Q7" i="24" s="1"/>
  <c r="R7" i="25"/>
  <c r="R7" i="24" s="1"/>
  <c r="S7" i="25"/>
  <c r="S7" i="24" s="1"/>
  <c r="T7" i="25"/>
  <c r="T7" i="24" s="1"/>
  <c r="U7" i="25"/>
  <c r="U7" i="24" s="1"/>
  <c r="V7" i="25"/>
  <c r="V7" i="24" s="1"/>
  <c r="W7" i="25"/>
  <c r="W7" i="24" s="1"/>
  <c r="X7" i="25"/>
  <c r="X7" i="24" s="1"/>
  <c r="Y7" i="25"/>
  <c r="Y7" i="24" s="1"/>
  <c r="Z7" i="25"/>
  <c r="Z7" i="24" s="1"/>
  <c r="B8" i="25"/>
  <c r="B8" i="24" s="1"/>
  <c r="C8" i="25"/>
  <c r="C8" i="24" s="1"/>
  <c r="D8" i="25"/>
  <c r="D8" i="24" s="1"/>
  <c r="E8" i="25"/>
  <c r="E8" i="24" s="1"/>
  <c r="F8" i="25"/>
  <c r="F8" i="24" s="1"/>
  <c r="G8" i="25"/>
  <c r="G8" i="24" s="1"/>
  <c r="H8" i="25"/>
  <c r="H8" i="24" s="1"/>
  <c r="I8" i="25"/>
  <c r="I8" i="24" s="1"/>
  <c r="J8" i="25"/>
  <c r="J8" i="24" s="1"/>
  <c r="K8" i="25"/>
  <c r="K8" i="24" s="1"/>
  <c r="L8" i="25"/>
  <c r="L8" i="24" s="1"/>
  <c r="M8" i="25"/>
  <c r="M8" i="24" s="1"/>
  <c r="N8" i="25"/>
  <c r="N8" i="24" s="1"/>
  <c r="O8" i="25"/>
  <c r="O8" i="24" s="1"/>
  <c r="P8" i="25"/>
  <c r="P8" i="24" s="1"/>
  <c r="Q8" i="25"/>
  <c r="Q8" i="24" s="1"/>
  <c r="R8" i="25"/>
  <c r="R8" i="24" s="1"/>
  <c r="S8" i="25"/>
  <c r="S8" i="24" s="1"/>
  <c r="T8" i="25"/>
  <c r="T8" i="24" s="1"/>
  <c r="U8" i="25"/>
  <c r="U8" i="24" s="1"/>
  <c r="V8" i="25"/>
  <c r="V8" i="24" s="1"/>
  <c r="W8" i="25"/>
  <c r="W8" i="24" s="1"/>
  <c r="X8" i="25"/>
  <c r="X8" i="24" s="1"/>
  <c r="Y8" i="25"/>
  <c r="Y8" i="24" s="1"/>
  <c r="Z8" i="25"/>
  <c r="Z8" i="24" s="1"/>
  <c r="B9" i="25"/>
  <c r="B9" i="24" s="1"/>
  <c r="C9" i="25"/>
  <c r="C9" i="24" s="1"/>
  <c r="D9" i="25"/>
  <c r="D9" i="24" s="1"/>
  <c r="E9" i="25"/>
  <c r="E9" i="24" s="1"/>
  <c r="F9" i="25"/>
  <c r="F9" i="24" s="1"/>
  <c r="G9" i="25"/>
  <c r="G9" i="24" s="1"/>
  <c r="H9" i="25"/>
  <c r="H9" i="24" s="1"/>
  <c r="I9" i="25"/>
  <c r="I9" i="24" s="1"/>
  <c r="J9" i="25"/>
  <c r="J9" i="24" s="1"/>
  <c r="K9" i="25"/>
  <c r="K9" i="24" s="1"/>
  <c r="L9" i="25"/>
  <c r="L9" i="24" s="1"/>
  <c r="M9" i="25"/>
  <c r="M9" i="24" s="1"/>
  <c r="N9" i="25"/>
  <c r="N9" i="24" s="1"/>
  <c r="O9" i="25"/>
  <c r="O9" i="24" s="1"/>
  <c r="P9" i="25"/>
  <c r="P9" i="24" s="1"/>
  <c r="Q9" i="25"/>
  <c r="Q9" i="24" s="1"/>
  <c r="R9" i="25"/>
  <c r="R9" i="24" s="1"/>
  <c r="S9" i="25"/>
  <c r="S9" i="24" s="1"/>
  <c r="T9" i="25"/>
  <c r="T9" i="24" s="1"/>
  <c r="U9" i="25"/>
  <c r="U9" i="24" s="1"/>
  <c r="V9" i="25"/>
  <c r="V9" i="24" s="1"/>
  <c r="W9" i="25"/>
  <c r="W9" i="24" s="1"/>
  <c r="X9" i="25"/>
  <c r="X9" i="24" s="1"/>
  <c r="Y9" i="25"/>
  <c r="Y9" i="24" s="1"/>
  <c r="Z9" i="25"/>
  <c r="Z9" i="24" s="1"/>
  <c r="B10" i="25"/>
  <c r="B10" i="24" s="1"/>
  <c r="C10" i="25"/>
  <c r="C10" i="24" s="1"/>
  <c r="D10" i="25"/>
  <c r="D10" i="24" s="1"/>
  <c r="E10" i="25"/>
  <c r="E10" i="24" s="1"/>
  <c r="F10" i="25"/>
  <c r="F10" i="24" s="1"/>
  <c r="G10" i="25"/>
  <c r="G10" i="24" s="1"/>
  <c r="H10" i="25"/>
  <c r="H10" i="24" s="1"/>
  <c r="I10" i="25"/>
  <c r="I10" i="24" s="1"/>
  <c r="J10" i="25"/>
  <c r="J10" i="24" s="1"/>
  <c r="K10" i="25"/>
  <c r="K10" i="24" s="1"/>
  <c r="L10" i="25"/>
  <c r="L10" i="24" s="1"/>
  <c r="M10" i="25"/>
  <c r="M10" i="24" s="1"/>
  <c r="N10" i="25"/>
  <c r="N10" i="24" s="1"/>
  <c r="O10" i="25"/>
  <c r="O10" i="24" s="1"/>
  <c r="P10" i="25"/>
  <c r="P10" i="24" s="1"/>
  <c r="Q10" i="25"/>
  <c r="Q10" i="24" s="1"/>
  <c r="R10" i="25"/>
  <c r="R10" i="24" s="1"/>
  <c r="S10" i="25"/>
  <c r="S10" i="24" s="1"/>
  <c r="T10" i="25"/>
  <c r="T10" i="24" s="1"/>
  <c r="U10" i="25"/>
  <c r="U10" i="24" s="1"/>
  <c r="V10" i="25"/>
  <c r="V10" i="24" s="1"/>
  <c r="W10" i="25"/>
  <c r="W10" i="24" s="1"/>
  <c r="X10" i="25"/>
  <c r="X10" i="24" s="1"/>
  <c r="Y10" i="25"/>
  <c r="Y10" i="24" s="1"/>
  <c r="Z10" i="25"/>
  <c r="Z10" i="24" s="1"/>
  <c r="B11" i="25"/>
  <c r="B11" i="24" s="1"/>
  <c r="C11" i="25"/>
  <c r="C11" i="24" s="1"/>
  <c r="D11" i="25"/>
  <c r="D11" i="24" s="1"/>
  <c r="E11" i="25"/>
  <c r="E11" i="24" s="1"/>
  <c r="F11" i="25"/>
  <c r="F11" i="24" s="1"/>
  <c r="G11" i="25"/>
  <c r="G11" i="24" s="1"/>
  <c r="H11" i="25"/>
  <c r="H11" i="24" s="1"/>
  <c r="I11" i="25"/>
  <c r="I11" i="24" s="1"/>
  <c r="J11" i="25"/>
  <c r="J11" i="24" s="1"/>
  <c r="K11" i="25"/>
  <c r="K11" i="24" s="1"/>
  <c r="L11" i="25"/>
  <c r="L11" i="24" s="1"/>
  <c r="M11" i="25"/>
  <c r="M11" i="24" s="1"/>
  <c r="N11" i="25"/>
  <c r="N11" i="24" s="1"/>
  <c r="O11" i="25"/>
  <c r="O11" i="24" s="1"/>
  <c r="P11" i="25"/>
  <c r="P11" i="24" s="1"/>
  <c r="Q11" i="25"/>
  <c r="Q11" i="24" s="1"/>
  <c r="R11" i="25"/>
  <c r="R11" i="24" s="1"/>
  <c r="S11" i="25"/>
  <c r="S11" i="24" s="1"/>
  <c r="T11" i="25"/>
  <c r="T11" i="24" s="1"/>
  <c r="U11" i="25"/>
  <c r="U11" i="24" s="1"/>
  <c r="V11" i="25"/>
  <c r="V11" i="24" s="1"/>
  <c r="W11" i="25"/>
  <c r="W11" i="24" s="1"/>
  <c r="X11" i="25"/>
  <c r="X11" i="24" s="1"/>
  <c r="Y11" i="25"/>
  <c r="Y11" i="24" s="1"/>
  <c r="Z11" i="25"/>
  <c r="Z11" i="24" s="1"/>
  <c r="B12" i="25"/>
  <c r="B12" i="24" s="1"/>
  <c r="C12" i="25"/>
  <c r="C12" i="24" s="1"/>
  <c r="D12" i="25"/>
  <c r="D12" i="24" s="1"/>
  <c r="E12" i="25"/>
  <c r="E12" i="24" s="1"/>
  <c r="F12" i="25"/>
  <c r="F12" i="24" s="1"/>
  <c r="G12" i="25"/>
  <c r="G12" i="24" s="1"/>
  <c r="H12" i="25"/>
  <c r="H12" i="24" s="1"/>
  <c r="I12" i="25"/>
  <c r="I12" i="24" s="1"/>
  <c r="J12" i="25"/>
  <c r="J12" i="24" s="1"/>
  <c r="K12" i="25"/>
  <c r="K12" i="24" s="1"/>
  <c r="L12" i="25"/>
  <c r="L12" i="24" s="1"/>
  <c r="M12" i="25"/>
  <c r="M12" i="24" s="1"/>
  <c r="N12" i="25"/>
  <c r="N12" i="24" s="1"/>
  <c r="O12" i="25"/>
  <c r="O12" i="24" s="1"/>
  <c r="P12" i="25"/>
  <c r="P12" i="24" s="1"/>
  <c r="Q12" i="25"/>
  <c r="Q12" i="24" s="1"/>
  <c r="R12" i="25"/>
  <c r="R12" i="24" s="1"/>
  <c r="S12" i="25"/>
  <c r="S12" i="24" s="1"/>
  <c r="T12" i="25"/>
  <c r="T12" i="24" s="1"/>
  <c r="U12" i="25"/>
  <c r="U12" i="24" s="1"/>
  <c r="V12" i="25"/>
  <c r="V12" i="24" s="1"/>
  <c r="W12" i="25"/>
  <c r="W12" i="24" s="1"/>
  <c r="X12" i="25"/>
  <c r="X12" i="24" s="1"/>
  <c r="Y12" i="25"/>
  <c r="Y12" i="24" s="1"/>
  <c r="Z12" i="25"/>
  <c r="Z12" i="24" s="1"/>
  <c r="B13" i="25"/>
  <c r="B13" i="24" s="1"/>
  <c r="C13" i="25"/>
  <c r="C13" i="24" s="1"/>
  <c r="D13" i="25"/>
  <c r="D13" i="24" s="1"/>
  <c r="E13" i="25"/>
  <c r="E13" i="24" s="1"/>
  <c r="F13" i="25"/>
  <c r="F13" i="24" s="1"/>
  <c r="G13" i="25"/>
  <c r="G13" i="24" s="1"/>
  <c r="H13" i="25"/>
  <c r="H13" i="24" s="1"/>
  <c r="I13" i="25"/>
  <c r="I13" i="24" s="1"/>
  <c r="J13" i="25"/>
  <c r="J13" i="24" s="1"/>
  <c r="K13" i="25"/>
  <c r="K13" i="24" s="1"/>
  <c r="L13" i="25"/>
  <c r="L13" i="24" s="1"/>
  <c r="M13" i="25"/>
  <c r="M13" i="24" s="1"/>
  <c r="N13" i="25"/>
  <c r="N13" i="24" s="1"/>
  <c r="O13" i="25"/>
  <c r="O13" i="24" s="1"/>
  <c r="P13" i="25"/>
  <c r="P13" i="24" s="1"/>
  <c r="Q13" i="25"/>
  <c r="Q13" i="24" s="1"/>
  <c r="R13" i="25"/>
  <c r="R13" i="24" s="1"/>
  <c r="S13" i="25"/>
  <c r="S13" i="24" s="1"/>
  <c r="T13" i="25"/>
  <c r="T13" i="24" s="1"/>
  <c r="U13" i="25"/>
  <c r="U13" i="24" s="1"/>
  <c r="V13" i="25"/>
  <c r="V13" i="24" s="1"/>
  <c r="W13" i="25"/>
  <c r="W13" i="24" s="1"/>
  <c r="X13" i="25"/>
  <c r="X13" i="24" s="1"/>
  <c r="Y13" i="25"/>
  <c r="Y13" i="24" s="1"/>
  <c r="Z13" i="25"/>
  <c r="Z13" i="24" s="1"/>
  <c r="B14" i="25"/>
  <c r="B14" i="24" s="1"/>
  <c r="C14" i="25"/>
  <c r="C14" i="24" s="1"/>
  <c r="D14" i="25"/>
  <c r="D14" i="24" s="1"/>
  <c r="E14" i="25"/>
  <c r="E14" i="24" s="1"/>
  <c r="F14" i="25"/>
  <c r="F14" i="24" s="1"/>
  <c r="G14" i="25"/>
  <c r="G14" i="24" s="1"/>
  <c r="H14" i="25"/>
  <c r="H14" i="24" s="1"/>
  <c r="I14" i="25"/>
  <c r="I14" i="24" s="1"/>
  <c r="J14" i="25"/>
  <c r="J14" i="24" s="1"/>
  <c r="K14" i="25"/>
  <c r="K14" i="24" s="1"/>
  <c r="L14" i="25"/>
  <c r="L14" i="24" s="1"/>
  <c r="M14" i="25"/>
  <c r="M14" i="24" s="1"/>
  <c r="N14" i="25"/>
  <c r="N14" i="24" s="1"/>
  <c r="O14" i="25"/>
  <c r="O14" i="24" s="1"/>
  <c r="P14" i="25"/>
  <c r="P14" i="24" s="1"/>
  <c r="Q14" i="25"/>
  <c r="Q14" i="24" s="1"/>
  <c r="R14" i="25"/>
  <c r="R14" i="24" s="1"/>
  <c r="S14" i="25"/>
  <c r="S14" i="24" s="1"/>
  <c r="T14" i="25"/>
  <c r="T14" i="24" s="1"/>
  <c r="U14" i="25"/>
  <c r="U14" i="24" s="1"/>
  <c r="V14" i="25"/>
  <c r="V14" i="24" s="1"/>
  <c r="W14" i="25"/>
  <c r="W14" i="24" s="1"/>
  <c r="X14" i="25"/>
  <c r="X14" i="24" s="1"/>
  <c r="Y14" i="25"/>
  <c r="Y14" i="24" s="1"/>
  <c r="Z14" i="25"/>
  <c r="Z14" i="24" s="1"/>
  <c r="B15" i="25"/>
  <c r="B15" i="24" s="1"/>
  <c r="C15" i="25"/>
  <c r="C15" i="24" s="1"/>
  <c r="D15" i="25"/>
  <c r="D15" i="24" s="1"/>
  <c r="E15" i="25"/>
  <c r="E15" i="24" s="1"/>
  <c r="F15" i="25"/>
  <c r="F15" i="24" s="1"/>
  <c r="G15" i="25"/>
  <c r="G15" i="24" s="1"/>
  <c r="H15" i="25"/>
  <c r="H15" i="24" s="1"/>
  <c r="I15" i="25"/>
  <c r="I15" i="24" s="1"/>
  <c r="J15" i="25"/>
  <c r="J15" i="24" s="1"/>
  <c r="K15" i="25"/>
  <c r="K15" i="24" s="1"/>
  <c r="L15" i="25"/>
  <c r="L15" i="24" s="1"/>
  <c r="M15" i="25"/>
  <c r="M15" i="24" s="1"/>
  <c r="N15" i="25"/>
  <c r="N15" i="24" s="1"/>
  <c r="O15" i="25"/>
  <c r="O15" i="24" s="1"/>
  <c r="P15" i="25"/>
  <c r="P15" i="24" s="1"/>
  <c r="Q15" i="25"/>
  <c r="Q15" i="24" s="1"/>
  <c r="R15" i="25"/>
  <c r="R15" i="24" s="1"/>
  <c r="S15" i="25"/>
  <c r="S15" i="24" s="1"/>
  <c r="T15" i="25"/>
  <c r="T15" i="24" s="1"/>
  <c r="U15" i="25"/>
  <c r="U15" i="24" s="1"/>
  <c r="V15" i="25"/>
  <c r="V15" i="24" s="1"/>
  <c r="W15" i="25"/>
  <c r="W15" i="24" s="1"/>
  <c r="X15" i="25"/>
  <c r="X15" i="24" s="1"/>
  <c r="Y15" i="25"/>
  <c r="Y15" i="24" s="1"/>
  <c r="Z15" i="25"/>
  <c r="Z15" i="24" s="1"/>
  <c r="B16" i="25"/>
  <c r="B16" i="24" s="1"/>
  <c r="C16" i="25"/>
  <c r="C16" i="24" s="1"/>
  <c r="D16" i="25"/>
  <c r="D16" i="24" s="1"/>
  <c r="E16" i="25"/>
  <c r="E16" i="24" s="1"/>
  <c r="F16" i="25"/>
  <c r="F16" i="24" s="1"/>
  <c r="G16" i="25"/>
  <c r="G16" i="24" s="1"/>
  <c r="H16" i="25"/>
  <c r="H16" i="24" s="1"/>
  <c r="I16" i="25"/>
  <c r="I16" i="24" s="1"/>
  <c r="J16" i="25"/>
  <c r="J16" i="24" s="1"/>
  <c r="K16" i="25"/>
  <c r="K16" i="24" s="1"/>
  <c r="L16" i="25"/>
  <c r="L16" i="24" s="1"/>
  <c r="M16" i="25"/>
  <c r="M16" i="24" s="1"/>
  <c r="N16" i="25"/>
  <c r="N16" i="24" s="1"/>
  <c r="O16" i="25"/>
  <c r="O16" i="24" s="1"/>
  <c r="P16" i="25"/>
  <c r="P16" i="24" s="1"/>
  <c r="Q16" i="25"/>
  <c r="Q16" i="24" s="1"/>
  <c r="R16" i="25"/>
  <c r="R16" i="24" s="1"/>
  <c r="S16" i="25"/>
  <c r="S16" i="24" s="1"/>
  <c r="T16" i="25"/>
  <c r="T16" i="24" s="1"/>
  <c r="U16" i="25"/>
  <c r="U16" i="24" s="1"/>
  <c r="V16" i="25"/>
  <c r="V16" i="24" s="1"/>
  <c r="W16" i="25"/>
  <c r="W16" i="24" s="1"/>
  <c r="X16" i="25"/>
  <c r="X16" i="24" s="1"/>
  <c r="Y16" i="25"/>
  <c r="Y16" i="24" s="1"/>
  <c r="Z16" i="25"/>
  <c r="Z16" i="24" s="1"/>
  <c r="B17" i="25"/>
  <c r="B17" i="24" s="1"/>
  <c r="C17" i="25"/>
  <c r="C17" i="24" s="1"/>
  <c r="D17" i="25"/>
  <c r="D17" i="24" s="1"/>
  <c r="E17" i="25"/>
  <c r="E17" i="24" s="1"/>
  <c r="F17" i="25"/>
  <c r="F17" i="24" s="1"/>
  <c r="G17" i="25"/>
  <c r="G17" i="24" s="1"/>
  <c r="H17" i="25"/>
  <c r="H17" i="24" s="1"/>
  <c r="I17" i="25"/>
  <c r="I17" i="24" s="1"/>
  <c r="J17" i="25"/>
  <c r="J17" i="24" s="1"/>
  <c r="K17" i="25"/>
  <c r="K17" i="24" s="1"/>
  <c r="L17" i="25"/>
  <c r="L17" i="24" s="1"/>
  <c r="M17" i="25"/>
  <c r="M17" i="24" s="1"/>
  <c r="N17" i="25"/>
  <c r="N17" i="24" s="1"/>
  <c r="O17" i="25"/>
  <c r="O17" i="24" s="1"/>
  <c r="P17" i="25"/>
  <c r="P17" i="24" s="1"/>
  <c r="Q17" i="25"/>
  <c r="Q17" i="24" s="1"/>
  <c r="R17" i="25"/>
  <c r="R17" i="24" s="1"/>
  <c r="S17" i="25"/>
  <c r="S17" i="24" s="1"/>
  <c r="T17" i="25"/>
  <c r="T17" i="24" s="1"/>
  <c r="U17" i="25"/>
  <c r="U17" i="24" s="1"/>
  <c r="V17" i="25"/>
  <c r="V17" i="24" s="1"/>
  <c r="W17" i="25"/>
  <c r="W17" i="24" s="1"/>
  <c r="X17" i="25"/>
  <c r="X17" i="24" s="1"/>
  <c r="Y17" i="25"/>
  <c r="Y17" i="24" s="1"/>
  <c r="Z17" i="25"/>
  <c r="Z17" i="24" s="1"/>
  <c r="B18" i="25"/>
  <c r="B18" i="24" s="1"/>
  <c r="C18" i="25"/>
  <c r="C18" i="24" s="1"/>
  <c r="D18" i="25"/>
  <c r="D18" i="24" s="1"/>
  <c r="E18" i="25"/>
  <c r="E18" i="24" s="1"/>
  <c r="F18" i="25"/>
  <c r="F18" i="24" s="1"/>
  <c r="G18" i="25"/>
  <c r="G18" i="24" s="1"/>
  <c r="H18" i="25"/>
  <c r="H18" i="24" s="1"/>
  <c r="I18" i="25"/>
  <c r="I18" i="24" s="1"/>
  <c r="J18" i="25"/>
  <c r="J18" i="24" s="1"/>
  <c r="K18" i="25"/>
  <c r="K18" i="24" s="1"/>
  <c r="L18" i="25"/>
  <c r="L18" i="24" s="1"/>
  <c r="M18" i="25"/>
  <c r="M18" i="24" s="1"/>
  <c r="N18" i="25"/>
  <c r="N18" i="24" s="1"/>
  <c r="O18" i="25"/>
  <c r="O18" i="24" s="1"/>
  <c r="P18" i="25"/>
  <c r="P18" i="24" s="1"/>
  <c r="Q18" i="25"/>
  <c r="Q18" i="24" s="1"/>
  <c r="R18" i="25"/>
  <c r="R18" i="24" s="1"/>
  <c r="S18" i="25"/>
  <c r="S18" i="24" s="1"/>
  <c r="T18" i="25"/>
  <c r="T18" i="24" s="1"/>
  <c r="U18" i="25"/>
  <c r="U18" i="24" s="1"/>
  <c r="V18" i="25"/>
  <c r="V18" i="24" s="1"/>
  <c r="W18" i="25"/>
  <c r="W18" i="24" s="1"/>
  <c r="X18" i="25"/>
  <c r="X18" i="24" s="1"/>
  <c r="Y18" i="25"/>
  <c r="Y18" i="24" s="1"/>
  <c r="Z18" i="25"/>
  <c r="Z18" i="24" s="1"/>
  <c r="B19" i="25"/>
  <c r="B19" i="24" s="1"/>
  <c r="C19" i="25"/>
  <c r="C19" i="24" s="1"/>
  <c r="D19" i="25"/>
  <c r="D19" i="24" s="1"/>
  <c r="E19" i="25"/>
  <c r="E19" i="24" s="1"/>
  <c r="F19" i="25"/>
  <c r="F19" i="24" s="1"/>
  <c r="G19" i="25"/>
  <c r="G19" i="24" s="1"/>
  <c r="H19" i="25"/>
  <c r="H19" i="24" s="1"/>
  <c r="I19" i="25"/>
  <c r="I19" i="24" s="1"/>
  <c r="J19" i="25"/>
  <c r="J19" i="24" s="1"/>
  <c r="K19" i="25"/>
  <c r="K19" i="24" s="1"/>
  <c r="L19" i="25"/>
  <c r="L19" i="24" s="1"/>
  <c r="M19" i="25"/>
  <c r="M19" i="24" s="1"/>
  <c r="N19" i="25"/>
  <c r="N19" i="24" s="1"/>
  <c r="O19" i="25"/>
  <c r="O19" i="24" s="1"/>
  <c r="P19" i="25"/>
  <c r="P19" i="24" s="1"/>
  <c r="R19" i="25"/>
  <c r="R19" i="24" s="1"/>
  <c r="S19" i="25"/>
  <c r="S19" i="24" s="1"/>
  <c r="T19" i="25"/>
  <c r="T19" i="24" s="1"/>
  <c r="U19" i="25"/>
  <c r="U19" i="24" s="1"/>
  <c r="V19" i="25"/>
  <c r="V19" i="24" s="1"/>
  <c r="W19" i="25"/>
  <c r="W19" i="24" s="1"/>
  <c r="X19" i="25"/>
  <c r="X19" i="24" s="1"/>
  <c r="Y19" i="25"/>
  <c r="Y19" i="24" s="1"/>
  <c r="Z19" i="25"/>
  <c r="Z19" i="24" s="1"/>
  <c r="B20" i="25"/>
  <c r="B20" i="24" s="1"/>
  <c r="C20" i="25"/>
  <c r="C20" i="24" s="1"/>
  <c r="D20" i="25"/>
  <c r="D20" i="24" s="1"/>
  <c r="E20" i="25"/>
  <c r="E20" i="24" s="1"/>
  <c r="F20" i="25"/>
  <c r="F20" i="24" s="1"/>
  <c r="G20" i="25"/>
  <c r="G20" i="24" s="1"/>
  <c r="H20" i="25"/>
  <c r="H20" i="24" s="1"/>
  <c r="I20" i="25"/>
  <c r="I20" i="24" s="1"/>
  <c r="J20" i="25"/>
  <c r="J20" i="24" s="1"/>
  <c r="K20" i="25"/>
  <c r="K20" i="24" s="1"/>
  <c r="L20" i="25"/>
  <c r="L20" i="24" s="1"/>
  <c r="M20" i="25"/>
  <c r="M20" i="24" s="1"/>
  <c r="N20" i="25"/>
  <c r="N20" i="24" s="1"/>
  <c r="O20" i="25"/>
  <c r="O20" i="24" s="1"/>
  <c r="P20" i="25"/>
  <c r="P20" i="24" s="1"/>
  <c r="Q20" i="25"/>
  <c r="Q20" i="24" s="1"/>
  <c r="R20" i="25"/>
  <c r="R20" i="24" s="1"/>
  <c r="T20" i="25"/>
  <c r="T20" i="24" s="1"/>
  <c r="U20" i="25"/>
  <c r="U20" i="24" s="1"/>
  <c r="V20" i="25"/>
  <c r="V20" i="24" s="1"/>
  <c r="W20" i="25"/>
  <c r="W20" i="24" s="1"/>
  <c r="X20" i="25"/>
  <c r="X20" i="24" s="1"/>
  <c r="Y20" i="25"/>
  <c r="Y20" i="24" s="1"/>
  <c r="Z20" i="25"/>
  <c r="Z20" i="24" s="1"/>
  <c r="B21" i="25"/>
  <c r="B21" i="24" s="1"/>
  <c r="C21" i="25"/>
  <c r="C21" i="24" s="1"/>
  <c r="D21" i="25"/>
  <c r="D21" i="24" s="1"/>
  <c r="E21" i="25"/>
  <c r="E21" i="24" s="1"/>
  <c r="F21" i="25"/>
  <c r="F21" i="24" s="1"/>
  <c r="G21" i="25"/>
  <c r="G21" i="24" s="1"/>
  <c r="H21" i="25"/>
  <c r="H21" i="24" s="1"/>
  <c r="I21" i="25"/>
  <c r="I21" i="24" s="1"/>
  <c r="J21" i="25"/>
  <c r="J21" i="24" s="1"/>
  <c r="K21" i="25"/>
  <c r="K21" i="24" s="1"/>
  <c r="L21" i="25"/>
  <c r="L21" i="24" s="1"/>
  <c r="M21" i="25"/>
  <c r="M21" i="24" s="1"/>
  <c r="N21" i="25"/>
  <c r="N21" i="24" s="1"/>
  <c r="O21" i="25"/>
  <c r="O21" i="24" s="1"/>
  <c r="P21" i="25"/>
  <c r="P21" i="24" s="1"/>
  <c r="Q21" i="25"/>
  <c r="Q21" i="24" s="1"/>
  <c r="R21" i="25"/>
  <c r="R21" i="24" s="1"/>
  <c r="S21" i="25"/>
  <c r="S21" i="24" s="1"/>
  <c r="T21" i="25"/>
  <c r="T21" i="24" s="1"/>
  <c r="U21" i="25"/>
  <c r="U21" i="24" s="1"/>
  <c r="V21" i="25"/>
  <c r="V21" i="24" s="1"/>
  <c r="W21" i="25"/>
  <c r="W21" i="24" s="1"/>
  <c r="X21" i="25"/>
  <c r="X21" i="24" s="1"/>
  <c r="Y21" i="25"/>
  <c r="Y21" i="24" s="1"/>
  <c r="Z21" i="25"/>
  <c r="Z21" i="24" s="1"/>
  <c r="B22" i="25"/>
  <c r="B22" i="24" s="1"/>
  <c r="C22" i="25"/>
  <c r="C22" i="24" s="1"/>
  <c r="D22" i="25"/>
  <c r="D22" i="24" s="1"/>
  <c r="E22" i="25"/>
  <c r="E22" i="24" s="1"/>
  <c r="F22" i="25"/>
  <c r="F22" i="24" s="1"/>
  <c r="G22" i="25"/>
  <c r="G22" i="24" s="1"/>
  <c r="H22" i="25"/>
  <c r="H22" i="24" s="1"/>
  <c r="I22" i="25"/>
  <c r="I22" i="24" s="1"/>
  <c r="J22" i="25"/>
  <c r="J22" i="24" s="1"/>
  <c r="K22" i="25"/>
  <c r="K22" i="24" s="1"/>
  <c r="L22" i="25"/>
  <c r="L22" i="24" s="1"/>
  <c r="M22" i="25"/>
  <c r="M22" i="24" s="1"/>
  <c r="N22" i="25"/>
  <c r="N22" i="24" s="1"/>
  <c r="O22" i="25"/>
  <c r="O22" i="24" s="1"/>
  <c r="P22" i="25"/>
  <c r="P22" i="24" s="1"/>
  <c r="Q22" i="25"/>
  <c r="Q22" i="24" s="1"/>
  <c r="R22" i="25"/>
  <c r="R22" i="24" s="1"/>
  <c r="S22" i="25"/>
  <c r="S22" i="24" s="1"/>
  <c r="T22" i="25"/>
  <c r="T22" i="24" s="1"/>
  <c r="U22" i="25"/>
  <c r="U22" i="24" s="1"/>
  <c r="V22" i="25"/>
  <c r="V22" i="24" s="1"/>
  <c r="W22" i="25"/>
  <c r="W22" i="24" s="1"/>
  <c r="X22" i="25"/>
  <c r="X22" i="24" s="1"/>
  <c r="Y22" i="25"/>
  <c r="Y22" i="24" s="1"/>
  <c r="Z22" i="25"/>
  <c r="Z22" i="24" s="1"/>
  <c r="B23" i="25"/>
  <c r="B23" i="24" s="1"/>
  <c r="C23" i="25"/>
  <c r="C23" i="24" s="1"/>
  <c r="D23" i="25"/>
  <c r="D23" i="24" s="1"/>
  <c r="E23" i="25"/>
  <c r="E23" i="24" s="1"/>
  <c r="F23" i="25"/>
  <c r="F23" i="24" s="1"/>
  <c r="G23" i="25"/>
  <c r="G23" i="24" s="1"/>
  <c r="H23" i="25"/>
  <c r="H23" i="24" s="1"/>
  <c r="I23" i="25"/>
  <c r="I23" i="24" s="1"/>
  <c r="J23" i="25"/>
  <c r="J23" i="24" s="1"/>
  <c r="K23" i="25"/>
  <c r="K23" i="24" s="1"/>
  <c r="L23" i="25"/>
  <c r="L23" i="24" s="1"/>
  <c r="M23" i="25"/>
  <c r="M23" i="24" s="1"/>
  <c r="N23" i="25"/>
  <c r="N23" i="24" s="1"/>
  <c r="O23" i="25"/>
  <c r="O23" i="24" s="1"/>
  <c r="P23" i="25"/>
  <c r="P23" i="24" s="1"/>
  <c r="Q23" i="25"/>
  <c r="Q23" i="24" s="1"/>
  <c r="R23" i="25"/>
  <c r="R23" i="24" s="1"/>
  <c r="S23" i="25"/>
  <c r="S23" i="24" s="1"/>
  <c r="T23" i="25"/>
  <c r="T23" i="24" s="1"/>
  <c r="U23" i="25"/>
  <c r="U23" i="24" s="1"/>
  <c r="V23" i="25"/>
  <c r="V23" i="24" s="1"/>
  <c r="W23" i="25"/>
  <c r="W23" i="24" s="1"/>
  <c r="X23" i="25"/>
  <c r="X23" i="24" s="1"/>
  <c r="Y23" i="25"/>
  <c r="Y23" i="24" s="1"/>
  <c r="Z23" i="25"/>
  <c r="Z23" i="24" s="1"/>
  <c r="B24" i="25"/>
  <c r="B24" i="24" s="1"/>
  <c r="C24" i="25"/>
  <c r="C24" i="24" s="1"/>
  <c r="D24" i="25"/>
  <c r="D24" i="24" s="1"/>
  <c r="E24" i="25"/>
  <c r="E24" i="24" s="1"/>
  <c r="F24" i="25"/>
  <c r="F24" i="24" s="1"/>
  <c r="G24" i="25"/>
  <c r="G24" i="24" s="1"/>
  <c r="H24" i="25"/>
  <c r="H24" i="24" s="1"/>
  <c r="I24" i="25"/>
  <c r="I24" i="24" s="1"/>
  <c r="J24" i="25"/>
  <c r="J24" i="24" s="1"/>
  <c r="K24" i="25"/>
  <c r="K24" i="24" s="1"/>
  <c r="L24" i="25"/>
  <c r="L24" i="24" s="1"/>
  <c r="M24" i="25"/>
  <c r="M24" i="24" s="1"/>
  <c r="N24" i="25"/>
  <c r="N24" i="24" s="1"/>
  <c r="O24" i="25"/>
  <c r="O24" i="24" s="1"/>
  <c r="P24" i="25"/>
  <c r="P24" i="24" s="1"/>
  <c r="Q24" i="25"/>
  <c r="Q24" i="24" s="1"/>
  <c r="R24" i="25"/>
  <c r="R24" i="24" s="1"/>
  <c r="S24" i="25"/>
  <c r="S24" i="24" s="1"/>
  <c r="T24" i="25"/>
  <c r="T24" i="24" s="1"/>
  <c r="U24" i="25"/>
  <c r="U24" i="24" s="1"/>
  <c r="V24" i="25"/>
  <c r="V24" i="24" s="1"/>
  <c r="W24" i="25"/>
  <c r="W24" i="24" s="1"/>
  <c r="X24" i="25"/>
  <c r="X24" i="24" s="1"/>
  <c r="Y24" i="25"/>
  <c r="Y24" i="24" s="1"/>
  <c r="Z24" i="25"/>
  <c r="Z24" i="24" s="1"/>
  <c r="B25" i="25"/>
  <c r="B25" i="24" s="1"/>
  <c r="C25" i="25"/>
  <c r="C25" i="24" s="1"/>
  <c r="D25" i="25"/>
  <c r="D25" i="24" s="1"/>
  <c r="E25" i="25"/>
  <c r="E25" i="24" s="1"/>
  <c r="F25" i="25"/>
  <c r="F25" i="24" s="1"/>
  <c r="G25" i="25"/>
  <c r="G25" i="24" s="1"/>
  <c r="H25" i="25"/>
  <c r="H25" i="24" s="1"/>
  <c r="I25" i="25"/>
  <c r="I25" i="24" s="1"/>
  <c r="J25" i="25"/>
  <c r="J25" i="24" s="1"/>
  <c r="K25" i="25"/>
  <c r="K25" i="24" s="1"/>
  <c r="L25" i="25"/>
  <c r="L25" i="24" s="1"/>
  <c r="M25" i="25"/>
  <c r="M25" i="24" s="1"/>
  <c r="N25" i="25"/>
  <c r="N25" i="24" s="1"/>
  <c r="O25" i="25"/>
  <c r="O25" i="24" s="1"/>
  <c r="P25" i="25"/>
  <c r="P25" i="24" s="1"/>
  <c r="Q25" i="25"/>
  <c r="Q25" i="24" s="1"/>
  <c r="R25" i="25"/>
  <c r="R25" i="24" s="1"/>
  <c r="S25" i="25"/>
  <c r="S25" i="24" s="1"/>
  <c r="T25" i="25"/>
  <c r="T25" i="24" s="1"/>
  <c r="U25" i="25"/>
  <c r="U25" i="24" s="1"/>
  <c r="V25" i="25"/>
  <c r="V25" i="24" s="1"/>
  <c r="W25" i="25"/>
  <c r="W25" i="24" s="1"/>
  <c r="X25" i="25"/>
  <c r="X25" i="24" s="1"/>
  <c r="Y25" i="25"/>
  <c r="Y25" i="24" s="1"/>
  <c r="Z25" i="25"/>
  <c r="Z25" i="24" s="1"/>
  <c r="B26" i="25"/>
  <c r="B26" i="24" s="1"/>
  <c r="C26" i="25"/>
  <c r="C26" i="24" s="1"/>
  <c r="D26" i="25"/>
  <c r="D26" i="24" s="1"/>
  <c r="E26" i="25"/>
  <c r="E26" i="24" s="1"/>
  <c r="F26" i="25"/>
  <c r="F26" i="24" s="1"/>
  <c r="G26" i="25"/>
  <c r="G26" i="24" s="1"/>
  <c r="H26" i="25"/>
  <c r="H26" i="24" s="1"/>
  <c r="I26" i="25"/>
  <c r="I26" i="24" s="1"/>
  <c r="J26" i="25"/>
  <c r="J26" i="24" s="1"/>
  <c r="K26" i="25"/>
  <c r="K26" i="24" s="1"/>
  <c r="L26" i="25"/>
  <c r="L26" i="24" s="1"/>
  <c r="M26" i="25"/>
  <c r="M26" i="24" s="1"/>
  <c r="N26" i="25"/>
  <c r="N26" i="24" s="1"/>
  <c r="O26" i="25"/>
  <c r="O26" i="24" s="1"/>
  <c r="P26" i="25"/>
  <c r="P26" i="24" s="1"/>
  <c r="Q26" i="25"/>
  <c r="Q26" i="24" s="1"/>
  <c r="R26" i="25"/>
  <c r="R26" i="24" s="1"/>
  <c r="S26" i="25"/>
  <c r="S26" i="24" s="1"/>
  <c r="T26" i="25"/>
  <c r="T26" i="24" s="1"/>
  <c r="U26" i="25"/>
  <c r="U26" i="24" s="1"/>
  <c r="V26" i="25"/>
  <c r="V26" i="24" s="1"/>
  <c r="W26" i="25"/>
  <c r="W26" i="24" s="1"/>
  <c r="X26" i="25"/>
  <c r="X26" i="24" s="1"/>
  <c r="Y26" i="25"/>
  <c r="Y26" i="24" s="1"/>
  <c r="Z26" i="25"/>
  <c r="Z26" i="24" s="1"/>
  <c r="C2" i="25"/>
  <c r="C2" i="24" s="1"/>
  <c r="D2" i="25"/>
  <c r="D2" i="24" s="1"/>
  <c r="E2" i="25"/>
  <c r="E2" i="24" s="1"/>
  <c r="F2" i="25"/>
  <c r="F2" i="24" s="1"/>
  <c r="G2" i="25"/>
  <c r="G2" i="24" s="1"/>
  <c r="H2" i="25"/>
  <c r="H2" i="24" s="1"/>
  <c r="I2" i="25"/>
  <c r="I2" i="24" s="1"/>
  <c r="J2" i="25"/>
  <c r="J2" i="24" s="1"/>
  <c r="K2" i="25"/>
  <c r="K2" i="24" s="1"/>
  <c r="L2" i="25"/>
  <c r="L2" i="24" s="1"/>
  <c r="M2" i="25"/>
  <c r="M2" i="24" s="1"/>
  <c r="N2" i="25"/>
  <c r="N2" i="24" s="1"/>
  <c r="O2" i="25"/>
  <c r="O2" i="24" s="1"/>
  <c r="P2" i="25"/>
  <c r="P2" i="24" s="1"/>
  <c r="Q2" i="25"/>
  <c r="Q2" i="24" s="1"/>
  <c r="R2" i="25"/>
  <c r="R2" i="24" s="1"/>
  <c r="S2" i="25"/>
  <c r="S2" i="24" s="1"/>
  <c r="T2" i="25"/>
  <c r="T2" i="24" s="1"/>
  <c r="U2" i="25"/>
  <c r="U2" i="24" s="1"/>
  <c r="V2" i="25"/>
  <c r="V2" i="24" s="1"/>
  <c r="W2" i="25"/>
  <c r="W2" i="24" s="1"/>
  <c r="X2" i="25"/>
  <c r="X2" i="24" s="1"/>
  <c r="Y2" i="25"/>
  <c r="Y2" i="24" s="1"/>
  <c r="Z2" i="25"/>
  <c r="Z2" i="24" s="1"/>
  <c r="B2" i="25"/>
  <c r="B2" i="24" s="1"/>
  <c r="W14" i="22" l="1"/>
  <c r="W13" i="22"/>
  <c r="W12" i="22"/>
  <c r="W11" i="22"/>
  <c r="W10" i="22"/>
  <c r="W9" i="22"/>
  <c r="W8" i="22"/>
  <c r="W5" i="22"/>
  <c r="W6" i="22"/>
  <c r="W7" i="22"/>
  <c r="W4" i="22" l="1"/>
  <c r="W3" i="22"/>
  <c r="L12" i="21" l="1"/>
  <c r="B3" i="16"/>
  <c r="B3" i="21" s="1"/>
  <c r="C3" i="16"/>
  <c r="C3" i="21" s="1"/>
  <c r="D3" i="16"/>
  <c r="D3" i="21" s="1"/>
  <c r="E3" i="16"/>
  <c r="E3" i="21" s="1"/>
  <c r="F3" i="16"/>
  <c r="F3" i="21" s="1"/>
  <c r="G3" i="16"/>
  <c r="G3" i="21" s="1"/>
  <c r="H3" i="16"/>
  <c r="H3" i="21" s="1"/>
  <c r="I3" i="16"/>
  <c r="I3" i="21" s="1"/>
  <c r="J3" i="16"/>
  <c r="J3" i="21" s="1"/>
  <c r="K3" i="16"/>
  <c r="K3" i="21" s="1"/>
  <c r="L3" i="16"/>
  <c r="L3" i="21" s="1"/>
  <c r="M3" i="16"/>
  <c r="M3" i="21" s="1"/>
  <c r="N3" i="16"/>
  <c r="N3" i="21" s="1"/>
  <c r="O3" i="16"/>
  <c r="O3" i="21" s="1"/>
  <c r="P3" i="16"/>
  <c r="P3" i="21" s="1"/>
  <c r="Q3" i="16"/>
  <c r="Q3" i="21" s="1"/>
  <c r="R3" i="16"/>
  <c r="R3" i="21" s="1"/>
  <c r="S3" i="16"/>
  <c r="S3" i="21" s="1"/>
  <c r="T3" i="16"/>
  <c r="T3" i="21" s="1"/>
  <c r="U3" i="16"/>
  <c r="U3" i="21" s="1"/>
  <c r="V3" i="16"/>
  <c r="V3" i="21" s="1"/>
  <c r="B4" i="16"/>
  <c r="B4" i="21" s="1"/>
  <c r="C4" i="16"/>
  <c r="C4" i="21" s="1"/>
  <c r="D4" i="16"/>
  <c r="D4" i="21" s="1"/>
  <c r="E4" i="16"/>
  <c r="E4" i="21" s="1"/>
  <c r="F4" i="16"/>
  <c r="F4" i="21" s="1"/>
  <c r="G4" i="16"/>
  <c r="G4" i="21" s="1"/>
  <c r="H4" i="16"/>
  <c r="H4" i="21" s="1"/>
  <c r="I4" i="16"/>
  <c r="I4" i="21" s="1"/>
  <c r="J4" i="16"/>
  <c r="J4" i="21" s="1"/>
  <c r="K4" i="16"/>
  <c r="K4" i="21" s="1"/>
  <c r="L4" i="16"/>
  <c r="L4" i="21" s="1"/>
  <c r="M4" i="16"/>
  <c r="M4" i="21" s="1"/>
  <c r="N4" i="16"/>
  <c r="N4" i="21" s="1"/>
  <c r="O4" i="16"/>
  <c r="O4" i="21" s="1"/>
  <c r="P4" i="16"/>
  <c r="P4" i="21" s="1"/>
  <c r="Q4" i="16"/>
  <c r="Q4" i="21" s="1"/>
  <c r="R4" i="16"/>
  <c r="R4" i="21" s="1"/>
  <c r="S4" i="16"/>
  <c r="S4" i="21" s="1"/>
  <c r="T4" i="16"/>
  <c r="T4" i="21" s="1"/>
  <c r="U4" i="16"/>
  <c r="U4" i="21" s="1"/>
  <c r="V4" i="16"/>
  <c r="V4" i="21" s="1"/>
  <c r="B5" i="16"/>
  <c r="B5" i="21" s="1"/>
  <c r="C5" i="16"/>
  <c r="C5" i="21" s="1"/>
  <c r="D5" i="16"/>
  <c r="D5" i="21" s="1"/>
  <c r="E5" i="16"/>
  <c r="E5" i="21" s="1"/>
  <c r="F5" i="16"/>
  <c r="F5" i="21" s="1"/>
  <c r="G5" i="16"/>
  <c r="G5" i="21" s="1"/>
  <c r="H5" i="16"/>
  <c r="H5" i="21" s="1"/>
  <c r="I5" i="16"/>
  <c r="I5" i="21" s="1"/>
  <c r="J5" i="16"/>
  <c r="J5" i="21" s="1"/>
  <c r="K5" i="16"/>
  <c r="K5" i="21" s="1"/>
  <c r="L5" i="16"/>
  <c r="L5" i="21" s="1"/>
  <c r="M5" i="16"/>
  <c r="M5" i="21" s="1"/>
  <c r="N5" i="16"/>
  <c r="N5" i="21" s="1"/>
  <c r="O5" i="16"/>
  <c r="O5" i="21" s="1"/>
  <c r="P5" i="16"/>
  <c r="P5" i="21" s="1"/>
  <c r="Q5" i="16"/>
  <c r="Q5" i="21" s="1"/>
  <c r="R5" i="16"/>
  <c r="R5" i="21" s="1"/>
  <c r="S5" i="16"/>
  <c r="S5" i="21" s="1"/>
  <c r="T5" i="16"/>
  <c r="T5" i="21" s="1"/>
  <c r="U5" i="16"/>
  <c r="U5" i="21" s="1"/>
  <c r="V5" i="16"/>
  <c r="V5" i="21" s="1"/>
  <c r="B6" i="16"/>
  <c r="B6" i="21" s="1"/>
  <c r="C6" i="16"/>
  <c r="C6" i="21" s="1"/>
  <c r="D6" i="16"/>
  <c r="D6" i="21" s="1"/>
  <c r="E6" i="16"/>
  <c r="E6" i="21" s="1"/>
  <c r="F6" i="16"/>
  <c r="F6" i="21" s="1"/>
  <c r="G6" i="16"/>
  <c r="G6" i="21" s="1"/>
  <c r="H6" i="16"/>
  <c r="H6" i="21" s="1"/>
  <c r="I6" i="16"/>
  <c r="I6" i="21" s="1"/>
  <c r="J6" i="16"/>
  <c r="J6" i="21" s="1"/>
  <c r="K6" i="16"/>
  <c r="K6" i="21" s="1"/>
  <c r="L6" i="16"/>
  <c r="L6" i="21" s="1"/>
  <c r="M6" i="16"/>
  <c r="M6" i="21" s="1"/>
  <c r="N6" i="16"/>
  <c r="N6" i="21" s="1"/>
  <c r="O6" i="16"/>
  <c r="O6" i="21" s="1"/>
  <c r="P6" i="16"/>
  <c r="P6" i="21" s="1"/>
  <c r="Q6" i="16"/>
  <c r="Q6" i="21" s="1"/>
  <c r="R6" i="16"/>
  <c r="R6" i="21" s="1"/>
  <c r="S6" i="16"/>
  <c r="S6" i="21" s="1"/>
  <c r="T6" i="16"/>
  <c r="T6" i="21" s="1"/>
  <c r="U6" i="16"/>
  <c r="U6" i="21" s="1"/>
  <c r="V6" i="16"/>
  <c r="V6" i="21" s="1"/>
  <c r="B7" i="16"/>
  <c r="B7" i="21" s="1"/>
  <c r="C7" i="16"/>
  <c r="C7" i="21" s="1"/>
  <c r="D7" i="16"/>
  <c r="D7" i="21" s="1"/>
  <c r="E7" i="16"/>
  <c r="E7" i="21" s="1"/>
  <c r="F7" i="16"/>
  <c r="F7" i="21" s="1"/>
  <c r="G7" i="16"/>
  <c r="G7" i="21" s="1"/>
  <c r="H7" i="16"/>
  <c r="H7" i="21" s="1"/>
  <c r="I7" i="16"/>
  <c r="I7" i="21" s="1"/>
  <c r="J7" i="16"/>
  <c r="J7" i="21" s="1"/>
  <c r="K7" i="16"/>
  <c r="K7" i="21" s="1"/>
  <c r="L7" i="16"/>
  <c r="L7" i="21" s="1"/>
  <c r="M7" i="16"/>
  <c r="M7" i="21" s="1"/>
  <c r="N7" i="16"/>
  <c r="N7" i="21" s="1"/>
  <c r="O7" i="16"/>
  <c r="O7" i="21" s="1"/>
  <c r="P7" i="16"/>
  <c r="P7" i="21" s="1"/>
  <c r="Q7" i="16"/>
  <c r="Q7" i="21" s="1"/>
  <c r="R7" i="16"/>
  <c r="R7" i="21" s="1"/>
  <c r="S7" i="16"/>
  <c r="S7" i="21" s="1"/>
  <c r="T7" i="16"/>
  <c r="T7" i="21" s="1"/>
  <c r="U7" i="16"/>
  <c r="U7" i="21" s="1"/>
  <c r="V7" i="16"/>
  <c r="V7" i="21" s="1"/>
  <c r="B8" i="16"/>
  <c r="B8" i="21" s="1"/>
  <c r="C8" i="16"/>
  <c r="C8" i="21" s="1"/>
  <c r="D8" i="16"/>
  <c r="D8" i="21" s="1"/>
  <c r="E8" i="16"/>
  <c r="E8" i="21" s="1"/>
  <c r="F8" i="16"/>
  <c r="F8" i="21" s="1"/>
  <c r="G8" i="16"/>
  <c r="G8" i="21" s="1"/>
  <c r="H8" i="16"/>
  <c r="H8" i="21" s="1"/>
  <c r="I8" i="16"/>
  <c r="I8" i="21" s="1"/>
  <c r="J8" i="16"/>
  <c r="J8" i="21" s="1"/>
  <c r="K8" i="16"/>
  <c r="K8" i="21" s="1"/>
  <c r="L8" i="16"/>
  <c r="L8" i="21" s="1"/>
  <c r="M8" i="16"/>
  <c r="M8" i="21" s="1"/>
  <c r="N8" i="16"/>
  <c r="N8" i="21" s="1"/>
  <c r="O8" i="16"/>
  <c r="O8" i="21" s="1"/>
  <c r="P8" i="16"/>
  <c r="P8" i="21" s="1"/>
  <c r="Q8" i="16"/>
  <c r="Q8" i="21" s="1"/>
  <c r="R8" i="16"/>
  <c r="R8" i="21" s="1"/>
  <c r="S8" i="16"/>
  <c r="S8" i="21" s="1"/>
  <c r="T8" i="16"/>
  <c r="T8" i="21" s="1"/>
  <c r="U8" i="16"/>
  <c r="U8" i="21" s="1"/>
  <c r="V8" i="16"/>
  <c r="V8" i="21" s="1"/>
  <c r="B9" i="16"/>
  <c r="B9" i="21" s="1"/>
  <c r="C9" i="16"/>
  <c r="C9" i="21" s="1"/>
  <c r="D9" i="16"/>
  <c r="D9" i="21" s="1"/>
  <c r="E9" i="16"/>
  <c r="E9" i="21" s="1"/>
  <c r="F9" i="16"/>
  <c r="F9" i="21" s="1"/>
  <c r="G9" i="16"/>
  <c r="G9" i="21" s="1"/>
  <c r="H9" i="16"/>
  <c r="H9" i="21" s="1"/>
  <c r="I9" i="16"/>
  <c r="I9" i="21" s="1"/>
  <c r="J9" i="16"/>
  <c r="J9" i="21" s="1"/>
  <c r="K9" i="16"/>
  <c r="K9" i="21" s="1"/>
  <c r="L9" i="16"/>
  <c r="L9" i="21" s="1"/>
  <c r="M9" i="16"/>
  <c r="M9" i="21" s="1"/>
  <c r="N9" i="16"/>
  <c r="N9" i="21" s="1"/>
  <c r="O9" i="16"/>
  <c r="O9" i="21" s="1"/>
  <c r="P9" i="16"/>
  <c r="P9" i="21" s="1"/>
  <c r="Q9" i="16"/>
  <c r="Q9" i="21" s="1"/>
  <c r="R9" i="16"/>
  <c r="R9" i="21" s="1"/>
  <c r="S9" i="16"/>
  <c r="S9" i="21" s="1"/>
  <c r="T9" i="16"/>
  <c r="T9" i="21" s="1"/>
  <c r="U9" i="16"/>
  <c r="U9" i="21" s="1"/>
  <c r="V9" i="16"/>
  <c r="V9" i="21" s="1"/>
  <c r="B10" i="16"/>
  <c r="B10" i="21" s="1"/>
  <c r="C10" i="16"/>
  <c r="C10" i="21" s="1"/>
  <c r="D10" i="16"/>
  <c r="D10" i="21" s="1"/>
  <c r="E10" i="16"/>
  <c r="E10" i="21" s="1"/>
  <c r="F10" i="16"/>
  <c r="F10" i="21" s="1"/>
  <c r="G10" i="16"/>
  <c r="G10" i="21" s="1"/>
  <c r="H10" i="16"/>
  <c r="H10" i="21" s="1"/>
  <c r="I10" i="16"/>
  <c r="I10" i="21" s="1"/>
  <c r="J10" i="16"/>
  <c r="J10" i="21" s="1"/>
  <c r="K10" i="16"/>
  <c r="K10" i="21" s="1"/>
  <c r="L10" i="16"/>
  <c r="L10" i="21" s="1"/>
  <c r="M10" i="16"/>
  <c r="M10" i="21" s="1"/>
  <c r="N10" i="16"/>
  <c r="N10" i="21" s="1"/>
  <c r="O10" i="16"/>
  <c r="O10" i="21" s="1"/>
  <c r="P10" i="16"/>
  <c r="P10" i="21" s="1"/>
  <c r="Q10" i="16"/>
  <c r="Q10" i="21" s="1"/>
  <c r="R10" i="16"/>
  <c r="R10" i="21" s="1"/>
  <c r="S10" i="16"/>
  <c r="S10" i="21" s="1"/>
  <c r="T10" i="16"/>
  <c r="T10" i="21" s="1"/>
  <c r="U10" i="16"/>
  <c r="U10" i="21" s="1"/>
  <c r="V10" i="16"/>
  <c r="V10" i="21" s="1"/>
  <c r="B11" i="16"/>
  <c r="B11" i="21" s="1"/>
  <c r="C11" i="16"/>
  <c r="C11" i="21" s="1"/>
  <c r="D11" i="16"/>
  <c r="D11" i="21" s="1"/>
  <c r="E11" i="16"/>
  <c r="E11" i="21" s="1"/>
  <c r="F11" i="16"/>
  <c r="F11" i="21" s="1"/>
  <c r="G11" i="16"/>
  <c r="G11" i="21" s="1"/>
  <c r="H11" i="16"/>
  <c r="H11" i="21" s="1"/>
  <c r="I11" i="16"/>
  <c r="I11" i="21" s="1"/>
  <c r="J11" i="16"/>
  <c r="J11" i="21" s="1"/>
  <c r="K11" i="16"/>
  <c r="K11" i="21" s="1"/>
  <c r="L11" i="16"/>
  <c r="L11" i="21" s="1"/>
  <c r="M11" i="16"/>
  <c r="M11" i="21" s="1"/>
  <c r="N11" i="16"/>
  <c r="N11" i="21" s="1"/>
  <c r="O11" i="16"/>
  <c r="O11" i="21" s="1"/>
  <c r="P11" i="16"/>
  <c r="P11" i="21" s="1"/>
  <c r="Q11" i="16"/>
  <c r="Q11" i="21" s="1"/>
  <c r="R11" i="16"/>
  <c r="R11" i="21" s="1"/>
  <c r="S11" i="16"/>
  <c r="S11" i="21" s="1"/>
  <c r="T11" i="16"/>
  <c r="T11" i="21" s="1"/>
  <c r="U11" i="16"/>
  <c r="U11" i="21" s="1"/>
  <c r="V11" i="16"/>
  <c r="V11" i="21" s="1"/>
  <c r="B12" i="16"/>
  <c r="B12" i="21" s="1"/>
  <c r="C12" i="16"/>
  <c r="C12" i="21" s="1"/>
  <c r="D12" i="16"/>
  <c r="D12" i="21" s="1"/>
  <c r="E12" i="16"/>
  <c r="E12" i="21" s="1"/>
  <c r="F12" i="16"/>
  <c r="F12" i="21" s="1"/>
  <c r="G12" i="16"/>
  <c r="G12" i="21" s="1"/>
  <c r="H12" i="16"/>
  <c r="H12" i="21" s="1"/>
  <c r="I12" i="16"/>
  <c r="I12" i="21" s="1"/>
  <c r="J12" i="16"/>
  <c r="J12" i="21" s="1"/>
  <c r="K12" i="16"/>
  <c r="K12" i="21" s="1"/>
  <c r="M12" i="16"/>
  <c r="M12" i="21" s="1"/>
  <c r="N12" i="16"/>
  <c r="N12" i="21" s="1"/>
  <c r="O12" i="16"/>
  <c r="O12" i="21" s="1"/>
  <c r="P12" i="16"/>
  <c r="P12" i="21" s="1"/>
  <c r="Q12" i="16"/>
  <c r="Q12" i="21" s="1"/>
  <c r="R12" i="16"/>
  <c r="R12" i="21" s="1"/>
  <c r="S12" i="16"/>
  <c r="S12" i="21" s="1"/>
  <c r="T12" i="16"/>
  <c r="T12" i="21" s="1"/>
  <c r="U12" i="16"/>
  <c r="U12" i="21" s="1"/>
  <c r="V12" i="16"/>
  <c r="V12" i="21" s="1"/>
  <c r="B13" i="16"/>
  <c r="B13" i="21" s="1"/>
  <c r="C13" i="16"/>
  <c r="C13" i="21" s="1"/>
  <c r="D13" i="16"/>
  <c r="D13" i="21" s="1"/>
  <c r="E13" i="16"/>
  <c r="E13" i="21" s="1"/>
  <c r="F13" i="16"/>
  <c r="F13" i="21" s="1"/>
  <c r="G13" i="16"/>
  <c r="G13" i="21" s="1"/>
  <c r="H13" i="16"/>
  <c r="H13" i="21" s="1"/>
  <c r="I13" i="16"/>
  <c r="I13" i="21" s="1"/>
  <c r="J13" i="16"/>
  <c r="J13" i="21" s="1"/>
  <c r="K13" i="16"/>
  <c r="K13" i="21" s="1"/>
  <c r="L13" i="16"/>
  <c r="L13" i="21" s="1"/>
  <c r="M13" i="16"/>
  <c r="M13" i="21" s="1"/>
  <c r="N13" i="16"/>
  <c r="N13" i="21" s="1"/>
  <c r="O13" i="16"/>
  <c r="O13" i="21" s="1"/>
  <c r="P13" i="16"/>
  <c r="P13" i="21" s="1"/>
  <c r="Q13" i="16"/>
  <c r="Q13" i="21" s="1"/>
  <c r="R13" i="16"/>
  <c r="R13" i="21" s="1"/>
  <c r="S13" i="16"/>
  <c r="S13" i="21" s="1"/>
  <c r="T13" i="16"/>
  <c r="T13" i="21" s="1"/>
  <c r="U13" i="16"/>
  <c r="U13" i="21" s="1"/>
  <c r="V13" i="16"/>
  <c r="V13" i="21" s="1"/>
  <c r="B14" i="16"/>
  <c r="B14" i="21" s="1"/>
  <c r="C14" i="16"/>
  <c r="C14" i="21" s="1"/>
  <c r="D14" i="16"/>
  <c r="D14" i="21" s="1"/>
  <c r="E14" i="16"/>
  <c r="E14" i="21" s="1"/>
  <c r="F14" i="16"/>
  <c r="F14" i="21" s="1"/>
  <c r="G14" i="16"/>
  <c r="G14" i="21" s="1"/>
  <c r="H14" i="16"/>
  <c r="H14" i="21" s="1"/>
  <c r="I14" i="16"/>
  <c r="I14" i="21" s="1"/>
  <c r="J14" i="16"/>
  <c r="J14" i="21" s="1"/>
  <c r="K14" i="16"/>
  <c r="K14" i="21" s="1"/>
  <c r="L14" i="16"/>
  <c r="L14" i="21" s="1"/>
  <c r="M14" i="16"/>
  <c r="M14" i="21" s="1"/>
  <c r="N14" i="16"/>
  <c r="N14" i="21" s="1"/>
  <c r="O14" i="16"/>
  <c r="O14" i="21" s="1"/>
  <c r="P14" i="16"/>
  <c r="P14" i="21" s="1"/>
  <c r="Q14" i="16"/>
  <c r="Q14" i="21" s="1"/>
  <c r="R14" i="16"/>
  <c r="R14" i="21" s="1"/>
  <c r="S14" i="16"/>
  <c r="S14" i="21" s="1"/>
  <c r="T14" i="16"/>
  <c r="T14" i="21" s="1"/>
  <c r="U14" i="16"/>
  <c r="U14" i="21" s="1"/>
  <c r="V14" i="16"/>
  <c r="V14" i="21" s="1"/>
  <c r="B15" i="16"/>
  <c r="B15" i="21" s="1"/>
  <c r="C15" i="16"/>
  <c r="C15" i="21" s="1"/>
  <c r="D15" i="16"/>
  <c r="D15" i="21" s="1"/>
  <c r="E15" i="16"/>
  <c r="E15" i="21" s="1"/>
  <c r="F15" i="16"/>
  <c r="F15" i="21" s="1"/>
  <c r="G15" i="16"/>
  <c r="G15" i="21" s="1"/>
  <c r="H15" i="16"/>
  <c r="H15" i="21" s="1"/>
  <c r="I15" i="16"/>
  <c r="I15" i="21" s="1"/>
  <c r="J15" i="16"/>
  <c r="J15" i="21" s="1"/>
  <c r="K15" i="16"/>
  <c r="K15" i="21" s="1"/>
  <c r="L15" i="16"/>
  <c r="L15" i="21" s="1"/>
  <c r="M15" i="16"/>
  <c r="M15" i="21" s="1"/>
  <c r="N15" i="16"/>
  <c r="N15" i="21" s="1"/>
  <c r="O15" i="16"/>
  <c r="O15" i="21" s="1"/>
  <c r="P15" i="16"/>
  <c r="P15" i="21" s="1"/>
  <c r="Q15" i="16"/>
  <c r="Q15" i="21" s="1"/>
  <c r="R15" i="16"/>
  <c r="R15" i="21" s="1"/>
  <c r="S15" i="16"/>
  <c r="S15" i="21" s="1"/>
  <c r="T15" i="16"/>
  <c r="T15" i="21" s="1"/>
  <c r="U15" i="16"/>
  <c r="U15" i="21" s="1"/>
  <c r="V15" i="16"/>
  <c r="V15" i="21" s="1"/>
  <c r="B16" i="16"/>
  <c r="B16" i="21" s="1"/>
  <c r="C16" i="16"/>
  <c r="C16" i="21" s="1"/>
  <c r="D16" i="16"/>
  <c r="D16" i="21" s="1"/>
  <c r="E16" i="16"/>
  <c r="E16" i="21" s="1"/>
  <c r="F16" i="16"/>
  <c r="F16" i="21" s="1"/>
  <c r="G16" i="16"/>
  <c r="G16" i="21" s="1"/>
  <c r="H16" i="16"/>
  <c r="H16" i="21" s="1"/>
  <c r="I16" i="16"/>
  <c r="I16" i="21" s="1"/>
  <c r="J16" i="16"/>
  <c r="J16" i="21" s="1"/>
  <c r="K16" i="16"/>
  <c r="K16" i="21" s="1"/>
  <c r="L16" i="16"/>
  <c r="L16" i="21" s="1"/>
  <c r="M16" i="16"/>
  <c r="M16" i="21" s="1"/>
  <c r="N16" i="16"/>
  <c r="N16" i="21" s="1"/>
  <c r="O16" i="16"/>
  <c r="O16" i="21" s="1"/>
  <c r="P16" i="16"/>
  <c r="P16" i="21" s="1"/>
  <c r="Q16" i="16"/>
  <c r="Q16" i="21" s="1"/>
  <c r="R16" i="16"/>
  <c r="R16" i="21" s="1"/>
  <c r="S16" i="16"/>
  <c r="S16" i="21" s="1"/>
  <c r="T16" i="16"/>
  <c r="T16" i="21" s="1"/>
  <c r="U16" i="16"/>
  <c r="U16" i="21" s="1"/>
  <c r="V16" i="16"/>
  <c r="V16" i="21" s="1"/>
  <c r="B17" i="16"/>
  <c r="B17" i="21" s="1"/>
  <c r="C17" i="16"/>
  <c r="C17" i="21" s="1"/>
  <c r="D17" i="16"/>
  <c r="D17" i="21" s="1"/>
  <c r="E17" i="16"/>
  <c r="E17" i="21" s="1"/>
  <c r="F17" i="16"/>
  <c r="F17" i="21" s="1"/>
  <c r="G17" i="16"/>
  <c r="G17" i="21" s="1"/>
  <c r="H17" i="16"/>
  <c r="H17" i="21" s="1"/>
  <c r="I17" i="16"/>
  <c r="I17" i="21" s="1"/>
  <c r="J17" i="16"/>
  <c r="J17" i="21" s="1"/>
  <c r="K17" i="16"/>
  <c r="K17" i="21" s="1"/>
  <c r="L17" i="16"/>
  <c r="L17" i="21" s="1"/>
  <c r="M17" i="16"/>
  <c r="M17" i="21" s="1"/>
  <c r="N17" i="16"/>
  <c r="N17" i="21" s="1"/>
  <c r="O17" i="16"/>
  <c r="O17" i="21" s="1"/>
  <c r="P17" i="16"/>
  <c r="P17" i="21" s="1"/>
  <c r="Q17" i="16"/>
  <c r="Q17" i="21" s="1"/>
  <c r="R17" i="16"/>
  <c r="R17" i="21" s="1"/>
  <c r="S17" i="16"/>
  <c r="S17" i="21" s="1"/>
  <c r="T17" i="16"/>
  <c r="T17" i="21" s="1"/>
  <c r="U17" i="16"/>
  <c r="U17" i="21" s="1"/>
  <c r="V17" i="16"/>
  <c r="V17" i="21" s="1"/>
  <c r="B18" i="16"/>
  <c r="B18" i="21" s="1"/>
  <c r="C18" i="16"/>
  <c r="C18" i="21" s="1"/>
  <c r="D18" i="16"/>
  <c r="D18" i="21" s="1"/>
  <c r="E18" i="16"/>
  <c r="E18" i="21" s="1"/>
  <c r="F18" i="16"/>
  <c r="F18" i="21" s="1"/>
  <c r="G18" i="16"/>
  <c r="G18" i="21" s="1"/>
  <c r="H18" i="16"/>
  <c r="H18" i="21" s="1"/>
  <c r="I18" i="16"/>
  <c r="I18" i="21" s="1"/>
  <c r="J18" i="16"/>
  <c r="J18" i="21" s="1"/>
  <c r="K18" i="16"/>
  <c r="K18" i="21" s="1"/>
  <c r="L18" i="16"/>
  <c r="L18" i="21" s="1"/>
  <c r="M18" i="16"/>
  <c r="M18" i="21" s="1"/>
  <c r="N18" i="16"/>
  <c r="N18" i="21" s="1"/>
  <c r="O18" i="16"/>
  <c r="O18" i="21" s="1"/>
  <c r="P18" i="16"/>
  <c r="P18" i="21" s="1"/>
  <c r="Q18" i="16"/>
  <c r="Q18" i="21" s="1"/>
  <c r="R18" i="16"/>
  <c r="R18" i="21" s="1"/>
  <c r="S18" i="16"/>
  <c r="S18" i="21" s="1"/>
  <c r="T18" i="16"/>
  <c r="T18" i="21" s="1"/>
  <c r="U18" i="16"/>
  <c r="U18" i="21" s="1"/>
  <c r="V18" i="16"/>
  <c r="V18" i="21" s="1"/>
  <c r="B19" i="16"/>
  <c r="B19" i="21" s="1"/>
  <c r="C19" i="16"/>
  <c r="C19" i="21" s="1"/>
  <c r="D19" i="16"/>
  <c r="D19" i="21" s="1"/>
  <c r="E19" i="16"/>
  <c r="E19" i="21" s="1"/>
  <c r="F19" i="16"/>
  <c r="F19" i="21" s="1"/>
  <c r="G19" i="16"/>
  <c r="G19" i="21" s="1"/>
  <c r="H19" i="16"/>
  <c r="H19" i="21" s="1"/>
  <c r="I19" i="16"/>
  <c r="I19" i="21" s="1"/>
  <c r="J19" i="16"/>
  <c r="J19" i="21" s="1"/>
  <c r="K19" i="16"/>
  <c r="K19" i="21" s="1"/>
  <c r="L19" i="16"/>
  <c r="L19" i="21" s="1"/>
  <c r="M19" i="16"/>
  <c r="M19" i="21" s="1"/>
  <c r="N19" i="16"/>
  <c r="N19" i="21" s="1"/>
  <c r="O19" i="16"/>
  <c r="O19" i="21" s="1"/>
  <c r="P19" i="16"/>
  <c r="P19" i="21" s="1"/>
  <c r="Q19" i="16"/>
  <c r="Q19" i="21" s="1"/>
  <c r="R19" i="16"/>
  <c r="R19" i="21" s="1"/>
  <c r="S19" i="16"/>
  <c r="S19" i="21" s="1"/>
  <c r="T19" i="16"/>
  <c r="T19" i="21" s="1"/>
  <c r="U19" i="16"/>
  <c r="U19" i="21" s="1"/>
  <c r="V19" i="16"/>
  <c r="V19" i="21" s="1"/>
  <c r="B20" i="16"/>
  <c r="B20" i="21" s="1"/>
  <c r="C20" i="16"/>
  <c r="C20" i="21" s="1"/>
  <c r="D20" i="16"/>
  <c r="D20" i="21" s="1"/>
  <c r="E20" i="16"/>
  <c r="E20" i="21" s="1"/>
  <c r="F20" i="16"/>
  <c r="F20" i="21" s="1"/>
  <c r="G20" i="16"/>
  <c r="G20" i="21" s="1"/>
  <c r="H20" i="16"/>
  <c r="H20" i="21" s="1"/>
  <c r="I20" i="16"/>
  <c r="I20" i="21" s="1"/>
  <c r="J20" i="16"/>
  <c r="J20" i="21" s="1"/>
  <c r="K20" i="16"/>
  <c r="K20" i="21" s="1"/>
  <c r="L20" i="16"/>
  <c r="L20" i="21" s="1"/>
  <c r="M20" i="16"/>
  <c r="M20" i="21" s="1"/>
  <c r="N20" i="16"/>
  <c r="N20" i="21" s="1"/>
  <c r="O20" i="16"/>
  <c r="O20" i="21" s="1"/>
  <c r="P20" i="16"/>
  <c r="P20" i="21" s="1"/>
  <c r="Q20" i="16"/>
  <c r="Q20" i="21" s="1"/>
  <c r="R20" i="16"/>
  <c r="R20" i="21" s="1"/>
  <c r="S20" i="16"/>
  <c r="S20" i="21" s="1"/>
  <c r="T20" i="16"/>
  <c r="T20" i="21" s="1"/>
  <c r="U20" i="16"/>
  <c r="U20" i="21" s="1"/>
  <c r="V20" i="16"/>
  <c r="V20" i="21" s="1"/>
  <c r="B21" i="16"/>
  <c r="B21" i="21" s="1"/>
  <c r="C21" i="16"/>
  <c r="C21" i="21" s="1"/>
  <c r="D21" i="16"/>
  <c r="D21" i="21" s="1"/>
  <c r="E21" i="16"/>
  <c r="E21" i="21" s="1"/>
  <c r="F21" i="16"/>
  <c r="F21" i="21" s="1"/>
  <c r="G21" i="16"/>
  <c r="G21" i="21" s="1"/>
  <c r="H21" i="16"/>
  <c r="H21" i="21" s="1"/>
  <c r="I21" i="16"/>
  <c r="I21" i="21" s="1"/>
  <c r="J21" i="16"/>
  <c r="J21" i="21" s="1"/>
  <c r="K21" i="16"/>
  <c r="K21" i="21" s="1"/>
  <c r="L21" i="16"/>
  <c r="L21" i="21" s="1"/>
  <c r="M21" i="16"/>
  <c r="M21" i="21" s="1"/>
  <c r="N21" i="16"/>
  <c r="N21" i="21" s="1"/>
  <c r="O21" i="16"/>
  <c r="O21" i="21" s="1"/>
  <c r="P21" i="16"/>
  <c r="P21" i="21" s="1"/>
  <c r="Q21" i="16"/>
  <c r="Q21" i="21" s="1"/>
  <c r="R21" i="16"/>
  <c r="R21" i="21" s="1"/>
  <c r="S21" i="16"/>
  <c r="S21" i="21" s="1"/>
  <c r="T21" i="16"/>
  <c r="T21" i="21" s="1"/>
  <c r="U21" i="16"/>
  <c r="U21" i="21" s="1"/>
  <c r="V21" i="16"/>
  <c r="V21" i="21" s="1"/>
  <c r="B22" i="16"/>
  <c r="B22" i="21" s="1"/>
  <c r="C22" i="16"/>
  <c r="C22" i="21" s="1"/>
  <c r="D22" i="16"/>
  <c r="D22" i="21" s="1"/>
  <c r="E22" i="16"/>
  <c r="E22" i="21" s="1"/>
  <c r="F22" i="16"/>
  <c r="F22" i="21" s="1"/>
  <c r="G22" i="16"/>
  <c r="G22" i="21" s="1"/>
  <c r="H22" i="16"/>
  <c r="H22" i="21" s="1"/>
  <c r="I22" i="16"/>
  <c r="I22" i="21" s="1"/>
  <c r="J22" i="16"/>
  <c r="J22" i="21" s="1"/>
  <c r="K22" i="16"/>
  <c r="K22" i="21" s="1"/>
  <c r="L22" i="16"/>
  <c r="L22" i="21" s="1"/>
  <c r="M22" i="16"/>
  <c r="M22" i="21" s="1"/>
  <c r="N22" i="16"/>
  <c r="N22" i="21" s="1"/>
  <c r="O22" i="16"/>
  <c r="O22" i="21" s="1"/>
  <c r="P22" i="16"/>
  <c r="P22" i="21" s="1"/>
  <c r="Q22" i="16"/>
  <c r="Q22" i="21" s="1"/>
  <c r="R22" i="16"/>
  <c r="R22" i="21" s="1"/>
  <c r="S22" i="16"/>
  <c r="S22" i="21" s="1"/>
  <c r="T22" i="16"/>
  <c r="T22" i="21" s="1"/>
  <c r="U22" i="16"/>
  <c r="U22" i="21" s="1"/>
  <c r="V22" i="16"/>
  <c r="V22" i="21" s="1"/>
  <c r="C2" i="16"/>
  <c r="C2" i="21" s="1"/>
  <c r="D2" i="16"/>
  <c r="D2" i="21" s="1"/>
  <c r="E2" i="16"/>
  <c r="E2" i="21" s="1"/>
  <c r="F2" i="16"/>
  <c r="F2" i="21" s="1"/>
  <c r="G2" i="16"/>
  <c r="G2" i="21" s="1"/>
  <c r="H2" i="16"/>
  <c r="H2" i="21" s="1"/>
  <c r="I2" i="16"/>
  <c r="I2" i="21" s="1"/>
  <c r="J2" i="16"/>
  <c r="J2" i="21" s="1"/>
  <c r="K2" i="16"/>
  <c r="K2" i="21" s="1"/>
  <c r="L2" i="16"/>
  <c r="L2" i="21" s="1"/>
  <c r="M2" i="16"/>
  <c r="M2" i="21" s="1"/>
  <c r="N2" i="16"/>
  <c r="N2" i="21" s="1"/>
  <c r="O2" i="16"/>
  <c r="O2" i="21" s="1"/>
  <c r="P2" i="16"/>
  <c r="P2" i="21" s="1"/>
  <c r="Q2" i="16"/>
  <c r="Q2" i="21" s="1"/>
  <c r="R2" i="16"/>
  <c r="R2" i="21" s="1"/>
  <c r="S2" i="16"/>
  <c r="S2" i="21" s="1"/>
  <c r="T2" i="16"/>
  <c r="T2" i="21" s="1"/>
  <c r="U2" i="16"/>
  <c r="U2" i="21" s="1"/>
  <c r="V2" i="16"/>
  <c r="V2" i="21" s="1"/>
  <c r="B2" i="16"/>
  <c r="B2" i="21" s="1"/>
  <c r="C2" i="9" l="1"/>
  <c r="C2" i="8" s="1"/>
  <c r="D2" i="9"/>
  <c r="D2" i="8" s="1"/>
  <c r="E2" i="9"/>
  <c r="E2" i="8" s="1"/>
  <c r="F2" i="9"/>
  <c r="F2" i="8" s="1"/>
  <c r="G2" i="9"/>
  <c r="G2" i="8" s="1"/>
  <c r="H2" i="9"/>
  <c r="H2" i="8" s="1"/>
  <c r="I2" i="9"/>
  <c r="I2" i="8" s="1"/>
  <c r="J2" i="9"/>
  <c r="J2" i="8" s="1"/>
  <c r="K2" i="9"/>
  <c r="K2" i="8" s="1"/>
  <c r="L2" i="9"/>
  <c r="L2" i="8" s="1"/>
  <c r="M2" i="9"/>
  <c r="M2" i="8" s="1"/>
  <c r="N2" i="9"/>
  <c r="N2" i="8" s="1"/>
  <c r="O2" i="9"/>
  <c r="O2" i="8" s="1"/>
  <c r="P2" i="9"/>
  <c r="P2" i="8" s="1"/>
  <c r="Q2" i="9"/>
  <c r="Q2" i="8" s="1"/>
  <c r="R2" i="9"/>
  <c r="R2" i="8" s="1"/>
  <c r="S2" i="9"/>
  <c r="S2" i="8" s="1"/>
  <c r="T2" i="9"/>
  <c r="T2" i="8" s="1"/>
  <c r="U2" i="9"/>
  <c r="U2" i="8" s="1"/>
  <c r="V2" i="9"/>
  <c r="V2" i="8" s="1"/>
  <c r="W2" i="9"/>
  <c r="W2" i="8" s="1"/>
  <c r="X2" i="9"/>
  <c r="X2" i="8" s="1"/>
  <c r="Y2" i="9"/>
  <c r="Y2" i="8" s="1"/>
  <c r="AA1" i="8"/>
  <c r="Z2" i="9" s="1"/>
  <c r="Z2" i="8" s="1"/>
  <c r="A2" i="8" s="1"/>
  <c r="A1" i="8"/>
  <c r="B2" i="9" s="1"/>
  <c r="B2" i="8" s="1"/>
  <c r="K3" i="9" l="1"/>
  <c r="K3" i="8" s="1"/>
  <c r="O3" i="9"/>
  <c r="O3" i="8" s="1"/>
  <c r="U3" i="9"/>
  <c r="U3" i="8" s="1"/>
  <c r="M3" i="9"/>
  <c r="M3" i="8" s="1"/>
  <c r="E3" i="9"/>
  <c r="E3" i="8" s="1"/>
  <c r="S3" i="9"/>
  <c r="S3" i="8" s="1"/>
  <c r="Y3" i="9"/>
  <c r="Y3" i="8" s="1"/>
  <c r="Q3" i="9"/>
  <c r="Q3" i="8" s="1"/>
  <c r="W3" i="9"/>
  <c r="W3" i="8" s="1"/>
  <c r="V3" i="9"/>
  <c r="V3" i="8" s="1"/>
  <c r="N3" i="9"/>
  <c r="N3" i="8" s="1"/>
  <c r="F3" i="9"/>
  <c r="F3" i="8" s="1"/>
  <c r="G3" i="9"/>
  <c r="G3" i="8" s="1"/>
  <c r="B3" i="9"/>
  <c r="B3" i="8" s="1"/>
  <c r="T3" i="9"/>
  <c r="T3" i="8" s="1"/>
  <c r="L3" i="9"/>
  <c r="L3" i="8" s="1"/>
  <c r="D3" i="9"/>
  <c r="D3" i="8" s="1"/>
  <c r="I3" i="9"/>
  <c r="I3" i="8" s="1"/>
  <c r="R3" i="9"/>
  <c r="R3" i="8" s="1"/>
  <c r="J3" i="9"/>
  <c r="J3" i="8" s="1"/>
  <c r="X3" i="9"/>
  <c r="X3" i="8" s="1"/>
  <c r="P3" i="9"/>
  <c r="P3" i="8" s="1"/>
  <c r="H3" i="9"/>
  <c r="H3" i="8" s="1"/>
  <c r="C3" i="9"/>
  <c r="C3" i="8" s="1"/>
  <c r="AA2" i="8"/>
  <c r="Z3" i="9" s="1"/>
  <c r="J3" i="7"/>
  <c r="K3" i="7"/>
  <c r="L3" i="7"/>
  <c r="M3" i="7"/>
  <c r="N3" i="7"/>
  <c r="O3" i="7"/>
  <c r="P3" i="7"/>
  <c r="J4" i="7"/>
  <c r="K4" i="7"/>
  <c r="L4" i="7"/>
  <c r="M4" i="7"/>
  <c r="N4" i="7"/>
  <c r="O4" i="7"/>
  <c r="P4" i="7"/>
  <c r="J5" i="7"/>
  <c r="K5" i="7"/>
  <c r="L5" i="7"/>
  <c r="M5" i="7"/>
  <c r="N5" i="7"/>
  <c r="O5" i="7"/>
  <c r="P5" i="7"/>
  <c r="J6" i="7"/>
  <c r="K6" i="7"/>
  <c r="L6" i="7"/>
  <c r="M6" i="7"/>
  <c r="N6" i="7"/>
  <c r="O6" i="7"/>
  <c r="P6" i="7"/>
  <c r="J7" i="7"/>
  <c r="K7" i="7"/>
  <c r="L7" i="7"/>
  <c r="M7" i="7"/>
  <c r="N7" i="7"/>
  <c r="O7" i="7"/>
  <c r="P7" i="7"/>
  <c r="J8" i="7"/>
  <c r="K8" i="7"/>
  <c r="L8" i="7"/>
  <c r="M8" i="7"/>
  <c r="N8" i="7"/>
  <c r="O8" i="7"/>
  <c r="P8" i="7"/>
  <c r="K2" i="7"/>
  <c r="L2" i="7"/>
  <c r="M2" i="7"/>
  <c r="N2" i="7"/>
  <c r="O2" i="7"/>
  <c r="P2" i="7"/>
  <c r="J2" i="7"/>
  <c r="Z3" i="8" l="1"/>
  <c r="A3" i="8" s="1"/>
  <c r="B4" i="9" s="1"/>
  <c r="D4" i="9"/>
  <c r="D4" i="8" s="1"/>
  <c r="P4" i="9"/>
  <c r="P4" i="8" s="1"/>
  <c r="K4" i="9"/>
  <c r="K4" i="8" s="1"/>
  <c r="V4" i="9"/>
  <c r="V4" i="8" s="1"/>
  <c r="L4" i="9"/>
  <c r="L4" i="8" s="1"/>
  <c r="I4" i="9"/>
  <c r="I4" i="8" s="1"/>
  <c r="X4" i="9"/>
  <c r="X4" i="8" s="1"/>
  <c r="N4" i="9"/>
  <c r="N4" i="8" s="1"/>
  <c r="T4" i="9"/>
  <c r="T4" i="8" s="1"/>
  <c r="W4" i="9"/>
  <c r="W4" i="8" s="1"/>
  <c r="H4" i="9"/>
  <c r="H4" i="8" s="1"/>
  <c r="M4" i="9"/>
  <c r="M4" i="8" s="1"/>
  <c r="O4" i="9"/>
  <c r="O4" i="8" s="1"/>
  <c r="S4" i="9"/>
  <c r="S4" i="8" s="1"/>
  <c r="E4" i="9"/>
  <c r="E4" i="8" s="1"/>
  <c r="F4" i="9"/>
  <c r="F4" i="8" s="1"/>
  <c r="J4" i="9"/>
  <c r="J4" i="8" s="1"/>
  <c r="G4" i="9"/>
  <c r="G4" i="8" s="1"/>
  <c r="Q4" i="9"/>
  <c r="Q4" i="8" s="1"/>
  <c r="R4" i="9"/>
  <c r="R4" i="8" s="1"/>
  <c r="U4" i="9"/>
  <c r="U4" i="8" s="1"/>
  <c r="AA3" i="8"/>
  <c r="C4" i="9"/>
  <c r="C4" i="8" s="1"/>
  <c r="G2" i="6"/>
  <c r="D3" i="6" s="1"/>
  <c r="G1" i="6"/>
  <c r="Y4" i="9" l="1"/>
  <c r="Y4" i="8" s="1"/>
  <c r="X5" i="9" s="1"/>
  <c r="X5" i="8" s="1"/>
  <c r="Z4" i="9"/>
  <c r="Z4" i="8" s="1"/>
  <c r="B4" i="8"/>
  <c r="C5" i="9" s="1"/>
  <c r="C5" i="8" s="1"/>
  <c r="L5" i="9"/>
  <c r="L5" i="8" s="1"/>
  <c r="M5" i="9"/>
  <c r="M5" i="8" s="1"/>
  <c r="K5" i="9"/>
  <c r="K5" i="8" s="1"/>
  <c r="U5" i="9"/>
  <c r="U5" i="8" s="1"/>
  <c r="W5" i="9"/>
  <c r="W5" i="8" s="1"/>
  <c r="O5" i="9"/>
  <c r="O5" i="8" s="1"/>
  <c r="H5" i="9"/>
  <c r="H5" i="8" s="1"/>
  <c r="V5" i="9"/>
  <c r="V5" i="8" s="1"/>
  <c r="F5" i="9"/>
  <c r="F5" i="8" s="1"/>
  <c r="N5" i="9"/>
  <c r="N5" i="8" s="1"/>
  <c r="E5" i="9"/>
  <c r="E5" i="8" s="1"/>
  <c r="G5" i="9"/>
  <c r="G5" i="8" s="1"/>
  <c r="J5" i="9"/>
  <c r="J5" i="8" s="1"/>
  <c r="S5" i="9"/>
  <c r="S5" i="8" s="1"/>
  <c r="D5" i="9"/>
  <c r="D5" i="8" s="1"/>
  <c r="I5" i="9"/>
  <c r="I5" i="8" s="1"/>
  <c r="R5" i="9"/>
  <c r="R5" i="8" s="1"/>
  <c r="Q5" i="9"/>
  <c r="Q5" i="8" s="1"/>
  <c r="P5" i="9"/>
  <c r="P5" i="8" s="1"/>
  <c r="T5" i="9"/>
  <c r="T5" i="8" s="1"/>
  <c r="C3" i="6"/>
  <c r="D4" i="6" s="1"/>
  <c r="B3" i="6"/>
  <c r="C2" i="5"/>
  <c r="C5" i="5" s="1"/>
  <c r="B2" i="5"/>
  <c r="B5" i="5" s="1"/>
  <c r="A5" i="5"/>
  <c r="Y5" i="9" l="1"/>
  <c r="Y5" i="8" s="1"/>
  <c r="X6" i="9" s="1"/>
  <c r="X6" i="8" s="1"/>
  <c r="A4" i="8"/>
  <c r="B5" i="9" s="1"/>
  <c r="B5" i="8" s="1"/>
  <c r="AA5" i="8" s="1"/>
  <c r="AA4" i="8"/>
  <c r="Z5" i="9" s="1"/>
  <c r="L6" i="9"/>
  <c r="L6" i="8" s="1"/>
  <c r="U6" i="9"/>
  <c r="U6" i="8" s="1"/>
  <c r="M6" i="9"/>
  <c r="M6" i="8" s="1"/>
  <c r="K6" i="9"/>
  <c r="P6" i="9"/>
  <c r="P6" i="8" s="1"/>
  <c r="G6" i="9"/>
  <c r="G6" i="8" s="1"/>
  <c r="V6" i="9"/>
  <c r="V6" i="8" s="1"/>
  <c r="W6" i="9"/>
  <c r="W6" i="8" s="1"/>
  <c r="N6" i="9"/>
  <c r="N6" i="8" s="1"/>
  <c r="Q6" i="9"/>
  <c r="Q6" i="8" s="1"/>
  <c r="H6" i="9"/>
  <c r="H6" i="8" s="1"/>
  <c r="E6" i="9"/>
  <c r="E6" i="8" s="1"/>
  <c r="D6" i="9"/>
  <c r="D6" i="8" s="1"/>
  <c r="F6" i="9"/>
  <c r="F6" i="8" s="1"/>
  <c r="I6" i="9"/>
  <c r="I6" i="8" s="1"/>
  <c r="J6" i="9"/>
  <c r="J6" i="8" s="1"/>
  <c r="S6" i="9"/>
  <c r="S6" i="8" s="1"/>
  <c r="O6" i="9"/>
  <c r="O6" i="8" s="1"/>
  <c r="T6" i="9"/>
  <c r="T6" i="8" s="1"/>
  <c r="R6" i="9"/>
  <c r="R6" i="8" s="1"/>
  <c r="C4" i="6"/>
  <c r="D5" i="6" s="1"/>
  <c r="B4" i="6"/>
  <c r="C6" i="5"/>
  <c r="B6" i="5"/>
  <c r="F1" i="4"/>
  <c r="D1" i="4"/>
  <c r="D1" i="1"/>
  <c r="B6" i="1" s="1"/>
  <c r="C6" i="9" l="1"/>
  <c r="C6" i="8" s="1"/>
  <c r="D7" i="9" s="1"/>
  <c r="D7" i="8" s="1"/>
  <c r="K6" i="8"/>
  <c r="L7" i="9" s="1"/>
  <c r="L7" i="8" s="1"/>
  <c r="Z5" i="8"/>
  <c r="Y6" i="9" s="1"/>
  <c r="Y6" i="8" s="1"/>
  <c r="U7" i="9"/>
  <c r="U7" i="8" s="1"/>
  <c r="V7" i="9"/>
  <c r="V7" i="8" s="1"/>
  <c r="M7" i="9"/>
  <c r="M7" i="8" s="1"/>
  <c r="W7" i="9"/>
  <c r="W7" i="8" s="1"/>
  <c r="P7" i="9"/>
  <c r="P7" i="8" s="1"/>
  <c r="F7" i="9"/>
  <c r="F7" i="8" s="1"/>
  <c r="E7" i="9"/>
  <c r="E7" i="8" s="1"/>
  <c r="Q7" i="9"/>
  <c r="Q7" i="8" s="1"/>
  <c r="G7" i="9"/>
  <c r="G7" i="8" s="1"/>
  <c r="H7" i="9"/>
  <c r="H7" i="8" s="1"/>
  <c r="I7" i="9"/>
  <c r="I7" i="8" s="1"/>
  <c r="T7" i="9"/>
  <c r="T7" i="8" s="1"/>
  <c r="N7" i="9"/>
  <c r="S7" i="9"/>
  <c r="S7" i="8" s="1"/>
  <c r="O7" i="9"/>
  <c r="O7" i="8" s="1"/>
  <c r="R7" i="9"/>
  <c r="R7" i="8" s="1"/>
  <c r="B5" i="6"/>
  <c r="C5" i="6"/>
  <c r="C7" i="5"/>
  <c r="B7" i="5"/>
  <c r="B89" i="4"/>
  <c r="B97" i="4"/>
  <c r="B90" i="4"/>
  <c r="B98" i="4"/>
  <c r="B83" i="4"/>
  <c r="B91" i="4"/>
  <c r="B99" i="4"/>
  <c r="B84" i="4"/>
  <c r="B92" i="4"/>
  <c r="B100" i="4"/>
  <c r="B85" i="4"/>
  <c r="B93" i="4"/>
  <c r="B101" i="4"/>
  <c r="B86" i="4"/>
  <c r="B94" i="4"/>
  <c r="B102" i="4"/>
  <c r="B87" i="4"/>
  <c r="B95" i="4"/>
  <c r="B88" i="4"/>
  <c r="B96" i="4"/>
  <c r="B3" i="4"/>
  <c r="B11" i="4"/>
  <c r="B19" i="4"/>
  <c r="B27" i="4"/>
  <c r="B35" i="4"/>
  <c r="B43" i="4"/>
  <c r="B51" i="4"/>
  <c r="B59" i="4"/>
  <c r="B67" i="4"/>
  <c r="B75" i="4"/>
  <c r="B13" i="4"/>
  <c r="B29" i="4"/>
  <c r="B45" i="4"/>
  <c r="B69" i="4"/>
  <c r="B40" i="4"/>
  <c r="B72" i="4"/>
  <c r="B4" i="4"/>
  <c r="B12" i="4"/>
  <c r="B20" i="4"/>
  <c r="B28" i="4"/>
  <c r="B36" i="4"/>
  <c r="B44" i="4"/>
  <c r="B52" i="4"/>
  <c r="B60" i="4"/>
  <c r="B68" i="4"/>
  <c r="B76" i="4"/>
  <c r="B5" i="4"/>
  <c r="B21" i="4"/>
  <c r="B37" i="4"/>
  <c r="B61" i="4"/>
  <c r="B48" i="4"/>
  <c r="B80" i="4"/>
  <c r="B6" i="4"/>
  <c r="B14" i="4"/>
  <c r="B22" i="4"/>
  <c r="B30" i="4"/>
  <c r="B38" i="4"/>
  <c r="B46" i="4"/>
  <c r="B54" i="4"/>
  <c r="B62" i="4"/>
  <c r="B70" i="4"/>
  <c r="B78" i="4"/>
  <c r="B7" i="4"/>
  <c r="B15" i="4"/>
  <c r="B23" i="4"/>
  <c r="B31" i="4"/>
  <c r="B39" i="4"/>
  <c r="B47" i="4"/>
  <c r="B55" i="4"/>
  <c r="B63" i="4"/>
  <c r="B71" i="4"/>
  <c r="B79" i="4"/>
  <c r="B8" i="4"/>
  <c r="B16" i="4"/>
  <c r="B24" i="4"/>
  <c r="B32" i="4"/>
  <c r="B64" i="4"/>
  <c r="B9" i="4"/>
  <c r="B17" i="4"/>
  <c r="B25" i="4"/>
  <c r="B33" i="4"/>
  <c r="B41" i="4"/>
  <c r="B49" i="4"/>
  <c r="B57" i="4"/>
  <c r="B65" i="4"/>
  <c r="B73" i="4"/>
  <c r="B81" i="4"/>
  <c r="B10" i="4"/>
  <c r="B18" i="4"/>
  <c r="B26" i="4"/>
  <c r="B34" i="4"/>
  <c r="B42" i="4"/>
  <c r="B50" i="4"/>
  <c r="B58" i="4"/>
  <c r="B66" i="4"/>
  <c r="B74" i="4"/>
  <c r="B82" i="4"/>
  <c r="B53" i="4"/>
  <c r="B77" i="4"/>
  <c r="B56" i="4"/>
  <c r="B2" i="4"/>
  <c r="B3" i="1"/>
  <c r="B10" i="1"/>
  <c r="B5" i="1"/>
  <c r="B4" i="1"/>
  <c r="B72" i="1"/>
  <c r="B71" i="1"/>
  <c r="B70" i="1"/>
  <c r="B48" i="1"/>
  <c r="B47" i="1"/>
  <c r="B46" i="1"/>
  <c r="B33" i="1"/>
  <c r="B73" i="1"/>
  <c r="B32" i="1"/>
  <c r="B63" i="1"/>
  <c r="B31" i="1"/>
  <c r="B56" i="1"/>
  <c r="B24" i="1"/>
  <c r="B49" i="1"/>
  <c r="B23" i="1"/>
  <c r="B82" i="1"/>
  <c r="B62" i="1"/>
  <c r="B42" i="1"/>
  <c r="B22" i="1"/>
  <c r="B81" i="1"/>
  <c r="B58" i="1"/>
  <c r="B38" i="1"/>
  <c r="B18" i="1"/>
  <c r="B74" i="1"/>
  <c r="B57" i="1"/>
  <c r="B34" i="1"/>
  <c r="B17" i="1"/>
  <c r="B80" i="1"/>
  <c r="B66" i="1"/>
  <c r="B55" i="1"/>
  <c r="B41" i="1"/>
  <c r="B30" i="1"/>
  <c r="B16" i="1"/>
  <c r="B79" i="1"/>
  <c r="B65" i="1"/>
  <c r="B54" i="1"/>
  <c r="B40" i="1"/>
  <c r="B26" i="1"/>
  <c r="B15" i="1"/>
  <c r="B78" i="1"/>
  <c r="B64" i="1"/>
  <c r="B50" i="1"/>
  <c r="B39" i="1"/>
  <c r="B25" i="1"/>
  <c r="B14" i="1"/>
  <c r="B77" i="1"/>
  <c r="B69" i="1"/>
  <c r="B61" i="1"/>
  <c r="B53" i="1"/>
  <c r="B45" i="1"/>
  <c r="B37" i="1"/>
  <c r="B29" i="1"/>
  <c r="B21" i="1"/>
  <c r="B13" i="1"/>
  <c r="B76" i="1"/>
  <c r="B68" i="1"/>
  <c r="B60" i="1"/>
  <c r="B52" i="1"/>
  <c r="B44" i="1"/>
  <c r="B36" i="1"/>
  <c r="B28" i="1"/>
  <c r="B20" i="1"/>
  <c r="B12" i="1"/>
  <c r="B2" i="1"/>
  <c r="B75" i="1"/>
  <c r="B67" i="1"/>
  <c r="B59" i="1"/>
  <c r="B51" i="1"/>
  <c r="B43" i="1"/>
  <c r="B35" i="1"/>
  <c r="B27" i="1"/>
  <c r="B19" i="1"/>
  <c r="B11" i="1"/>
  <c r="B9" i="1"/>
  <c r="B8" i="1"/>
  <c r="B7" i="1"/>
  <c r="J7" i="9" l="1"/>
  <c r="J7" i="8" s="1"/>
  <c r="I8" i="9" s="1"/>
  <c r="I8" i="8" s="1"/>
  <c r="K7" i="9"/>
  <c r="K7" i="8" s="1"/>
  <c r="L8" i="9" s="1"/>
  <c r="L8" i="8" s="1"/>
  <c r="X7" i="9"/>
  <c r="X7" i="8" s="1"/>
  <c r="W8" i="9" s="1"/>
  <c r="W8" i="8" s="1"/>
  <c r="A5" i="8"/>
  <c r="B6" i="9" s="1"/>
  <c r="Z6" i="9"/>
  <c r="N7" i="8"/>
  <c r="M8" i="9" s="1"/>
  <c r="M8" i="8" s="1"/>
  <c r="U8" i="9"/>
  <c r="U8" i="8" s="1"/>
  <c r="V8" i="9"/>
  <c r="V8" i="8" s="1"/>
  <c r="F8" i="9"/>
  <c r="F8" i="8" s="1"/>
  <c r="Q8" i="9"/>
  <c r="Q8" i="8" s="1"/>
  <c r="E8" i="9"/>
  <c r="E8" i="8" s="1"/>
  <c r="G8" i="9"/>
  <c r="G8" i="8" s="1"/>
  <c r="P8" i="9"/>
  <c r="P8" i="8" s="1"/>
  <c r="H8" i="9"/>
  <c r="H8" i="8" s="1"/>
  <c r="R8" i="9"/>
  <c r="R8" i="8" s="1"/>
  <c r="T8" i="9"/>
  <c r="T8" i="8" s="1"/>
  <c r="S8" i="9"/>
  <c r="S8" i="8" s="1"/>
  <c r="C6" i="6"/>
  <c r="B6" i="6"/>
  <c r="D6" i="6"/>
  <c r="B8" i="5"/>
  <c r="C8" i="5"/>
  <c r="N8" i="9" l="1"/>
  <c r="N8" i="8" s="1"/>
  <c r="M9" i="9" s="1"/>
  <c r="M9" i="8" s="1"/>
  <c r="K8" i="9"/>
  <c r="K8" i="8" s="1"/>
  <c r="L9" i="9" s="1"/>
  <c r="L9" i="8" s="1"/>
  <c r="J8" i="9"/>
  <c r="J8" i="8" s="1"/>
  <c r="Z6" i="8"/>
  <c r="O8" i="9"/>
  <c r="O8" i="8" s="1"/>
  <c r="P9" i="9" s="1"/>
  <c r="P9" i="8" s="1"/>
  <c r="B6" i="8"/>
  <c r="C7" i="9" s="1"/>
  <c r="C7" i="8" s="1"/>
  <c r="D8" i="9" s="1"/>
  <c r="D8" i="8" s="1"/>
  <c r="E9" i="9" s="1"/>
  <c r="E9" i="8" s="1"/>
  <c r="U9" i="9"/>
  <c r="U9" i="8" s="1"/>
  <c r="V9" i="9"/>
  <c r="V9" i="8" s="1"/>
  <c r="F9" i="9"/>
  <c r="F9" i="8" s="1"/>
  <c r="Q9" i="9"/>
  <c r="Q9" i="8" s="1"/>
  <c r="G9" i="9"/>
  <c r="G9" i="8" s="1"/>
  <c r="H9" i="9"/>
  <c r="H9" i="8" s="1"/>
  <c r="S9" i="9"/>
  <c r="S9" i="8" s="1"/>
  <c r="R9" i="9"/>
  <c r="R9" i="8" s="1"/>
  <c r="T9" i="9"/>
  <c r="T9" i="8" s="1"/>
  <c r="D7" i="6"/>
  <c r="B7" i="6"/>
  <c r="C7" i="6"/>
  <c r="C9" i="5"/>
  <c r="B9" i="5"/>
  <c r="K9" i="9" l="1"/>
  <c r="K9" i="8" s="1"/>
  <c r="L10" i="9" s="1"/>
  <c r="L10" i="8" s="1"/>
  <c r="J9" i="9"/>
  <c r="J9" i="8" s="1"/>
  <c r="I9" i="9"/>
  <c r="I9" i="8" s="1"/>
  <c r="N9" i="9"/>
  <c r="N9" i="8" s="1"/>
  <c r="M10" i="9" s="1"/>
  <c r="M10" i="8" s="1"/>
  <c r="O9" i="9"/>
  <c r="O9" i="8" s="1"/>
  <c r="P10" i="9" s="1"/>
  <c r="P10" i="8" s="1"/>
  <c r="AA6" i="8"/>
  <c r="Z7" i="9" s="1"/>
  <c r="Y7" i="9"/>
  <c r="Y7" i="8" s="1"/>
  <c r="A6" i="8"/>
  <c r="B7" i="9" s="1"/>
  <c r="B7" i="8" s="1"/>
  <c r="U10" i="9"/>
  <c r="U10" i="8" s="1"/>
  <c r="F10" i="9"/>
  <c r="F10" i="8" s="1"/>
  <c r="G10" i="9"/>
  <c r="G10" i="8" s="1"/>
  <c r="T10" i="9"/>
  <c r="T10" i="8" s="1"/>
  <c r="R10" i="9"/>
  <c r="R10" i="8" s="1"/>
  <c r="S10" i="9"/>
  <c r="S10" i="8" s="1"/>
  <c r="Q10" i="9"/>
  <c r="Q10" i="8" s="1"/>
  <c r="C8" i="6"/>
  <c r="D8" i="6"/>
  <c r="B8" i="6"/>
  <c r="B10" i="5"/>
  <c r="C10" i="5"/>
  <c r="J10" i="9" l="1"/>
  <c r="J10" i="8" s="1"/>
  <c r="K10" i="9"/>
  <c r="K10" i="8" s="1"/>
  <c r="L11" i="9" s="1"/>
  <c r="L11" i="8" s="1"/>
  <c r="H10" i="9"/>
  <c r="H10" i="8" s="1"/>
  <c r="G11" i="9" s="1"/>
  <c r="G11" i="8" s="1"/>
  <c r="I10" i="9"/>
  <c r="I10" i="8" s="1"/>
  <c r="N10" i="9"/>
  <c r="N10" i="8" s="1"/>
  <c r="M11" i="9" s="1"/>
  <c r="M11" i="8" s="1"/>
  <c r="O10" i="9"/>
  <c r="O10" i="8" s="1"/>
  <c r="C8" i="9"/>
  <c r="C8" i="8" s="1"/>
  <c r="D9" i="9" s="1"/>
  <c r="D9" i="8" s="1"/>
  <c r="E10" i="9" s="1"/>
  <c r="E10" i="8" s="1"/>
  <c r="F11" i="9" s="1"/>
  <c r="F11" i="8" s="1"/>
  <c r="AA7" i="8"/>
  <c r="X8" i="9"/>
  <c r="X8" i="8" s="1"/>
  <c r="Z7" i="8"/>
  <c r="Y8" i="9" s="1"/>
  <c r="Y8" i="8" s="1"/>
  <c r="T11" i="9"/>
  <c r="T11" i="8" s="1"/>
  <c r="R11" i="9"/>
  <c r="R11" i="8" s="1"/>
  <c r="S11" i="9"/>
  <c r="S11" i="8" s="1"/>
  <c r="Q11" i="9"/>
  <c r="Q11" i="8" s="1"/>
  <c r="D9" i="6"/>
  <c r="B9" i="6"/>
  <c r="C9" i="6"/>
  <c r="C11" i="5"/>
  <c r="B11" i="5"/>
  <c r="J11" i="9" l="1"/>
  <c r="J11" i="8" s="1"/>
  <c r="H11" i="9"/>
  <c r="H11" i="8" s="1"/>
  <c r="G12" i="9" s="1"/>
  <c r="G12" i="8" s="1"/>
  <c r="K11" i="9"/>
  <c r="K11" i="8" s="1"/>
  <c r="O11" i="9"/>
  <c r="O11" i="8" s="1"/>
  <c r="N11" i="9"/>
  <c r="N11" i="8" s="1"/>
  <c r="M12" i="9" s="1"/>
  <c r="M12" i="8" s="1"/>
  <c r="I11" i="9"/>
  <c r="I11" i="8" s="1"/>
  <c r="P11" i="9"/>
  <c r="P11" i="8" s="1"/>
  <c r="Q12" i="9" s="1"/>
  <c r="Q12" i="8" s="1"/>
  <c r="A7" i="8"/>
  <c r="B8" i="9" s="1"/>
  <c r="W9" i="9"/>
  <c r="W9" i="8" s="1"/>
  <c r="X9" i="9"/>
  <c r="X9" i="8" s="1"/>
  <c r="Z8" i="9"/>
  <c r="R12" i="9"/>
  <c r="R12" i="8" s="1"/>
  <c r="S12" i="9"/>
  <c r="S12" i="8" s="1"/>
  <c r="C10" i="6"/>
  <c r="B10" i="6"/>
  <c r="D10" i="6"/>
  <c r="B12" i="5"/>
  <c r="C12" i="5"/>
  <c r="K12" i="9" l="1"/>
  <c r="K12" i="8" s="1"/>
  <c r="I12" i="9"/>
  <c r="I12" i="8" s="1"/>
  <c r="L12" i="9"/>
  <c r="L12" i="8" s="1"/>
  <c r="H12" i="9"/>
  <c r="H12" i="8" s="1"/>
  <c r="J12" i="9"/>
  <c r="J12" i="8" s="1"/>
  <c r="N12" i="9"/>
  <c r="N12" i="8" s="1"/>
  <c r="O12" i="9"/>
  <c r="O12" i="8" s="1"/>
  <c r="P12" i="9"/>
  <c r="P12" i="8" s="1"/>
  <c r="Z8" i="8"/>
  <c r="W10" i="9"/>
  <c r="W10" i="8" s="1"/>
  <c r="V10" i="9"/>
  <c r="V10" i="8" s="1"/>
  <c r="B8" i="8"/>
  <c r="C9" i="9" s="1"/>
  <c r="C9" i="8" s="1"/>
  <c r="D10" i="9" s="1"/>
  <c r="D10" i="8" s="1"/>
  <c r="E11" i="9" s="1"/>
  <c r="E11" i="8" s="1"/>
  <c r="F12" i="9" s="1"/>
  <c r="F12" i="8" s="1"/>
  <c r="G13" i="9" s="1"/>
  <c r="G13" i="8" s="1"/>
  <c r="R13" i="9"/>
  <c r="R13" i="8" s="1"/>
  <c r="C11" i="6"/>
  <c r="D11" i="6"/>
  <c r="B11" i="6"/>
  <c r="C13" i="5"/>
  <c r="B13" i="5"/>
  <c r="L13" i="9" l="1"/>
  <c r="L13" i="8" s="1"/>
  <c r="K13" i="9"/>
  <c r="K13" i="8" s="1"/>
  <c r="H13" i="9"/>
  <c r="H13" i="8" s="1"/>
  <c r="J13" i="9"/>
  <c r="J13" i="8" s="1"/>
  <c r="I13" i="9"/>
  <c r="I13" i="8" s="1"/>
  <c r="M13" i="9"/>
  <c r="M13" i="8" s="1"/>
  <c r="P13" i="9"/>
  <c r="P13" i="8" s="1"/>
  <c r="N13" i="9"/>
  <c r="N13" i="8" s="1"/>
  <c r="O13" i="9"/>
  <c r="O13" i="8" s="1"/>
  <c r="Q13" i="9"/>
  <c r="Q13" i="8" s="1"/>
  <c r="AA8" i="8"/>
  <c r="Z9" i="9" s="1"/>
  <c r="V11" i="9"/>
  <c r="V11" i="8" s="1"/>
  <c r="U11" i="9"/>
  <c r="U11" i="8" s="1"/>
  <c r="Y9" i="9"/>
  <c r="Y9" i="8" s="1"/>
  <c r="A8" i="8"/>
  <c r="B9" i="9" s="1"/>
  <c r="D12" i="6"/>
  <c r="B12" i="6"/>
  <c r="C12" i="6"/>
  <c r="C14" i="5"/>
  <c r="B14" i="5"/>
  <c r="K14" i="9" l="1"/>
  <c r="K14" i="8" s="1"/>
  <c r="L14" i="9"/>
  <c r="L14" i="8" s="1"/>
  <c r="J14" i="9"/>
  <c r="J14" i="8" s="1"/>
  <c r="H14" i="9"/>
  <c r="H14" i="8" s="1"/>
  <c r="I14" i="9"/>
  <c r="I14" i="8" s="1"/>
  <c r="N14" i="9"/>
  <c r="N14" i="8" s="1"/>
  <c r="O14" i="9"/>
  <c r="O14" i="8" s="1"/>
  <c r="M14" i="9"/>
  <c r="M14" i="8" s="1"/>
  <c r="Q14" i="9"/>
  <c r="Q14" i="8" s="1"/>
  <c r="P14" i="9"/>
  <c r="P14" i="8" s="1"/>
  <c r="B9" i="8"/>
  <c r="C10" i="9" s="1"/>
  <c r="C10" i="8" s="1"/>
  <c r="D11" i="9" s="1"/>
  <c r="D11" i="8" s="1"/>
  <c r="E12" i="9" s="1"/>
  <c r="E12" i="8" s="1"/>
  <c r="F13" i="9" s="1"/>
  <c r="F13" i="8" s="1"/>
  <c r="G14" i="9" s="1"/>
  <c r="G14" i="8" s="1"/>
  <c r="X10" i="9"/>
  <c r="X10" i="8" s="1"/>
  <c r="T12" i="9"/>
  <c r="U12" i="9"/>
  <c r="U12" i="8" s="1"/>
  <c r="Z9" i="8"/>
  <c r="A9" i="8" s="1"/>
  <c r="C13" i="6"/>
  <c r="D13" i="6"/>
  <c r="B13" i="6"/>
  <c r="C15" i="5"/>
  <c r="B15" i="5"/>
  <c r="L15" i="9" l="1"/>
  <c r="L15" i="8" s="1"/>
  <c r="K15" i="9"/>
  <c r="K15" i="8" s="1"/>
  <c r="N15" i="9"/>
  <c r="N15" i="8" s="1"/>
  <c r="H15" i="9"/>
  <c r="H15" i="8" s="1"/>
  <c r="M15" i="9"/>
  <c r="M15" i="8" s="1"/>
  <c r="P15" i="9"/>
  <c r="P15" i="8" s="1"/>
  <c r="O15" i="9"/>
  <c r="O15" i="8" s="1"/>
  <c r="I15" i="9"/>
  <c r="I15" i="8" s="1"/>
  <c r="J15" i="9"/>
  <c r="J15" i="8" s="1"/>
  <c r="B10" i="9"/>
  <c r="B10" i="8" s="1"/>
  <c r="C11" i="9" s="1"/>
  <c r="C11" i="8" s="1"/>
  <c r="D12" i="9" s="1"/>
  <c r="D12" i="8" s="1"/>
  <c r="E13" i="9" s="1"/>
  <c r="E13" i="8" s="1"/>
  <c r="F14" i="9" s="1"/>
  <c r="F14" i="8" s="1"/>
  <c r="G15" i="9" s="1"/>
  <c r="G15" i="8" s="1"/>
  <c r="T12" i="8"/>
  <c r="Y10" i="9"/>
  <c r="Y10" i="8" s="1"/>
  <c r="AA9" i="8"/>
  <c r="Z10" i="9" s="1"/>
  <c r="W11" i="9"/>
  <c r="B14" i="6"/>
  <c r="D14" i="6"/>
  <c r="C14" i="6"/>
  <c r="C16" i="5"/>
  <c r="B16" i="5"/>
  <c r="K16" i="9" l="1"/>
  <c r="K16" i="8" s="1"/>
  <c r="O16" i="9"/>
  <c r="O16" i="8" s="1"/>
  <c r="N16" i="9"/>
  <c r="N16" i="8" s="1"/>
  <c r="L16" i="9"/>
  <c r="L16" i="8" s="1"/>
  <c r="M16" i="9"/>
  <c r="M16" i="8" s="1"/>
  <c r="I16" i="9"/>
  <c r="I16" i="8" s="1"/>
  <c r="H16" i="9"/>
  <c r="H16" i="8" s="1"/>
  <c r="Z10" i="8"/>
  <c r="W11" i="8"/>
  <c r="J16" i="9"/>
  <c r="J16" i="8" s="1"/>
  <c r="S13" i="9"/>
  <c r="T13" i="9"/>
  <c r="X11" i="9"/>
  <c r="X11" i="8" s="1"/>
  <c r="AA10" i="8"/>
  <c r="C15" i="6"/>
  <c r="B15" i="6"/>
  <c r="D15" i="6"/>
  <c r="B17" i="5"/>
  <c r="C17" i="5"/>
  <c r="M17" i="9" l="1"/>
  <c r="M17" i="8" s="1"/>
  <c r="L17" i="9"/>
  <c r="L17" i="8" s="1"/>
  <c r="I17" i="9"/>
  <c r="I17" i="8" s="1"/>
  <c r="N17" i="9"/>
  <c r="N17" i="8" s="1"/>
  <c r="Z11" i="9"/>
  <c r="Z11" i="8" s="1"/>
  <c r="A11" i="8" s="1"/>
  <c r="Y11" i="9"/>
  <c r="Y11" i="8" s="1"/>
  <c r="X12" i="9" s="1"/>
  <c r="X12" i="8" s="1"/>
  <c r="T13" i="8"/>
  <c r="S13" i="8"/>
  <c r="W12" i="9"/>
  <c r="A10" i="8"/>
  <c r="B11" i="9" s="1"/>
  <c r="J17" i="9"/>
  <c r="J17" i="8" s="1"/>
  <c r="K17" i="9"/>
  <c r="K17" i="8" s="1"/>
  <c r="V12" i="9"/>
  <c r="V12" i="8" s="1"/>
  <c r="D16" i="6"/>
  <c r="B16" i="6"/>
  <c r="C16" i="6"/>
  <c r="B18" i="5"/>
  <c r="C18" i="5"/>
  <c r="M18" i="9" l="1"/>
  <c r="M18" i="8" s="1"/>
  <c r="L18" i="9"/>
  <c r="L18" i="8" s="1"/>
  <c r="Y12" i="9"/>
  <c r="Y12" i="8" s="1"/>
  <c r="U13" i="9"/>
  <c r="U13" i="8" s="1"/>
  <c r="T14" i="9" s="1"/>
  <c r="T14" i="8" s="1"/>
  <c r="J18" i="9"/>
  <c r="J18" i="8" s="1"/>
  <c r="K18" i="9"/>
  <c r="K18" i="8" s="1"/>
  <c r="B11" i="8"/>
  <c r="C12" i="9" s="1"/>
  <c r="C12" i="8" s="1"/>
  <c r="D13" i="9" s="1"/>
  <c r="D13" i="8" s="1"/>
  <c r="E14" i="9" s="1"/>
  <c r="E14" i="8" s="1"/>
  <c r="F15" i="9" s="1"/>
  <c r="F15" i="8" s="1"/>
  <c r="G16" i="9" s="1"/>
  <c r="W12" i="8"/>
  <c r="R14" i="9"/>
  <c r="R14" i="8" s="1"/>
  <c r="S14" i="9"/>
  <c r="D17" i="6"/>
  <c r="B17" i="6"/>
  <c r="C17" i="6"/>
  <c r="B19" i="5"/>
  <c r="C19" i="5"/>
  <c r="L19" i="9" l="1"/>
  <c r="L19" i="8" s="1"/>
  <c r="X13" i="9"/>
  <c r="X13" i="8" s="1"/>
  <c r="K19" i="9"/>
  <c r="K19" i="8" s="1"/>
  <c r="S14" i="8"/>
  <c r="S15" i="9" s="1"/>
  <c r="AA11" i="8"/>
  <c r="Z12" i="9" s="1"/>
  <c r="Q15" i="9"/>
  <c r="Q15" i="8" s="1"/>
  <c r="V13" i="9"/>
  <c r="V13" i="8" s="1"/>
  <c r="W13" i="9"/>
  <c r="G16" i="8"/>
  <c r="H17" i="9" s="1"/>
  <c r="H17" i="8" s="1"/>
  <c r="I18" i="9" s="1"/>
  <c r="I18" i="8" s="1"/>
  <c r="J19" i="9" s="1"/>
  <c r="J19" i="8" s="1"/>
  <c r="B12" i="9"/>
  <c r="D18" i="6"/>
  <c r="B18" i="6"/>
  <c r="C18" i="6"/>
  <c r="C20" i="5"/>
  <c r="B20" i="5"/>
  <c r="K20" i="9" l="1"/>
  <c r="K20" i="8" s="1"/>
  <c r="P16" i="9"/>
  <c r="P16" i="8" s="1"/>
  <c r="R15" i="9"/>
  <c r="R15" i="8" s="1"/>
  <c r="Z12" i="8"/>
  <c r="A12" i="8" s="1"/>
  <c r="S15" i="8"/>
  <c r="B12" i="8"/>
  <c r="C13" i="9" s="1"/>
  <c r="C13" i="8" s="1"/>
  <c r="D14" i="9" s="1"/>
  <c r="D14" i="8" s="1"/>
  <c r="E15" i="9" s="1"/>
  <c r="W13" i="8"/>
  <c r="V14" i="9" s="1"/>
  <c r="V14" i="8" s="1"/>
  <c r="U14" i="9"/>
  <c r="U14" i="8" s="1"/>
  <c r="D19" i="6"/>
  <c r="C19" i="6"/>
  <c r="B19" i="6"/>
  <c r="B21" i="5"/>
  <c r="C21" i="5"/>
  <c r="W14" i="9" l="1"/>
  <c r="W14" i="8" s="1"/>
  <c r="V15" i="9" s="1"/>
  <c r="B13" i="9"/>
  <c r="B13" i="8" s="1"/>
  <c r="C14" i="9" s="1"/>
  <c r="C14" i="8" s="1"/>
  <c r="D15" i="9" s="1"/>
  <c r="D15" i="8" s="1"/>
  <c r="R16" i="9"/>
  <c r="R16" i="8" s="1"/>
  <c r="U15" i="9"/>
  <c r="U15" i="8" s="1"/>
  <c r="E15" i="8"/>
  <c r="F16" i="9" s="1"/>
  <c r="F16" i="8" s="1"/>
  <c r="G17" i="9" s="1"/>
  <c r="O17" i="9"/>
  <c r="O17" i="8" s="1"/>
  <c r="Y13" i="9"/>
  <c r="Y13" i="8" s="1"/>
  <c r="X14" i="9" s="1"/>
  <c r="X14" i="8" s="1"/>
  <c r="AA12" i="8"/>
  <c r="Z13" i="9" s="1"/>
  <c r="Q16" i="9"/>
  <c r="Q16" i="8" s="1"/>
  <c r="T15" i="9"/>
  <c r="T15" i="8" s="1"/>
  <c r="S16" i="9" s="1"/>
  <c r="D20" i="6"/>
  <c r="C20" i="6"/>
  <c r="B20" i="6"/>
  <c r="C22" i="5"/>
  <c r="B22" i="5"/>
  <c r="Q17" i="9" l="1"/>
  <c r="Q17" i="8" s="1"/>
  <c r="E16" i="9"/>
  <c r="E16" i="8" s="1"/>
  <c r="F17" i="9" s="1"/>
  <c r="F17" i="8" s="1"/>
  <c r="P17" i="9"/>
  <c r="P17" i="8" s="1"/>
  <c r="O18" i="9" s="1"/>
  <c r="O18" i="8" s="1"/>
  <c r="Z13" i="8"/>
  <c r="A13" i="8" s="1"/>
  <c r="B14" i="9" s="1"/>
  <c r="W15" i="9"/>
  <c r="W15" i="8" s="1"/>
  <c r="V15" i="8"/>
  <c r="U16" i="9" s="1"/>
  <c r="U16" i="8" s="1"/>
  <c r="T16" i="9"/>
  <c r="T16" i="8" s="1"/>
  <c r="N18" i="9"/>
  <c r="N18" i="8" s="1"/>
  <c r="G17" i="8"/>
  <c r="H18" i="9" s="1"/>
  <c r="H18" i="8" s="1"/>
  <c r="I19" i="9" s="1"/>
  <c r="I19" i="8" s="1"/>
  <c r="J20" i="9" s="1"/>
  <c r="S16" i="8"/>
  <c r="R17" i="9" s="1"/>
  <c r="R17" i="8" s="1"/>
  <c r="AA13" i="8"/>
  <c r="B21" i="6"/>
  <c r="D21" i="6"/>
  <c r="C21" i="6"/>
  <c r="C23" i="5"/>
  <c r="B23" i="5"/>
  <c r="Z14" i="9" l="1"/>
  <c r="Z14" i="8" s="1"/>
  <c r="A14" i="8" s="1"/>
  <c r="P18" i="9"/>
  <c r="P18" i="8" s="1"/>
  <c r="O19" i="9" s="1"/>
  <c r="O19" i="8" s="1"/>
  <c r="S17" i="9"/>
  <c r="S17" i="8" s="1"/>
  <c r="R18" i="9" s="1"/>
  <c r="R18" i="8" s="1"/>
  <c r="B14" i="8"/>
  <c r="C15" i="9" s="1"/>
  <c r="C15" i="8" s="1"/>
  <c r="D16" i="9" s="1"/>
  <c r="J20" i="8"/>
  <c r="T17" i="9"/>
  <c r="T17" i="8" s="1"/>
  <c r="N19" i="9"/>
  <c r="N19" i="8" s="1"/>
  <c r="M19" i="9"/>
  <c r="M19" i="8" s="1"/>
  <c r="V16" i="9"/>
  <c r="V16" i="8" s="1"/>
  <c r="U17" i="9" s="1"/>
  <c r="U17" i="8" s="1"/>
  <c r="G18" i="9"/>
  <c r="Y14" i="9"/>
  <c r="Y14" i="8" s="1"/>
  <c r="Q18" i="9"/>
  <c r="Q18" i="8" s="1"/>
  <c r="B22" i="6"/>
  <c r="D22" i="6"/>
  <c r="C22" i="6"/>
  <c r="B24" i="5"/>
  <c r="C24" i="5"/>
  <c r="B15" i="9" l="1"/>
  <c r="B15" i="8" s="1"/>
  <c r="C16" i="9" s="1"/>
  <c r="Q19" i="9"/>
  <c r="Q19" i="8" s="1"/>
  <c r="Y15" i="9"/>
  <c r="Y15" i="8" s="1"/>
  <c r="X15" i="9"/>
  <c r="X15" i="8" s="1"/>
  <c r="T18" i="9"/>
  <c r="T18" i="8" s="1"/>
  <c r="G18" i="8"/>
  <c r="H19" i="9" s="1"/>
  <c r="H19" i="8" s="1"/>
  <c r="I20" i="9" s="1"/>
  <c r="I20" i="8" s="1"/>
  <c r="J21" i="9" s="1"/>
  <c r="J21" i="8" s="1"/>
  <c r="D16" i="8"/>
  <c r="E17" i="9" s="1"/>
  <c r="E17" i="8" s="1"/>
  <c r="F18" i="9" s="1"/>
  <c r="F18" i="8" s="1"/>
  <c r="S18" i="9"/>
  <c r="S18" i="8" s="1"/>
  <c r="R19" i="9" s="1"/>
  <c r="R19" i="8" s="1"/>
  <c r="P19" i="9"/>
  <c r="P19" i="8" s="1"/>
  <c r="AA14" i="8"/>
  <c r="Z15" i="9" s="1"/>
  <c r="M20" i="9"/>
  <c r="M20" i="8" s="1"/>
  <c r="N20" i="9"/>
  <c r="N20" i="8" s="1"/>
  <c r="L20" i="9"/>
  <c r="L20" i="8" s="1"/>
  <c r="K21" i="9" s="1"/>
  <c r="C23" i="6"/>
  <c r="B23" i="6"/>
  <c r="D23" i="6"/>
  <c r="C25" i="5"/>
  <c r="B25" i="5"/>
  <c r="P20" i="9" l="1"/>
  <c r="P20" i="8" s="1"/>
  <c r="G19" i="9"/>
  <c r="G19" i="8" s="1"/>
  <c r="H20" i="9" s="1"/>
  <c r="H20" i="8" s="1"/>
  <c r="I21" i="9" s="1"/>
  <c r="I21" i="8" s="1"/>
  <c r="L21" i="9"/>
  <c r="L21" i="8" s="1"/>
  <c r="M21" i="9"/>
  <c r="M21" i="8" s="1"/>
  <c r="X16" i="9"/>
  <c r="X16" i="8" s="1"/>
  <c r="W16" i="9"/>
  <c r="W16" i="8" s="1"/>
  <c r="Z15" i="8"/>
  <c r="Y16" i="9" s="1"/>
  <c r="Y16" i="8" s="1"/>
  <c r="AA15" i="8"/>
  <c r="C16" i="8"/>
  <c r="D17" i="9" s="1"/>
  <c r="D17" i="8" s="1"/>
  <c r="E18" i="9" s="1"/>
  <c r="E18" i="8" s="1"/>
  <c r="F19" i="9" s="1"/>
  <c r="F19" i="8" s="1"/>
  <c r="S19" i="9"/>
  <c r="S19" i="8" s="1"/>
  <c r="R20" i="9" s="1"/>
  <c r="R20" i="8" s="1"/>
  <c r="K21" i="8"/>
  <c r="Q20" i="9"/>
  <c r="Q20" i="8" s="1"/>
  <c r="O20" i="9"/>
  <c r="O20" i="8" s="1"/>
  <c r="D24" i="6"/>
  <c r="B24" i="6"/>
  <c r="C24" i="6"/>
  <c r="B26" i="5"/>
  <c r="C26" i="5"/>
  <c r="G20" i="9" l="1"/>
  <c r="G20" i="8" s="1"/>
  <c r="H21" i="9" s="1"/>
  <c r="H21" i="8" s="1"/>
  <c r="I22" i="9" s="1"/>
  <c r="I22" i="8" s="1"/>
  <c r="Z16" i="9"/>
  <c r="Z16" i="8" s="1"/>
  <c r="P21" i="9"/>
  <c r="P21" i="8" s="1"/>
  <c r="A15" i="8"/>
  <c r="B16" i="9" s="1"/>
  <c r="B16" i="8" s="1"/>
  <c r="C17" i="9" s="1"/>
  <c r="C17" i="8" s="1"/>
  <c r="D18" i="9" s="1"/>
  <c r="D18" i="8" s="1"/>
  <c r="E19" i="9" s="1"/>
  <c r="E19" i="8" s="1"/>
  <c r="F20" i="9" s="1"/>
  <c r="F20" i="8" s="1"/>
  <c r="L22" i="9"/>
  <c r="L22" i="8" s="1"/>
  <c r="O21" i="9"/>
  <c r="O21" i="8" s="1"/>
  <c r="J22" i="9"/>
  <c r="J22" i="8" s="1"/>
  <c r="K22" i="9"/>
  <c r="K22" i="8" s="1"/>
  <c r="X17" i="9"/>
  <c r="X17" i="8" s="1"/>
  <c r="W17" i="9"/>
  <c r="W17" i="8" s="1"/>
  <c r="V17" i="9"/>
  <c r="Q21" i="9"/>
  <c r="Q21" i="8" s="1"/>
  <c r="N21" i="9"/>
  <c r="N21" i="8" s="1"/>
  <c r="B25" i="6"/>
  <c r="C25" i="6"/>
  <c r="D25" i="6"/>
  <c r="B27" i="5"/>
  <c r="C27" i="5"/>
  <c r="G21" i="9" l="1"/>
  <c r="G21" i="8" s="1"/>
  <c r="H22" i="9" s="1"/>
  <c r="H22" i="8" s="1"/>
  <c r="I23" i="9" s="1"/>
  <c r="I23" i="8" s="1"/>
  <c r="O22" i="9"/>
  <c r="O22" i="8" s="1"/>
  <c r="A16" i="8"/>
  <c r="B17" i="9" s="1"/>
  <c r="B17" i="8" s="1"/>
  <c r="C18" i="9" s="1"/>
  <c r="C18" i="8" s="1"/>
  <c r="D19" i="9" s="1"/>
  <c r="D19" i="8" s="1"/>
  <c r="E20" i="9" s="1"/>
  <c r="E20" i="8" s="1"/>
  <c r="F21" i="9" s="1"/>
  <c r="F21" i="8" s="1"/>
  <c r="Y17" i="9"/>
  <c r="Y17" i="8" s="1"/>
  <c r="X18" i="9" s="1"/>
  <c r="X18" i="8" s="1"/>
  <c r="J23" i="9"/>
  <c r="J23" i="8" s="1"/>
  <c r="N22" i="9"/>
  <c r="N22" i="8" s="1"/>
  <c r="K23" i="9"/>
  <c r="K23" i="8" s="1"/>
  <c r="P22" i="9"/>
  <c r="P22" i="8" s="1"/>
  <c r="M22" i="9"/>
  <c r="M22" i="8" s="1"/>
  <c r="L23" i="9" s="1"/>
  <c r="L23" i="8" s="1"/>
  <c r="AA16" i="8"/>
  <c r="Z17" i="9" s="1"/>
  <c r="V17" i="8"/>
  <c r="B26" i="6"/>
  <c r="D26" i="6"/>
  <c r="C26" i="6"/>
  <c r="B28" i="5"/>
  <c r="C28" i="5"/>
  <c r="G22" i="9" l="1"/>
  <c r="J24" i="9"/>
  <c r="J24" i="8" s="1"/>
  <c r="O23" i="9"/>
  <c r="O23" i="8" s="1"/>
  <c r="V18" i="9"/>
  <c r="U18" i="9"/>
  <c r="U18" i="8" s="1"/>
  <c r="G22" i="8"/>
  <c r="H23" i="9" s="1"/>
  <c r="W18" i="9"/>
  <c r="W18" i="8" s="1"/>
  <c r="AA17" i="8"/>
  <c r="Z17" i="8"/>
  <c r="N23" i="9"/>
  <c r="N23" i="8" s="1"/>
  <c r="M23" i="9"/>
  <c r="M23" i="8" s="1"/>
  <c r="K24" i="9"/>
  <c r="K24" i="8" s="1"/>
  <c r="C27" i="6"/>
  <c r="D27" i="6"/>
  <c r="B27" i="6"/>
  <c r="B29" i="5"/>
  <c r="C29" i="5"/>
  <c r="N24" i="9" l="1"/>
  <c r="N24" i="8" s="1"/>
  <c r="H23" i="8"/>
  <c r="I24" i="9" s="1"/>
  <c r="I24" i="8" s="1"/>
  <c r="J25" i="9" s="1"/>
  <c r="J25" i="8" s="1"/>
  <c r="V18" i="8"/>
  <c r="W19" i="9" s="1"/>
  <c r="W19" i="8" s="1"/>
  <c r="Y18" i="9"/>
  <c r="Y18" i="8" s="1"/>
  <c r="Z18" i="9"/>
  <c r="A17" i="8"/>
  <c r="B18" i="9" s="1"/>
  <c r="L24" i="9"/>
  <c r="L24" i="8" s="1"/>
  <c r="T19" i="9"/>
  <c r="T19" i="8" s="1"/>
  <c r="M24" i="9"/>
  <c r="M24" i="8" s="1"/>
  <c r="D28" i="6"/>
  <c r="B28" i="6"/>
  <c r="C28" i="6"/>
  <c r="B30" i="5"/>
  <c r="C30" i="5"/>
  <c r="U19" i="9" l="1"/>
  <c r="U19" i="8" s="1"/>
  <c r="T20" i="9" s="1"/>
  <c r="T20" i="8" s="1"/>
  <c r="S20" i="9"/>
  <c r="S20" i="8" s="1"/>
  <c r="V19" i="9"/>
  <c r="X19" i="9"/>
  <c r="X19" i="8" s="1"/>
  <c r="B18" i="8"/>
  <c r="C19" i="9" s="1"/>
  <c r="C19" i="8" s="1"/>
  <c r="D20" i="9" s="1"/>
  <c r="D20" i="8" s="1"/>
  <c r="E21" i="9" s="1"/>
  <c r="M25" i="9"/>
  <c r="M25" i="8" s="1"/>
  <c r="L25" i="9"/>
  <c r="L25" i="8" s="1"/>
  <c r="K25" i="9"/>
  <c r="K25" i="8" s="1"/>
  <c r="Z18" i="8"/>
  <c r="A18" i="8" s="1"/>
  <c r="B29" i="6"/>
  <c r="C29" i="6"/>
  <c r="D29" i="6"/>
  <c r="B31" i="5"/>
  <c r="C31" i="5"/>
  <c r="B19" i="9" l="1"/>
  <c r="B19" i="8" s="1"/>
  <c r="C20" i="9" s="1"/>
  <c r="C20" i="8" s="1"/>
  <c r="D21" i="9" s="1"/>
  <c r="D21" i="8" s="1"/>
  <c r="L26" i="9"/>
  <c r="L26" i="8" s="1"/>
  <c r="Y19" i="9"/>
  <c r="Y19" i="8" s="1"/>
  <c r="AA18" i="8"/>
  <c r="Z19" i="9" s="1"/>
  <c r="E21" i="8"/>
  <c r="F22" i="9" s="1"/>
  <c r="F22" i="8" s="1"/>
  <c r="G23" i="9" s="1"/>
  <c r="G23" i="8" s="1"/>
  <c r="H24" i="9" s="1"/>
  <c r="H24" i="8" s="1"/>
  <c r="I25" i="9" s="1"/>
  <c r="I25" i="8" s="1"/>
  <c r="J26" i="9" s="1"/>
  <c r="J26" i="8" s="1"/>
  <c r="K27" i="9" s="1"/>
  <c r="K27" i="8" s="1"/>
  <c r="K26" i="9"/>
  <c r="K26" i="8" s="1"/>
  <c r="S21" i="9"/>
  <c r="S21" i="8" s="1"/>
  <c r="R21" i="9"/>
  <c r="R21" i="8" s="1"/>
  <c r="V19" i="8"/>
  <c r="W20" i="9" s="1"/>
  <c r="W20" i="8" s="1"/>
  <c r="C30" i="6"/>
  <c r="B30" i="6"/>
  <c r="D30" i="6"/>
  <c r="B32" i="5"/>
  <c r="C32" i="5"/>
  <c r="U20" i="9" l="1"/>
  <c r="U20" i="8" s="1"/>
  <c r="T21" i="9" s="1"/>
  <c r="R22" i="9"/>
  <c r="R22" i="8" s="1"/>
  <c r="Q22" i="9"/>
  <c r="E22" i="9"/>
  <c r="Z19" i="8"/>
  <c r="AA19" i="8"/>
  <c r="V20" i="9"/>
  <c r="V20" i="8" s="1"/>
  <c r="X20" i="9"/>
  <c r="D31" i="6"/>
  <c r="C31" i="6"/>
  <c r="B31" i="6"/>
  <c r="B33" i="5"/>
  <c r="C33" i="5"/>
  <c r="V21" i="9" l="1"/>
  <c r="V21" i="8" s="1"/>
  <c r="Z20" i="9"/>
  <c r="Z20" i="8" s="1"/>
  <c r="A20" i="8" s="1"/>
  <c r="Y20" i="9"/>
  <c r="Y20" i="8" s="1"/>
  <c r="E22" i="8"/>
  <c r="F23" i="9" s="1"/>
  <c r="F23" i="8" s="1"/>
  <c r="G24" i="9" s="1"/>
  <c r="G24" i="8" s="1"/>
  <c r="H25" i="9" s="1"/>
  <c r="H25" i="8" s="1"/>
  <c r="I26" i="9" s="1"/>
  <c r="I26" i="8" s="1"/>
  <c r="J27" i="9" s="1"/>
  <c r="J27" i="8" s="1"/>
  <c r="A19" i="8"/>
  <c r="B20" i="9" s="1"/>
  <c r="T21" i="8"/>
  <c r="S22" i="9" s="1"/>
  <c r="S22" i="8" s="1"/>
  <c r="Q22" i="8"/>
  <c r="X20" i="8"/>
  <c r="U21" i="9"/>
  <c r="C32" i="6"/>
  <c r="D32" i="6"/>
  <c r="B32" i="6"/>
  <c r="B34" i="5"/>
  <c r="C34" i="5"/>
  <c r="X21" i="9" l="1"/>
  <c r="X21" i="8" s="1"/>
  <c r="U21" i="8"/>
  <c r="U22" i="9" s="1"/>
  <c r="U22" i="8" s="1"/>
  <c r="P23" i="9"/>
  <c r="P23" i="8" s="1"/>
  <c r="Q23" i="9"/>
  <c r="R23" i="9"/>
  <c r="R23" i="8" s="1"/>
  <c r="B20" i="8"/>
  <c r="C21" i="9" s="1"/>
  <c r="C21" i="8" s="1"/>
  <c r="D22" i="9" s="1"/>
  <c r="D22" i="8" s="1"/>
  <c r="E23" i="9" s="1"/>
  <c r="Y21" i="9"/>
  <c r="Y21" i="8" s="1"/>
  <c r="W21" i="9"/>
  <c r="W21" i="8" s="1"/>
  <c r="D33" i="6"/>
  <c r="B33" i="6"/>
  <c r="C33" i="6"/>
  <c r="B35" i="5"/>
  <c r="C35" i="5"/>
  <c r="T22" i="9" l="1"/>
  <c r="T22" i="8" s="1"/>
  <c r="S23" i="9" s="1"/>
  <c r="S23" i="8" s="1"/>
  <c r="V22" i="9"/>
  <c r="V22" i="8" s="1"/>
  <c r="O24" i="9"/>
  <c r="O24" i="8" s="1"/>
  <c r="AA20" i="8"/>
  <c r="Z21" i="9" s="1"/>
  <c r="X22" i="9"/>
  <c r="X22" i="8" s="1"/>
  <c r="W22" i="9"/>
  <c r="W22" i="8" s="1"/>
  <c r="B21" i="9"/>
  <c r="B21" i="8" s="1"/>
  <c r="Q23" i="8"/>
  <c r="E23" i="8"/>
  <c r="F24" i="9" s="1"/>
  <c r="F24" i="8" s="1"/>
  <c r="G25" i="9" s="1"/>
  <c r="G25" i="8" s="1"/>
  <c r="H26" i="9" s="1"/>
  <c r="H26" i="8" s="1"/>
  <c r="I27" i="9" s="1"/>
  <c r="I27" i="8" s="1"/>
  <c r="J28" i="9" s="1"/>
  <c r="J28" i="8" s="1"/>
  <c r="C34" i="6"/>
  <c r="D34" i="6"/>
  <c r="B34" i="6"/>
  <c r="B36" i="5"/>
  <c r="C36" i="5"/>
  <c r="T23" i="9" l="1"/>
  <c r="T23" i="8" s="1"/>
  <c r="U23" i="9"/>
  <c r="U23" i="8" s="1"/>
  <c r="V23" i="9"/>
  <c r="V23" i="8" s="1"/>
  <c r="R24" i="9"/>
  <c r="R24" i="8" s="1"/>
  <c r="Z21" i="8"/>
  <c r="Y22" i="9" s="1"/>
  <c r="Y22" i="8" s="1"/>
  <c r="X23" i="9" s="1"/>
  <c r="X23" i="8" s="1"/>
  <c r="N25" i="9"/>
  <c r="N25" i="8" s="1"/>
  <c r="Q24" i="9"/>
  <c r="C22" i="9"/>
  <c r="C22" i="8" s="1"/>
  <c r="D23" i="9" s="1"/>
  <c r="D23" i="8" s="1"/>
  <c r="E24" i="9" s="1"/>
  <c r="AA21" i="8"/>
  <c r="P24" i="9"/>
  <c r="P24" i="8" s="1"/>
  <c r="W23" i="9"/>
  <c r="W23" i="8" s="1"/>
  <c r="D35" i="6"/>
  <c r="C35" i="6"/>
  <c r="B35" i="6"/>
  <c r="B37" i="5"/>
  <c r="C37" i="5"/>
  <c r="T24" i="9" l="1"/>
  <c r="T24" i="8" s="1"/>
  <c r="U24" i="9"/>
  <c r="U24" i="8" s="1"/>
  <c r="S24" i="9"/>
  <c r="S24" i="8" s="1"/>
  <c r="S25" i="9" s="1"/>
  <c r="Z22" i="9"/>
  <c r="Z22" i="8" s="1"/>
  <c r="Y23" i="9" s="1"/>
  <c r="Y23" i="8" s="1"/>
  <c r="W24" i="9"/>
  <c r="W24" i="8" s="1"/>
  <c r="O25" i="9"/>
  <c r="M26" i="9"/>
  <c r="M26" i="8" s="1"/>
  <c r="E24" i="8"/>
  <c r="F25" i="9" s="1"/>
  <c r="F25" i="8" s="1"/>
  <c r="G26" i="9" s="1"/>
  <c r="G26" i="8" s="1"/>
  <c r="H27" i="9" s="1"/>
  <c r="A21" i="8"/>
  <c r="B22" i="9" s="1"/>
  <c r="B22" i="8" s="1"/>
  <c r="Q24" i="8"/>
  <c r="P25" i="9" s="1"/>
  <c r="V24" i="9"/>
  <c r="V24" i="8" s="1"/>
  <c r="D36" i="6"/>
  <c r="C36" i="6"/>
  <c r="B36" i="6"/>
  <c r="B38" i="5"/>
  <c r="C38" i="5"/>
  <c r="T25" i="9" l="1"/>
  <c r="T25" i="8" s="1"/>
  <c r="U25" i="9"/>
  <c r="U25" i="8" s="1"/>
  <c r="X24" i="9"/>
  <c r="X24" i="8" s="1"/>
  <c r="W25" i="9" s="1"/>
  <c r="W25" i="8" s="1"/>
  <c r="P25" i="8"/>
  <c r="L27" i="9"/>
  <c r="L27" i="8" s="1"/>
  <c r="S25" i="8"/>
  <c r="O25" i="8"/>
  <c r="A22" i="8"/>
  <c r="B23" i="9" s="1"/>
  <c r="B23" i="8" s="1"/>
  <c r="V25" i="9"/>
  <c r="V25" i="8" s="1"/>
  <c r="R25" i="9"/>
  <c r="R25" i="8" s="1"/>
  <c r="Q25" i="9"/>
  <c r="Q25" i="8" s="1"/>
  <c r="C23" i="9"/>
  <c r="C23" i="8" s="1"/>
  <c r="D24" i="9" s="1"/>
  <c r="D24" i="8" s="1"/>
  <c r="E25" i="9" s="1"/>
  <c r="E25" i="8" s="1"/>
  <c r="F26" i="9" s="1"/>
  <c r="F26" i="8" s="1"/>
  <c r="G27" i="9" s="1"/>
  <c r="G27" i="8" s="1"/>
  <c r="AA22" i="8"/>
  <c r="Z23" i="9" s="1"/>
  <c r="H27" i="8"/>
  <c r="I28" i="9" s="1"/>
  <c r="I28" i="8" s="1"/>
  <c r="D37" i="6"/>
  <c r="B37" i="6"/>
  <c r="C37" i="6"/>
  <c r="B39" i="5"/>
  <c r="C39" i="5"/>
  <c r="P26" i="9" l="1"/>
  <c r="P26" i="8" s="1"/>
  <c r="T26" i="9"/>
  <c r="T26" i="8" s="1"/>
  <c r="H28" i="9"/>
  <c r="H28" i="8" s="1"/>
  <c r="I29" i="9" s="1"/>
  <c r="I29" i="8" s="1"/>
  <c r="Q26" i="9"/>
  <c r="Q26" i="8" s="1"/>
  <c r="C24" i="9"/>
  <c r="C24" i="8" s="1"/>
  <c r="D25" i="9" s="1"/>
  <c r="D25" i="8" s="1"/>
  <c r="E26" i="9" s="1"/>
  <c r="E26" i="8" s="1"/>
  <c r="F27" i="9" s="1"/>
  <c r="F27" i="8" s="1"/>
  <c r="G28" i="9" s="1"/>
  <c r="G28" i="8" s="1"/>
  <c r="H29" i="9" s="1"/>
  <c r="H29" i="8" s="1"/>
  <c r="AA23" i="8"/>
  <c r="O26" i="9"/>
  <c r="O26" i="8" s="1"/>
  <c r="N26" i="9"/>
  <c r="N26" i="8" s="1"/>
  <c r="Z23" i="8"/>
  <c r="Y24" i="9" s="1"/>
  <c r="Y24" i="8" s="1"/>
  <c r="R26" i="9"/>
  <c r="R26" i="8" s="1"/>
  <c r="U26" i="9"/>
  <c r="U26" i="8" s="1"/>
  <c r="S26" i="9"/>
  <c r="K28" i="9"/>
  <c r="K28" i="8" s="1"/>
  <c r="V26" i="9"/>
  <c r="V26" i="8" s="1"/>
  <c r="D38" i="6"/>
  <c r="C38" i="6"/>
  <c r="B38" i="6"/>
  <c r="B40" i="5"/>
  <c r="C40" i="5"/>
  <c r="P27" i="9" l="1"/>
  <c r="P27" i="8" s="1"/>
  <c r="O27" i="9"/>
  <c r="O27" i="8" s="1"/>
  <c r="M27" i="9"/>
  <c r="M27" i="8" s="1"/>
  <c r="N27" i="9"/>
  <c r="N27" i="8" s="1"/>
  <c r="A23" i="8"/>
  <c r="B24" i="9" s="1"/>
  <c r="B24" i="8" s="1"/>
  <c r="Q27" i="9"/>
  <c r="Q27" i="8" s="1"/>
  <c r="Z24" i="9"/>
  <c r="J29" i="9"/>
  <c r="J29" i="8" s="1"/>
  <c r="I30" i="9" s="1"/>
  <c r="I30" i="8" s="1"/>
  <c r="S26" i="8"/>
  <c r="R27" i="9" s="1"/>
  <c r="R27" i="8" s="1"/>
  <c r="X25" i="9"/>
  <c r="X25" i="8" s="1"/>
  <c r="U27" i="9"/>
  <c r="U27" i="8" s="1"/>
  <c r="B39" i="6"/>
  <c r="D39" i="6"/>
  <c r="C39" i="6"/>
  <c r="B41" i="5"/>
  <c r="C41" i="5"/>
  <c r="Q28" i="9" l="1"/>
  <c r="Q28" i="8" s="1"/>
  <c r="O28" i="9"/>
  <c r="O28" i="8" s="1"/>
  <c r="N28" i="9"/>
  <c r="N28" i="8" s="1"/>
  <c r="M28" i="9"/>
  <c r="M28" i="8" s="1"/>
  <c r="L28" i="9"/>
  <c r="L28" i="8" s="1"/>
  <c r="W26" i="9"/>
  <c r="W26" i="8" s="1"/>
  <c r="P28" i="9"/>
  <c r="S27" i="9"/>
  <c r="Z24" i="8"/>
  <c r="A24" i="8" s="1"/>
  <c r="B25" i="9" s="1"/>
  <c r="B25" i="8" s="1"/>
  <c r="AA24" i="8"/>
  <c r="C25" i="9"/>
  <c r="C25" i="8" s="1"/>
  <c r="D26" i="9" s="1"/>
  <c r="D26" i="8" s="1"/>
  <c r="E27" i="9" s="1"/>
  <c r="E27" i="8" s="1"/>
  <c r="F28" i="9" s="1"/>
  <c r="F28" i="8" s="1"/>
  <c r="G29" i="9" s="1"/>
  <c r="T27" i="9"/>
  <c r="T27" i="8" s="1"/>
  <c r="C40" i="6"/>
  <c r="D40" i="6"/>
  <c r="B40" i="6"/>
  <c r="B42" i="5"/>
  <c r="C42" i="5"/>
  <c r="S27" i="8" l="1"/>
  <c r="M29" i="9"/>
  <c r="M29" i="8" s="1"/>
  <c r="L29" i="9"/>
  <c r="L29" i="8" s="1"/>
  <c r="K29" i="9"/>
  <c r="K29" i="8" s="1"/>
  <c r="N29" i="9"/>
  <c r="N29" i="8" s="1"/>
  <c r="AA25" i="8"/>
  <c r="C26" i="9"/>
  <c r="C26" i="8" s="1"/>
  <c r="D27" i="9" s="1"/>
  <c r="D27" i="8" s="1"/>
  <c r="E28" i="9" s="1"/>
  <c r="E28" i="8" s="1"/>
  <c r="F29" i="9" s="1"/>
  <c r="F29" i="8" s="1"/>
  <c r="G30" i="9" s="1"/>
  <c r="P28" i="8"/>
  <c r="P29" i="9" s="1"/>
  <c r="V27" i="9"/>
  <c r="G29" i="8"/>
  <c r="H30" i="9" s="1"/>
  <c r="H30" i="8" s="1"/>
  <c r="Y25" i="9"/>
  <c r="Y25" i="8" s="1"/>
  <c r="Z25" i="9"/>
  <c r="B41" i="6"/>
  <c r="D41" i="6"/>
  <c r="C41" i="6"/>
  <c r="B43" i="5"/>
  <c r="C43" i="5"/>
  <c r="G30" i="8" l="1"/>
  <c r="H31" i="9" s="1"/>
  <c r="H31" i="8" s="1"/>
  <c r="V27" i="8"/>
  <c r="U28" i="9" s="1"/>
  <c r="U28" i="8" s="1"/>
  <c r="P29" i="8"/>
  <c r="L30" i="9"/>
  <c r="L30" i="8" s="1"/>
  <c r="K30" i="9"/>
  <c r="K30" i="8" s="1"/>
  <c r="J30" i="9"/>
  <c r="J30" i="8" s="1"/>
  <c r="R28" i="9"/>
  <c r="R28" i="8" s="1"/>
  <c r="S28" i="9"/>
  <c r="M30" i="9"/>
  <c r="M30" i="8" s="1"/>
  <c r="Z25" i="8"/>
  <c r="A25" i="8" s="1"/>
  <c r="B26" i="9" s="1"/>
  <c r="X26" i="9"/>
  <c r="X26" i="8" s="1"/>
  <c r="O29" i="9"/>
  <c r="O29" i="8" s="1"/>
  <c r="N30" i="9" s="1"/>
  <c r="N30" i="8" s="1"/>
  <c r="T28" i="9"/>
  <c r="T28" i="8" s="1"/>
  <c r="B42" i="6"/>
  <c r="D42" i="6"/>
  <c r="C42" i="6"/>
  <c r="B44" i="5"/>
  <c r="C44" i="5"/>
  <c r="Y26" i="9" l="1"/>
  <c r="Y26" i="8" s="1"/>
  <c r="Z26" i="9"/>
  <c r="O30" i="9"/>
  <c r="O30" i="8" s="1"/>
  <c r="N31" i="9" s="1"/>
  <c r="S28" i="8"/>
  <c r="S29" i="9" s="1"/>
  <c r="B26" i="8"/>
  <c r="C27" i="9" s="1"/>
  <c r="Z26" i="8"/>
  <c r="K31" i="9"/>
  <c r="K31" i="8" s="1"/>
  <c r="J31" i="9"/>
  <c r="J31" i="8" s="1"/>
  <c r="I31" i="9"/>
  <c r="I31" i="8" s="1"/>
  <c r="Q29" i="9"/>
  <c r="Q29" i="8" s="1"/>
  <c r="P30" i="9" s="1"/>
  <c r="X27" i="9"/>
  <c r="W27" i="9"/>
  <c r="L31" i="9"/>
  <c r="L31" i="8" s="1"/>
  <c r="M31" i="9"/>
  <c r="M31" i="8" s="1"/>
  <c r="B43" i="6"/>
  <c r="D43" i="6"/>
  <c r="C43" i="6"/>
  <c r="B45" i="5"/>
  <c r="C45" i="5"/>
  <c r="Y27" i="9" l="1"/>
  <c r="Y27" i="8" s="1"/>
  <c r="L32" i="9"/>
  <c r="L32" i="8" s="1"/>
  <c r="K32" i="9"/>
  <c r="K32" i="8" s="1"/>
  <c r="A26" i="8"/>
  <c r="B27" i="9" s="1"/>
  <c r="B27" i="8" s="1"/>
  <c r="AA27" i="8" s="1"/>
  <c r="S29" i="8"/>
  <c r="P30" i="8"/>
  <c r="N31" i="8"/>
  <c r="I32" i="9"/>
  <c r="I32" i="8" s="1"/>
  <c r="T29" i="9"/>
  <c r="T29" i="8" s="1"/>
  <c r="C27" i="8"/>
  <c r="D28" i="9" s="1"/>
  <c r="D28" i="8" s="1"/>
  <c r="E29" i="9" s="1"/>
  <c r="E29" i="8" s="1"/>
  <c r="F30" i="9" s="1"/>
  <c r="F30" i="8" s="1"/>
  <c r="G31" i="9" s="1"/>
  <c r="G31" i="8" s="1"/>
  <c r="H32" i="9" s="1"/>
  <c r="H32" i="8" s="1"/>
  <c r="W27" i="8"/>
  <c r="AA26" i="8"/>
  <c r="Z27" i="9" s="1"/>
  <c r="R29" i="9"/>
  <c r="R29" i="8" s="1"/>
  <c r="X27" i="8"/>
  <c r="J32" i="9"/>
  <c r="J32" i="8" s="1"/>
  <c r="C44" i="6"/>
  <c r="D44" i="6"/>
  <c r="B44" i="6"/>
  <c r="B46" i="5"/>
  <c r="C46" i="5"/>
  <c r="K33" i="9" l="1"/>
  <c r="K33" i="8" s="1"/>
  <c r="I33" i="9"/>
  <c r="I33" i="8" s="1"/>
  <c r="J33" i="9"/>
  <c r="J33" i="8" s="1"/>
  <c r="S30" i="9"/>
  <c r="S30" i="8" s="1"/>
  <c r="M32" i="9"/>
  <c r="R30" i="9"/>
  <c r="R30" i="8" s="1"/>
  <c r="O31" i="9"/>
  <c r="O31" i="8" s="1"/>
  <c r="Z27" i="8"/>
  <c r="Z28" i="9" s="1"/>
  <c r="C28" i="9"/>
  <c r="Q30" i="9"/>
  <c r="Q30" i="8" s="1"/>
  <c r="V28" i="9"/>
  <c r="V28" i="8" s="1"/>
  <c r="W28" i="9"/>
  <c r="X28" i="9"/>
  <c r="X28" i="8" s="1"/>
  <c r="B45" i="6"/>
  <c r="D45" i="6"/>
  <c r="C45" i="6"/>
  <c r="B47" i="5"/>
  <c r="C47" i="5"/>
  <c r="J34" i="9" l="1"/>
  <c r="J34" i="8" s="1"/>
  <c r="Q31" i="9"/>
  <c r="Q31" i="8" s="1"/>
  <c r="W28" i="8"/>
  <c r="W29" i="9" s="1"/>
  <c r="W29" i="8" s="1"/>
  <c r="R31" i="9"/>
  <c r="R31" i="8" s="1"/>
  <c r="C28" i="8"/>
  <c r="D29" i="9" s="1"/>
  <c r="D29" i="8" s="1"/>
  <c r="E30" i="9" s="1"/>
  <c r="E30" i="8" s="1"/>
  <c r="F31" i="9" s="1"/>
  <c r="F31" i="8" s="1"/>
  <c r="G32" i="9" s="1"/>
  <c r="G32" i="8" s="1"/>
  <c r="H33" i="9" s="1"/>
  <c r="H33" i="8" s="1"/>
  <c r="I34" i="9" s="1"/>
  <c r="I34" i="8" s="1"/>
  <c r="N32" i="9"/>
  <c r="N32" i="8" s="1"/>
  <c r="P31" i="9"/>
  <c r="P31" i="8" s="1"/>
  <c r="P32" i="9" s="1"/>
  <c r="P32" i="8" s="1"/>
  <c r="U29" i="9"/>
  <c r="U29" i="8" s="1"/>
  <c r="Z28" i="8"/>
  <c r="A28" i="8" s="1"/>
  <c r="M32" i="8"/>
  <c r="A27" i="8"/>
  <c r="B28" i="9" s="1"/>
  <c r="B28" i="8" s="1"/>
  <c r="Y28" i="9"/>
  <c r="Y28" i="8" s="1"/>
  <c r="C46" i="6"/>
  <c r="B46" i="6"/>
  <c r="D46" i="6"/>
  <c r="B48" i="5"/>
  <c r="C48" i="5"/>
  <c r="V29" i="9" l="1"/>
  <c r="V29" i="8" s="1"/>
  <c r="V30" i="9" s="1"/>
  <c r="V30" i="8" s="1"/>
  <c r="B29" i="9"/>
  <c r="B29" i="8" s="1"/>
  <c r="Y29" i="9"/>
  <c r="Y29" i="8" s="1"/>
  <c r="O32" i="9"/>
  <c r="O32" i="8" s="1"/>
  <c r="N33" i="9" s="1"/>
  <c r="AA29" i="8"/>
  <c r="T30" i="9"/>
  <c r="X29" i="9"/>
  <c r="X29" i="8" s="1"/>
  <c r="M33" i="9"/>
  <c r="L33" i="9"/>
  <c r="L33" i="8" s="1"/>
  <c r="AA28" i="8"/>
  <c r="Z29" i="9" s="1"/>
  <c r="C29" i="9"/>
  <c r="C29" i="8" s="1"/>
  <c r="D30" i="9" s="1"/>
  <c r="D30" i="8" s="1"/>
  <c r="E31" i="9" s="1"/>
  <c r="E31" i="8" s="1"/>
  <c r="F32" i="9" s="1"/>
  <c r="F32" i="8" s="1"/>
  <c r="G33" i="9" s="1"/>
  <c r="G33" i="8" s="1"/>
  <c r="H34" i="9" s="1"/>
  <c r="H34" i="8" s="1"/>
  <c r="Q32" i="9"/>
  <c r="Q32" i="8" s="1"/>
  <c r="D47" i="6"/>
  <c r="B47" i="6"/>
  <c r="C47" i="6"/>
  <c r="B49" i="5"/>
  <c r="C49" i="5"/>
  <c r="O33" i="9" l="1"/>
  <c r="O33" i="8" s="1"/>
  <c r="U30" i="9"/>
  <c r="U30" i="8" s="1"/>
  <c r="X30" i="9"/>
  <c r="X30" i="8" s="1"/>
  <c r="Z29" i="8"/>
  <c r="Y30" i="9" s="1"/>
  <c r="Y30" i="8" s="1"/>
  <c r="C30" i="9"/>
  <c r="C30" i="8" s="1"/>
  <c r="D31" i="9" s="1"/>
  <c r="D31" i="8" s="1"/>
  <c r="E32" i="9" s="1"/>
  <c r="E32" i="8" s="1"/>
  <c r="F33" i="9" s="1"/>
  <c r="F33" i="8" s="1"/>
  <c r="G34" i="9" s="1"/>
  <c r="G34" i="8" s="1"/>
  <c r="T30" i="8"/>
  <c r="K34" i="9"/>
  <c r="K34" i="8" s="1"/>
  <c r="M33" i="8"/>
  <c r="Z30" i="9"/>
  <c r="W30" i="9"/>
  <c r="W30" i="8" s="1"/>
  <c r="V31" i="9" s="1"/>
  <c r="V31" i="8" s="1"/>
  <c r="N33" i="8"/>
  <c r="P33" i="9"/>
  <c r="P33" i="8" s="1"/>
  <c r="C48" i="6"/>
  <c r="D48" i="6"/>
  <c r="B48" i="6"/>
  <c r="B50" i="5"/>
  <c r="C50" i="5"/>
  <c r="M34" i="9" l="1"/>
  <c r="M34" i="8" s="1"/>
  <c r="W31" i="9"/>
  <c r="W31" i="8" s="1"/>
  <c r="A29" i="8"/>
  <c r="B30" i="9" s="1"/>
  <c r="B30" i="8" s="1"/>
  <c r="AA30" i="8" s="1"/>
  <c r="Z30" i="8"/>
  <c r="Y31" i="9" s="1"/>
  <c r="Y31" i="8" s="1"/>
  <c r="N34" i="9"/>
  <c r="N34" i="8" s="1"/>
  <c r="U31" i="9"/>
  <c r="S31" i="9"/>
  <c r="S31" i="8" s="1"/>
  <c r="T31" i="9"/>
  <c r="T31" i="8" s="1"/>
  <c r="L34" i="9"/>
  <c r="L34" i="8" s="1"/>
  <c r="O34" i="9"/>
  <c r="O34" i="8" s="1"/>
  <c r="X31" i="9"/>
  <c r="X31" i="8" s="1"/>
  <c r="W32" i="9" s="1"/>
  <c r="W32" i="8" s="1"/>
  <c r="D49" i="6"/>
  <c r="B49" i="6"/>
  <c r="C49" i="6"/>
  <c r="B51" i="5"/>
  <c r="C51" i="5"/>
  <c r="C50" i="6" l="1"/>
  <c r="C31" i="9"/>
  <c r="C31" i="8" s="1"/>
  <c r="D32" i="9" s="1"/>
  <c r="D32" i="8" s="1"/>
  <c r="E33" i="9" s="1"/>
  <c r="E33" i="8" s="1"/>
  <c r="F34" i="9" s="1"/>
  <c r="F34" i="8" s="1"/>
  <c r="X32" i="9"/>
  <c r="X32" i="8" s="1"/>
  <c r="A30" i="8"/>
  <c r="B31" i="9" s="1"/>
  <c r="U31" i="8"/>
  <c r="V32" i="9" s="1"/>
  <c r="V32" i="8" s="1"/>
  <c r="R32" i="9"/>
  <c r="R32" i="8" s="1"/>
  <c r="S32" i="9"/>
  <c r="S32" i="8" s="1"/>
  <c r="Z31" i="9"/>
  <c r="Z31" i="8" s="1"/>
  <c r="A31" i="8" s="1"/>
  <c r="D50" i="6"/>
  <c r="D51" i="6" s="1"/>
  <c r="B50" i="6"/>
  <c r="B51" i="6" s="1"/>
  <c r="B52" i="5"/>
  <c r="C52" i="5"/>
  <c r="W33" i="9" l="1"/>
  <c r="W33" i="8" s="1"/>
  <c r="T32" i="9"/>
  <c r="T32" i="8" s="1"/>
  <c r="S33" i="9" s="1"/>
  <c r="S33" i="8" s="1"/>
  <c r="U32" i="9"/>
  <c r="U32" i="8" s="1"/>
  <c r="V33" i="9" s="1"/>
  <c r="B31" i="8"/>
  <c r="C32" i="9" s="1"/>
  <c r="C32" i="8" s="1"/>
  <c r="D33" i="9" s="1"/>
  <c r="D33" i="8" s="1"/>
  <c r="E34" i="9" s="1"/>
  <c r="E34" i="8" s="1"/>
  <c r="Y32" i="9"/>
  <c r="Y32" i="8" s="1"/>
  <c r="X33" i="9" s="1"/>
  <c r="X33" i="8" s="1"/>
  <c r="R33" i="9"/>
  <c r="R33" i="8" s="1"/>
  <c r="Q33" i="9"/>
  <c r="Q33" i="8" s="1"/>
  <c r="C51" i="6"/>
  <c r="C52" i="6" s="1"/>
  <c r="B53" i="5"/>
  <c r="C53" i="5"/>
  <c r="V33" i="8" l="1"/>
  <c r="W34" i="9" s="1"/>
  <c r="W34" i="8" s="1"/>
  <c r="B32" i="9"/>
  <c r="B32" i="8" s="1"/>
  <c r="R34" i="9"/>
  <c r="R34" i="8" s="1"/>
  <c r="P34" i="9"/>
  <c r="P34" i="8" s="1"/>
  <c r="Q34" i="9"/>
  <c r="Q34" i="8" s="1"/>
  <c r="U33" i="9"/>
  <c r="U33" i="8" s="1"/>
  <c r="AA31" i="8"/>
  <c r="Z32" i="9" s="1"/>
  <c r="T33" i="9"/>
  <c r="T33" i="8" s="1"/>
  <c r="D52" i="6"/>
  <c r="D53" i="6" s="1"/>
  <c r="B52" i="6"/>
  <c r="B53" i="6" s="1"/>
  <c r="B54" i="5"/>
  <c r="C54" i="5"/>
  <c r="V34" i="9" l="1"/>
  <c r="V34" i="8" s="1"/>
  <c r="U34" i="9"/>
  <c r="U34" i="8" s="1"/>
  <c r="AA32" i="8"/>
  <c r="C33" i="9"/>
  <c r="C33" i="8" s="1"/>
  <c r="D34" i="9" s="1"/>
  <c r="D34" i="8" s="1"/>
  <c r="T34" i="9"/>
  <c r="T34" i="8" s="1"/>
  <c r="Z32" i="8"/>
  <c r="Y33" i="9" s="1"/>
  <c r="Y33" i="8" s="1"/>
  <c r="S34" i="9"/>
  <c r="S34" i="8" s="1"/>
  <c r="C53" i="6"/>
  <c r="B54" i="6" s="1"/>
  <c r="B55" i="5"/>
  <c r="C55" i="5"/>
  <c r="X34" i="9" l="1"/>
  <c r="X34" i="8" s="1"/>
  <c r="A32" i="8"/>
  <c r="B33" i="9" s="1"/>
  <c r="B33" i="8" s="1"/>
  <c r="Z33" i="9"/>
  <c r="D54" i="6"/>
  <c r="C54" i="6"/>
  <c r="C55" i="6" s="1"/>
  <c r="B56" i="5"/>
  <c r="C56" i="5"/>
  <c r="Z33" i="8" l="1"/>
  <c r="Y34" i="9" s="1"/>
  <c r="Y34" i="8" s="1"/>
  <c r="C34" i="9"/>
  <c r="C34" i="8" s="1"/>
  <c r="AA33" i="8"/>
  <c r="Z34" i="9" s="1"/>
  <c r="D55" i="6"/>
  <c r="D56" i="6" s="1"/>
  <c r="B55" i="6"/>
  <c r="B56" i="6" s="1"/>
  <c r="B57" i="5"/>
  <c r="C57" i="5"/>
  <c r="Z34" i="8" l="1"/>
  <c r="A34" i="8" s="1"/>
  <c r="A33" i="8"/>
  <c r="B34" i="9" s="1"/>
  <c r="C56" i="6"/>
  <c r="C57" i="6" s="1"/>
  <c r="B58" i="5"/>
  <c r="C58" i="5"/>
  <c r="B34" i="8" l="1"/>
  <c r="AA34" i="8" s="1"/>
  <c r="D57" i="6"/>
  <c r="D58" i="6" s="1"/>
  <c r="B57" i="6"/>
  <c r="B58" i="6" s="1"/>
  <c r="B59" i="5"/>
  <c r="C59" i="5"/>
  <c r="C58" i="6" l="1"/>
  <c r="C59" i="6" s="1"/>
  <c r="B60" i="5"/>
  <c r="C60" i="5"/>
  <c r="D59" i="6" l="1"/>
  <c r="D60" i="6" s="1"/>
  <c r="B59" i="6"/>
  <c r="B60" i="6" s="1"/>
  <c r="B61" i="5"/>
  <c r="C61" i="5"/>
  <c r="C60" i="6" l="1"/>
  <c r="C61" i="6" s="1"/>
  <c r="B62" i="5"/>
  <c r="C62" i="5"/>
  <c r="D61" i="6" l="1"/>
  <c r="D62" i="6" s="1"/>
  <c r="B61" i="6"/>
  <c r="B62" i="6" s="1"/>
  <c r="B63" i="5"/>
  <c r="C63" i="5"/>
  <c r="C62" i="6" l="1"/>
  <c r="C63" i="6" s="1"/>
  <c r="B64" i="5"/>
  <c r="C64" i="5"/>
  <c r="B63" i="6" l="1"/>
  <c r="B64" i="6" s="1"/>
  <c r="D63" i="6"/>
  <c r="D64" i="6" s="1"/>
  <c r="B65" i="5"/>
  <c r="C65" i="5"/>
  <c r="C64" i="6" l="1"/>
  <c r="D65" i="6" s="1"/>
  <c r="B66" i="5"/>
  <c r="C66" i="5"/>
  <c r="B65" i="6" l="1"/>
  <c r="C65" i="6"/>
  <c r="B67" i="5"/>
  <c r="C67" i="5"/>
  <c r="B66" i="6" l="1"/>
  <c r="C66" i="6"/>
  <c r="B67" i="6" s="1"/>
  <c r="D66" i="6"/>
  <c r="D67" i="6" s="1"/>
  <c r="B68" i="5"/>
  <c r="C68" i="5"/>
  <c r="C67" i="6" l="1"/>
  <c r="B68" i="6" s="1"/>
  <c r="B69" i="5"/>
  <c r="C69" i="5"/>
  <c r="D68" i="6" l="1"/>
  <c r="C68" i="6"/>
  <c r="B69" i="6" s="1"/>
  <c r="C69" i="6"/>
  <c r="B70" i="5"/>
  <c r="C70" i="5"/>
  <c r="D69" i="6" l="1"/>
  <c r="D70" i="6" s="1"/>
  <c r="C70" i="6"/>
  <c r="B70" i="6"/>
  <c r="B71" i="5"/>
  <c r="C71" i="5"/>
  <c r="B71" i="6" l="1"/>
  <c r="C71" i="6"/>
  <c r="D71" i="6"/>
  <c r="B72" i="5"/>
  <c r="C72" i="5"/>
  <c r="D72" i="6" l="1"/>
  <c r="C72" i="6"/>
  <c r="B72" i="6"/>
  <c r="B73" i="5"/>
  <c r="C73" i="5"/>
  <c r="B73" i="6" l="1"/>
  <c r="C73" i="6"/>
  <c r="D73" i="6"/>
  <c r="B74" i="5"/>
  <c r="C74" i="5"/>
  <c r="D74" i="6" l="1"/>
  <c r="C74" i="6"/>
  <c r="B74" i="6"/>
  <c r="B75" i="5"/>
  <c r="C75" i="5"/>
  <c r="B75" i="6" l="1"/>
  <c r="D75" i="6"/>
  <c r="C75" i="6"/>
  <c r="B76" i="5"/>
  <c r="C76" i="5"/>
  <c r="C76" i="6" l="1"/>
  <c r="B76" i="6"/>
  <c r="D76" i="6"/>
  <c r="B77" i="5"/>
  <c r="C77" i="5"/>
  <c r="B77" i="6" l="1"/>
  <c r="D77" i="6"/>
  <c r="C77" i="6"/>
  <c r="B78" i="5"/>
  <c r="C78" i="5"/>
  <c r="B78" i="6" l="1"/>
  <c r="D78" i="6"/>
  <c r="C78" i="6"/>
  <c r="B79" i="5"/>
  <c r="C79" i="5"/>
  <c r="C79" i="6" l="1"/>
  <c r="D79" i="6"/>
  <c r="B79" i="6"/>
  <c r="B80" i="5"/>
  <c r="C80" i="5"/>
  <c r="B80" i="6" l="1"/>
  <c r="D80" i="6"/>
  <c r="C80" i="6"/>
  <c r="B81" i="5"/>
  <c r="C81" i="5"/>
  <c r="D81" i="6" l="1"/>
  <c r="C81" i="6"/>
  <c r="B81" i="6"/>
  <c r="B82" i="5"/>
  <c r="C82" i="5"/>
  <c r="B82" i="6" l="1"/>
  <c r="C82" i="6"/>
  <c r="D82" i="6"/>
  <c r="B83" i="5"/>
  <c r="C83" i="5"/>
  <c r="D83" i="6" l="1"/>
  <c r="C83" i="6"/>
  <c r="B83" i="6"/>
  <c r="B84" i="5"/>
  <c r="C84" i="5"/>
  <c r="B84" i="6" l="1"/>
  <c r="C84" i="6"/>
  <c r="D84" i="6"/>
  <c r="B85" i="5"/>
  <c r="C85" i="5"/>
  <c r="C85" i="6" l="1"/>
  <c r="D85" i="6"/>
  <c r="B85" i="6"/>
  <c r="B86" i="5"/>
  <c r="C86" i="5"/>
  <c r="D86" i="6" l="1"/>
  <c r="C86" i="6"/>
  <c r="B86" i="6"/>
  <c r="B87" i="5"/>
  <c r="C87" i="5"/>
  <c r="B87" i="6" l="1"/>
  <c r="D87" i="6"/>
  <c r="C87" i="6"/>
  <c r="B88" i="5"/>
  <c r="C88" i="5"/>
  <c r="C88" i="6" l="1"/>
  <c r="B88" i="6"/>
  <c r="D88" i="6"/>
  <c r="B89" i="5"/>
  <c r="C89" i="5"/>
  <c r="D89" i="6" l="1"/>
  <c r="B89" i="6"/>
  <c r="C89" i="6"/>
  <c r="B90" i="5"/>
  <c r="C90" i="5"/>
  <c r="C90" i="6" l="1"/>
  <c r="D90" i="6"/>
  <c r="B90" i="6"/>
  <c r="B91" i="5"/>
  <c r="C91" i="5"/>
  <c r="B91" i="6" l="1"/>
  <c r="D91" i="6"/>
  <c r="C91" i="6"/>
  <c r="B92" i="5"/>
  <c r="C92" i="5"/>
  <c r="B92" i="6" l="1"/>
  <c r="D92" i="6"/>
  <c r="C92" i="6"/>
  <c r="B93" i="5"/>
  <c r="C93" i="5"/>
  <c r="C93" i="6" l="1"/>
  <c r="D93" i="6"/>
  <c r="B93" i="6"/>
  <c r="B94" i="5"/>
  <c r="C94" i="5"/>
  <c r="B94" i="6" l="1"/>
  <c r="D94" i="6"/>
  <c r="C94" i="6"/>
  <c r="B95" i="5"/>
  <c r="C95" i="5"/>
  <c r="C95" i="6" l="1"/>
  <c r="D95" i="6"/>
  <c r="B95" i="6"/>
  <c r="B96" i="6" s="1"/>
  <c r="B96" i="5"/>
  <c r="C96" i="5"/>
  <c r="D96" i="6" l="1"/>
  <c r="C96" i="6"/>
  <c r="C97" i="6" s="1"/>
  <c r="B97" i="5"/>
  <c r="C97" i="5"/>
  <c r="D97" i="6" l="1"/>
  <c r="D98" i="6" s="1"/>
  <c r="B97" i="6"/>
  <c r="B98" i="6" s="1"/>
  <c r="B98" i="5"/>
  <c r="C98" i="5"/>
  <c r="C98" i="6" l="1"/>
  <c r="C99" i="6" s="1"/>
  <c r="B99" i="5"/>
  <c r="C99" i="5"/>
  <c r="D99" i="6" l="1"/>
  <c r="D100" i="6" s="1"/>
  <c r="B99" i="6"/>
  <c r="B100" i="6" s="1"/>
  <c r="B100" i="5"/>
  <c r="C100" i="5"/>
  <c r="C100" i="6" l="1"/>
  <c r="C101" i="6" s="1"/>
  <c r="B101" i="5"/>
  <c r="C101" i="5"/>
  <c r="B101" i="6" l="1"/>
  <c r="B102" i="6" s="1"/>
  <c r="D101" i="6"/>
  <c r="D102" i="6" s="1"/>
  <c r="B102" i="5"/>
  <c r="C102" i="5"/>
  <c r="C102" i="6" l="1"/>
  <c r="C103" i="6" s="1"/>
  <c r="B103" i="5"/>
  <c r="C103" i="5"/>
  <c r="B103" i="6" l="1"/>
  <c r="B104" i="6" s="1"/>
  <c r="D103" i="6"/>
  <c r="D104" i="6" s="1"/>
  <c r="B104" i="5"/>
  <c r="C104" i="5"/>
  <c r="C104" i="6" l="1"/>
  <c r="C105" i="6" s="1"/>
  <c r="B105" i="5"/>
  <c r="C105" i="5"/>
  <c r="B105" i="6" l="1"/>
  <c r="B106" i="6" s="1"/>
  <c r="D105" i="6"/>
  <c r="D106" i="6" s="1"/>
  <c r="B106" i="5"/>
  <c r="C106" i="5"/>
  <c r="C106" i="6" l="1"/>
  <c r="C107" i="6" s="1"/>
  <c r="B107" i="5"/>
  <c r="C107" i="5"/>
  <c r="B108" i="5" s="1"/>
  <c r="D107" i="6" l="1"/>
  <c r="D108" i="6" s="1"/>
  <c r="B107" i="6"/>
  <c r="B108" i="6" s="1"/>
  <c r="C108" i="5"/>
  <c r="C108" i="6" l="1"/>
  <c r="C109" i="6" s="1"/>
  <c r="B109" i="5"/>
  <c r="C109" i="5"/>
  <c r="D109" i="6" l="1"/>
  <c r="D110" i="6" s="1"/>
  <c r="B109" i="6"/>
  <c r="B110" i="6" s="1"/>
  <c r="B110" i="5"/>
  <c r="C110" i="5"/>
  <c r="C110" i="6" l="1"/>
  <c r="C111" i="6" s="1"/>
  <c r="B111" i="5"/>
  <c r="C111" i="5"/>
  <c r="D111" i="6" l="1"/>
  <c r="D112" i="6" s="1"/>
  <c r="B111" i="6"/>
  <c r="B112" i="6" s="1"/>
  <c r="B112" i="5"/>
  <c r="C112" i="5"/>
  <c r="C112" i="6" l="1"/>
  <c r="C113" i="6" s="1"/>
  <c r="B113" i="5"/>
  <c r="C113" i="5"/>
  <c r="D113" i="6" l="1"/>
  <c r="D114" i="6" s="1"/>
  <c r="B113" i="6"/>
  <c r="B114" i="6" s="1"/>
  <c r="B114" i="5"/>
  <c r="C114" i="5"/>
  <c r="C114" i="6" l="1"/>
  <c r="C115" i="6" s="1"/>
  <c r="B115" i="5"/>
  <c r="C115" i="5"/>
  <c r="D115" i="6" l="1"/>
  <c r="D116" i="6" s="1"/>
  <c r="B115" i="6"/>
  <c r="B116" i="6" s="1"/>
  <c r="B116" i="5"/>
  <c r="C116" i="5"/>
  <c r="C116" i="6" l="1"/>
  <c r="C117" i="6" s="1"/>
  <c r="B117" i="5"/>
  <c r="C117" i="5"/>
  <c r="D117" i="6" l="1"/>
  <c r="D118" i="6" s="1"/>
  <c r="B117" i="6"/>
  <c r="B118" i="6" s="1"/>
  <c r="B118" i="5"/>
  <c r="C118" i="5"/>
  <c r="C118" i="6" l="1"/>
  <c r="C119" i="6" s="1"/>
  <c r="B119" i="5"/>
  <c r="C119" i="5"/>
  <c r="D119" i="6" l="1"/>
  <c r="D120" i="6" s="1"/>
  <c r="B119" i="6"/>
  <c r="B120" i="6" s="1"/>
  <c r="B120" i="5"/>
  <c r="C120" i="5"/>
  <c r="C120" i="6" l="1"/>
  <c r="C121" i="6" s="1"/>
  <c r="B121" i="5"/>
  <c r="C121" i="5"/>
  <c r="D121" i="6" l="1"/>
  <c r="D122" i="6" s="1"/>
  <c r="B121" i="6"/>
  <c r="B122" i="6" s="1"/>
  <c r="B122" i="5"/>
  <c r="C122" i="5"/>
  <c r="C122" i="6" l="1"/>
  <c r="C123" i="6" s="1"/>
  <c r="B123" i="5"/>
  <c r="C123" i="5"/>
  <c r="D123" i="6" l="1"/>
  <c r="D124" i="6" s="1"/>
  <c r="B123" i="6"/>
  <c r="B124" i="6" s="1"/>
  <c r="B124" i="5"/>
  <c r="C124" i="5"/>
  <c r="C124" i="6" l="1"/>
  <c r="C125" i="6" s="1"/>
  <c r="B125" i="5"/>
  <c r="C125" i="5"/>
  <c r="D125" i="6" l="1"/>
  <c r="D126" i="6" s="1"/>
  <c r="B125" i="6"/>
  <c r="B126" i="6" s="1"/>
  <c r="B126" i="5"/>
  <c r="C126" i="5"/>
  <c r="C126" i="6" l="1"/>
  <c r="C127" i="6" s="1"/>
  <c r="B127" i="5"/>
  <c r="C127" i="5"/>
  <c r="D127" i="6" l="1"/>
  <c r="D128" i="6" s="1"/>
  <c r="B127" i="6"/>
  <c r="B128" i="6" s="1"/>
  <c r="B128" i="5"/>
  <c r="C128" i="5"/>
  <c r="C128" i="6" l="1"/>
  <c r="C129" i="6" s="1"/>
  <c r="B129" i="5"/>
  <c r="C129" i="5"/>
  <c r="D129" i="6" l="1"/>
  <c r="D130" i="6" s="1"/>
  <c r="B129" i="6"/>
  <c r="B130" i="6" s="1"/>
  <c r="B130" i="5"/>
  <c r="C130" i="5"/>
  <c r="C130" i="6" l="1"/>
  <c r="C131" i="6" s="1"/>
  <c r="B131" i="5"/>
  <c r="C131" i="5"/>
  <c r="D131" i="6" l="1"/>
  <c r="D132" i="6" s="1"/>
  <c r="B131" i="6"/>
  <c r="B132" i="6" s="1"/>
  <c r="B132" i="5"/>
  <c r="C132" i="5"/>
  <c r="C132" i="6" l="1"/>
  <c r="C133" i="6" s="1"/>
  <c r="B133" i="5"/>
  <c r="C133" i="5"/>
  <c r="D133" i="6" l="1"/>
  <c r="D134" i="6" s="1"/>
  <c r="B133" i="6"/>
  <c r="B134" i="6" s="1"/>
  <c r="B134" i="5"/>
  <c r="C134" i="5"/>
  <c r="C134" i="6" l="1"/>
  <c r="C135" i="6" s="1"/>
  <c r="B135" i="5"/>
  <c r="C135" i="5"/>
  <c r="D135" i="6" l="1"/>
  <c r="D136" i="6" s="1"/>
  <c r="B135" i="6"/>
  <c r="B136" i="6" s="1"/>
  <c r="B136" i="5"/>
  <c r="C136" i="5"/>
  <c r="C136" i="6" l="1"/>
  <c r="C137" i="6" s="1"/>
  <c r="B137" i="5"/>
  <c r="C137" i="5"/>
  <c r="B137" i="6" l="1"/>
  <c r="B138" i="6" s="1"/>
  <c r="D137" i="6"/>
  <c r="D138" i="6" s="1"/>
  <c r="B138" i="5"/>
  <c r="C138" i="5"/>
  <c r="C138" i="6" l="1"/>
  <c r="C139" i="6" s="1"/>
  <c r="B139" i="5"/>
  <c r="C139" i="5"/>
  <c r="B139" i="6" l="1"/>
  <c r="B140" i="6" s="1"/>
  <c r="D139" i="6"/>
  <c r="D140" i="6" s="1"/>
  <c r="B140" i="5"/>
  <c r="C140" i="5"/>
  <c r="B141" i="5" l="1"/>
  <c r="C140" i="6"/>
  <c r="C141" i="6" s="1"/>
  <c r="C141" i="5"/>
  <c r="B142" i="5" s="1"/>
  <c r="B141" i="6" l="1"/>
  <c r="B142" i="6" s="1"/>
  <c r="D141" i="6"/>
  <c r="D142" i="6" s="1"/>
  <c r="C142" i="5"/>
  <c r="B143" i="5" s="1"/>
  <c r="C142" i="6" l="1"/>
  <c r="C143" i="6" s="1"/>
  <c r="C143" i="5"/>
  <c r="B144" i="5" s="1"/>
  <c r="B143" i="6" l="1"/>
  <c r="B144" i="6" s="1"/>
  <c r="D143" i="6"/>
  <c r="D144" i="6" s="1"/>
  <c r="C144" i="5"/>
  <c r="B145" i="5" s="1"/>
  <c r="C144" i="6" l="1"/>
  <c r="C145" i="6" s="1"/>
  <c r="C145" i="5"/>
  <c r="B146" i="5" s="1"/>
  <c r="B145" i="6" l="1"/>
  <c r="B146" i="6" s="1"/>
  <c r="D145" i="6"/>
  <c r="D146" i="6" s="1"/>
  <c r="C146" i="6"/>
  <c r="C147" i="6" s="1"/>
  <c r="C146" i="5"/>
  <c r="B147" i="5" s="1"/>
  <c r="D147" i="6" l="1"/>
  <c r="D148" i="6" s="1"/>
  <c r="B147" i="6"/>
  <c r="B148" i="6" s="1"/>
  <c r="C147" i="5"/>
  <c r="B148" i="5" s="1"/>
  <c r="C148" i="6" l="1"/>
  <c r="C149" i="6" s="1"/>
  <c r="C148" i="5"/>
  <c r="B149" i="5" s="1"/>
  <c r="D149" i="6" l="1"/>
  <c r="D150" i="6" s="1"/>
  <c r="B149" i="6"/>
  <c r="B150" i="6" s="1"/>
  <c r="C149" i="5"/>
  <c r="B150" i="5" s="1"/>
  <c r="C150" i="6" l="1"/>
  <c r="C151" i="6" s="1"/>
  <c r="C150" i="5"/>
  <c r="B151" i="5" s="1"/>
  <c r="D151" i="6" l="1"/>
  <c r="D152" i="6" s="1"/>
  <c r="B151" i="6"/>
  <c r="B152" i="6" s="1"/>
  <c r="C151" i="5"/>
  <c r="B152" i="5" s="1"/>
  <c r="C152" i="6" l="1"/>
  <c r="C153" i="6" s="1"/>
  <c r="C152" i="5"/>
  <c r="B153" i="5" s="1"/>
  <c r="D153" i="6" l="1"/>
  <c r="D154" i="6" s="1"/>
  <c r="B153" i="6"/>
  <c r="B154" i="6" s="1"/>
  <c r="C153" i="5"/>
  <c r="B154" i="5" s="1"/>
  <c r="C154" i="6" l="1"/>
  <c r="C155" i="6" s="1"/>
  <c r="C154" i="5"/>
  <c r="B155" i="5" s="1"/>
  <c r="D155" i="6" l="1"/>
  <c r="D156" i="6" s="1"/>
  <c r="B155" i="6"/>
  <c r="B156" i="6" s="1"/>
  <c r="C155" i="5"/>
  <c r="B156" i="5" s="1"/>
  <c r="C156" i="6" l="1"/>
  <c r="C157" i="6" s="1"/>
  <c r="C156" i="5"/>
  <c r="B157" i="5" s="1"/>
  <c r="D157" i="6" l="1"/>
  <c r="D158" i="6" s="1"/>
  <c r="B157" i="6"/>
  <c r="B158" i="6" s="1"/>
  <c r="C157" i="5"/>
  <c r="B158" i="5" s="1"/>
  <c r="C158" i="6" l="1"/>
  <c r="C159" i="6" s="1"/>
  <c r="C158" i="5"/>
  <c r="B159" i="5" s="1"/>
  <c r="D159" i="6" l="1"/>
  <c r="D160" i="6" s="1"/>
  <c r="B159" i="6"/>
  <c r="B160" i="6" s="1"/>
  <c r="C159" i="5"/>
  <c r="B160" i="5" s="1"/>
  <c r="C160" i="6" l="1"/>
  <c r="C161" i="6" s="1"/>
  <c r="C160" i="5"/>
  <c r="B161" i="5" s="1"/>
  <c r="D161" i="6" l="1"/>
  <c r="D162" i="6" s="1"/>
  <c r="B161" i="6"/>
  <c r="B162" i="6" s="1"/>
  <c r="C161" i="5"/>
  <c r="B162" i="5" s="1"/>
  <c r="C162" i="6" l="1"/>
  <c r="C162" i="5"/>
  <c r="B163" i="5" s="1"/>
  <c r="B163" i="6" l="1"/>
  <c r="C163" i="6"/>
  <c r="D163" i="6"/>
  <c r="C163" i="5"/>
  <c r="B164" i="5" s="1"/>
  <c r="C164" i="6" l="1"/>
  <c r="D164" i="6"/>
  <c r="B164" i="6"/>
  <c r="C164" i="5"/>
  <c r="B165" i="5" s="1"/>
  <c r="D165" i="6" l="1"/>
  <c r="B165" i="6"/>
  <c r="C165" i="6"/>
  <c r="C165" i="5"/>
  <c r="B166" i="5" s="1"/>
  <c r="C166" i="6" l="1"/>
  <c r="D166" i="6"/>
  <c r="B166" i="6"/>
  <c r="B167" i="6" s="1"/>
  <c r="C166" i="5"/>
  <c r="B167" i="5" s="1"/>
  <c r="D167" i="6" l="1"/>
  <c r="C167" i="6"/>
  <c r="C168" i="6" s="1"/>
  <c r="C167" i="5"/>
  <c r="B168" i="5" s="1"/>
  <c r="D168" i="6" l="1"/>
  <c r="D169" i="6" s="1"/>
  <c r="B168" i="6"/>
  <c r="B169" i="6" s="1"/>
  <c r="C168" i="5"/>
  <c r="B169" i="5" s="1"/>
  <c r="C169" i="6" l="1"/>
  <c r="C170" i="6" s="1"/>
  <c r="C169" i="5"/>
  <c r="B170" i="5" s="1"/>
  <c r="D170" i="6" l="1"/>
  <c r="D171" i="6" s="1"/>
  <c r="B170" i="6"/>
  <c r="B171" i="6" s="1"/>
  <c r="C170" i="5"/>
  <c r="B171" i="5" s="1"/>
  <c r="C171" i="6" l="1"/>
  <c r="C172" i="6" s="1"/>
  <c r="C171" i="5"/>
  <c r="B172" i="5" s="1"/>
  <c r="D172" i="6" l="1"/>
  <c r="D173" i="6" s="1"/>
  <c r="B172" i="6"/>
  <c r="B173" i="6" s="1"/>
  <c r="C172" i="5"/>
  <c r="B173" i="5" s="1"/>
  <c r="C173" i="6" l="1"/>
  <c r="C174" i="6" s="1"/>
  <c r="C173" i="5"/>
  <c r="B174" i="5" s="1"/>
  <c r="D174" i="6" l="1"/>
  <c r="D175" i="6" s="1"/>
  <c r="B174" i="6"/>
  <c r="B175" i="6" s="1"/>
  <c r="C174" i="5"/>
  <c r="B175" i="5" s="1"/>
  <c r="C175" i="6" l="1"/>
  <c r="C176" i="6" s="1"/>
  <c r="C175" i="5"/>
  <c r="B176" i="5" s="1"/>
  <c r="D176" i="6" l="1"/>
  <c r="D177" i="6" s="1"/>
  <c r="B176" i="6"/>
  <c r="B177" i="6" s="1"/>
  <c r="C176" i="5"/>
  <c r="B177" i="5" s="1"/>
  <c r="C177" i="6" l="1"/>
  <c r="C178" i="6" s="1"/>
  <c r="C177" i="5"/>
  <c r="B178" i="5" s="1"/>
  <c r="D178" i="6" l="1"/>
  <c r="D179" i="6" s="1"/>
  <c r="B178" i="6"/>
  <c r="B179" i="6" s="1"/>
  <c r="C178" i="5"/>
  <c r="B179" i="5" s="1"/>
  <c r="C179" i="6" l="1"/>
  <c r="C180" i="6" s="1"/>
  <c r="C179" i="5"/>
  <c r="B180" i="5" s="1"/>
  <c r="D180" i="6" l="1"/>
  <c r="D181" i="6" s="1"/>
  <c r="B180" i="6"/>
  <c r="B181" i="6" s="1"/>
  <c r="C180" i="5"/>
  <c r="B181" i="5" s="1"/>
  <c r="C181" i="6" l="1"/>
  <c r="C182" i="6" s="1"/>
  <c r="C181" i="5"/>
  <c r="B182" i="5" s="1"/>
  <c r="D182" i="6" l="1"/>
  <c r="D183" i="6" s="1"/>
  <c r="B182" i="6"/>
  <c r="B183" i="6" s="1"/>
  <c r="C182" i="5"/>
  <c r="B183" i="5" s="1"/>
  <c r="C183" i="6" l="1"/>
  <c r="C184" i="6" s="1"/>
  <c r="C183" i="5"/>
  <c r="B184" i="5" s="1"/>
  <c r="D184" i="6" l="1"/>
  <c r="D185" i="6" s="1"/>
  <c r="B184" i="6"/>
  <c r="B185" i="6" s="1"/>
  <c r="C184" i="5"/>
  <c r="B185" i="5" s="1"/>
  <c r="C185" i="6" l="1"/>
  <c r="C186" i="6" s="1"/>
  <c r="C185" i="5"/>
  <c r="B186" i="5" s="1"/>
  <c r="D186" i="6" l="1"/>
  <c r="D187" i="6" s="1"/>
  <c r="B186" i="6"/>
  <c r="B187" i="6" s="1"/>
  <c r="C186" i="5"/>
  <c r="B187" i="5" s="1"/>
  <c r="C187" i="6" l="1"/>
  <c r="C188" i="6" s="1"/>
  <c r="C187" i="5"/>
  <c r="B188" i="5" s="1"/>
  <c r="D188" i="6" l="1"/>
  <c r="D189" i="6" s="1"/>
  <c r="B188" i="6"/>
  <c r="B189" i="6" s="1"/>
  <c r="C188" i="5"/>
  <c r="B189" i="5" s="1"/>
  <c r="C189" i="6" l="1"/>
  <c r="C189" i="5"/>
  <c r="B190" i="5" s="1"/>
  <c r="B190" i="6" l="1"/>
  <c r="C190" i="6"/>
  <c r="D190" i="6"/>
  <c r="C190" i="5"/>
  <c r="B191" i="5" s="1"/>
  <c r="C191" i="6" l="1"/>
  <c r="D191" i="6"/>
  <c r="B191" i="6"/>
  <c r="C191" i="5"/>
  <c r="B192" i="5" s="1"/>
  <c r="B192" i="6" l="1"/>
  <c r="D192" i="6"/>
  <c r="C192" i="6"/>
  <c r="C192" i="5"/>
  <c r="B193" i="5" s="1"/>
  <c r="B193" i="6" l="1"/>
  <c r="C193" i="6"/>
  <c r="D193" i="6"/>
  <c r="C193" i="5"/>
  <c r="B194" i="5" s="1"/>
  <c r="C194" i="6" l="1"/>
  <c r="D194" i="6"/>
  <c r="B194" i="6"/>
  <c r="B195" i="6" s="1"/>
  <c r="C194" i="5"/>
  <c r="B195" i="5" s="1"/>
  <c r="D195" i="6" l="1"/>
  <c r="C195" i="6"/>
  <c r="C195" i="5"/>
  <c r="B196" i="5" s="1"/>
  <c r="B196" i="6" l="1"/>
  <c r="C196" i="6"/>
  <c r="D196" i="6"/>
  <c r="C196" i="5"/>
  <c r="B197" i="5" s="1"/>
  <c r="C197" i="6" l="1"/>
  <c r="D197" i="6"/>
  <c r="B197" i="6"/>
  <c r="C197" i="5"/>
  <c r="B198" i="5" s="1"/>
  <c r="B198" i="6" l="1"/>
  <c r="D198" i="6"/>
  <c r="C198" i="6"/>
  <c r="C198" i="5"/>
  <c r="B199" i="5" s="1"/>
  <c r="C199" i="6" l="1"/>
  <c r="D199" i="6"/>
  <c r="B199" i="6"/>
  <c r="C199" i="5"/>
  <c r="B200" i="5" s="1"/>
  <c r="B200" i="6" l="1"/>
  <c r="D200" i="6"/>
  <c r="C200" i="6"/>
  <c r="C200" i="5"/>
  <c r="B201" i="5" s="1"/>
  <c r="C201" i="6" l="1"/>
  <c r="B201" i="6"/>
  <c r="D201" i="6"/>
  <c r="C201" i="5"/>
  <c r="B202" i="5" s="1"/>
  <c r="D202" i="6" l="1"/>
  <c r="B202" i="6"/>
  <c r="C202" i="6"/>
  <c r="C202" i="5"/>
  <c r="B203" i="5" s="1"/>
  <c r="C203" i="6" l="1"/>
  <c r="B203" i="6"/>
  <c r="D203" i="6"/>
  <c r="C203" i="5"/>
  <c r="B204" i="5" s="1"/>
  <c r="B204" i="6" l="1"/>
  <c r="D204" i="6"/>
  <c r="C204" i="6"/>
  <c r="C205" i="6" s="1"/>
  <c r="C204" i="5"/>
  <c r="B205" i="5" s="1"/>
  <c r="B205" i="6" l="1"/>
  <c r="B206" i="6" s="1"/>
  <c r="D205" i="6"/>
  <c r="D206" i="6" s="1"/>
  <c r="C205" i="5"/>
  <c r="B206" i="5" s="1"/>
  <c r="C206" i="6" l="1"/>
  <c r="C207" i="6" s="1"/>
  <c r="C206" i="5"/>
  <c r="B207" i="5" s="1"/>
  <c r="B207" i="6" l="1"/>
  <c r="B208" i="6" s="1"/>
  <c r="D207" i="6"/>
  <c r="D208" i="6" s="1"/>
  <c r="C207" i="5"/>
  <c r="B208" i="5" s="1"/>
  <c r="C208" i="6" l="1"/>
  <c r="C209" i="6" s="1"/>
  <c r="C208" i="5"/>
  <c r="B209" i="5" s="1"/>
  <c r="B209" i="6" l="1"/>
  <c r="B210" i="6" s="1"/>
  <c r="D209" i="6"/>
  <c r="D210" i="6" s="1"/>
  <c r="C209" i="5"/>
  <c r="B210" i="5" s="1"/>
  <c r="C210" i="6" l="1"/>
  <c r="C211" i="6" s="1"/>
  <c r="C210" i="5"/>
  <c r="B211" i="5" s="1"/>
  <c r="B211" i="6" l="1"/>
  <c r="D211" i="6"/>
  <c r="D212" i="6" s="1"/>
  <c r="C211" i="5"/>
  <c r="B212" i="5" s="1"/>
  <c r="C212" i="6" l="1"/>
  <c r="D213" i="6" s="1"/>
  <c r="B212" i="6"/>
  <c r="C212" i="5"/>
  <c r="B213" i="5" s="1"/>
  <c r="C213" i="6" l="1"/>
  <c r="D214" i="6" s="1"/>
  <c r="B213" i="6"/>
  <c r="C213" i="5"/>
  <c r="B214" i="5" s="1"/>
  <c r="C214" i="6" l="1"/>
  <c r="B214" i="6"/>
  <c r="C214" i="5"/>
  <c r="B215" i="5" s="1"/>
  <c r="B215" i="6" l="1"/>
  <c r="C215" i="6"/>
  <c r="D215" i="6"/>
  <c r="C215" i="5"/>
  <c r="B216" i="5" s="1"/>
  <c r="C216" i="6" l="1"/>
  <c r="D216" i="6"/>
  <c r="B216" i="6"/>
  <c r="C216" i="5"/>
  <c r="B217" i="5" s="1"/>
  <c r="D217" i="6" l="1"/>
  <c r="C217" i="6"/>
  <c r="B217" i="6"/>
  <c r="C217" i="5"/>
  <c r="B218" i="5" s="1"/>
  <c r="B218" i="6" l="1"/>
  <c r="C218" i="6"/>
  <c r="D218" i="6"/>
  <c r="C218" i="5"/>
  <c r="B219" i="5" s="1"/>
  <c r="C219" i="6" l="1"/>
  <c r="D219" i="6"/>
  <c r="B219" i="6"/>
  <c r="C219" i="5"/>
  <c r="B220" i="5" s="1"/>
  <c r="D220" i="6" l="1"/>
  <c r="B220" i="6"/>
  <c r="C220" i="6"/>
  <c r="C220" i="5"/>
  <c r="B221" i="5" s="1"/>
  <c r="C221" i="6" l="1"/>
  <c r="D221" i="6"/>
  <c r="B221" i="6"/>
  <c r="C221" i="5"/>
  <c r="B222" i="5" s="1"/>
  <c r="B222" i="6" l="1"/>
  <c r="D222" i="6"/>
  <c r="C222" i="6"/>
  <c r="C222" i="5"/>
  <c r="B223" i="5" s="1"/>
  <c r="C223" i="6" l="1"/>
  <c r="B223" i="6"/>
  <c r="D223" i="6"/>
  <c r="C223" i="5"/>
  <c r="B224" i="5" s="1"/>
  <c r="B224" i="6" l="1"/>
  <c r="D224" i="6"/>
  <c r="C224" i="6"/>
  <c r="C224" i="5"/>
  <c r="B225" i="5" s="1"/>
  <c r="C225" i="6" l="1"/>
  <c r="B225" i="6"/>
  <c r="D225" i="6"/>
  <c r="D226" i="6" s="1"/>
  <c r="C225" i="5"/>
  <c r="B226" i="5" s="1"/>
  <c r="B226" i="6" l="1"/>
  <c r="C226" i="6"/>
  <c r="C227" i="6" s="1"/>
  <c r="C226" i="5"/>
  <c r="B227" i="5" s="1"/>
  <c r="B227" i="6" l="1"/>
  <c r="B228" i="6" s="1"/>
  <c r="D227" i="6"/>
  <c r="D228" i="6" s="1"/>
  <c r="C227" i="5"/>
  <c r="B228" i="5" s="1"/>
  <c r="C228" i="6" l="1"/>
  <c r="D229" i="6" s="1"/>
  <c r="C228" i="5"/>
  <c r="B229" i="5" s="1"/>
  <c r="B229" i="6" l="1"/>
  <c r="C229" i="6"/>
  <c r="C229" i="5"/>
  <c r="B230" i="5" s="1"/>
  <c r="C230" i="6" l="1"/>
  <c r="B230" i="6"/>
  <c r="D230" i="6"/>
  <c r="C230" i="5"/>
  <c r="B231" i="5" s="1"/>
  <c r="D231" i="6" l="1"/>
  <c r="B231" i="6"/>
  <c r="C231" i="6"/>
  <c r="C231" i="5"/>
  <c r="B232" i="5" s="1"/>
  <c r="C232" i="6" l="1"/>
  <c r="B232" i="6"/>
  <c r="D232" i="6"/>
  <c r="C232" i="5"/>
  <c r="B233" i="5" s="1"/>
  <c r="B233" i="6" l="1"/>
  <c r="D233" i="6"/>
  <c r="C233" i="6"/>
  <c r="C233" i="5"/>
  <c r="B234" i="5" s="1"/>
  <c r="C234" i="6" l="1"/>
  <c r="B234" i="6"/>
  <c r="D234" i="6"/>
  <c r="C234" i="5"/>
  <c r="B235" i="5" s="1"/>
  <c r="D235" i="6" l="1"/>
  <c r="B235" i="6"/>
  <c r="C235" i="6"/>
  <c r="C235" i="5"/>
  <c r="B236" i="5" s="1"/>
  <c r="C236" i="6" l="1"/>
  <c r="B236" i="6"/>
  <c r="D236" i="6"/>
  <c r="C236" i="5"/>
  <c r="B237" i="5" s="1"/>
  <c r="D237" i="6" l="1"/>
  <c r="B237" i="6"/>
  <c r="C237" i="6"/>
  <c r="C238" i="6" s="1"/>
  <c r="C237" i="5"/>
  <c r="B238" i="5" s="1"/>
  <c r="B238" i="6" l="1"/>
  <c r="B239" i="6" s="1"/>
  <c r="D238" i="6"/>
  <c r="D239" i="6" s="1"/>
  <c r="C238" i="5"/>
  <c r="B239" i="5" s="1"/>
  <c r="C239" i="6" l="1"/>
  <c r="C240" i="6" s="1"/>
  <c r="C239" i="5"/>
  <c r="B240" i="5" s="1"/>
  <c r="B240" i="6" l="1"/>
  <c r="B241" i="6" s="1"/>
  <c r="D240" i="6"/>
  <c r="D241" i="6" s="1"/>
  <c r="C240" i="5"/>
  <c r="B241" i="5" s="1"/>
  <c r="C241" i="6" l="1"/>
  <c r="C242" i="6" s="1"/>
  <c r="C241" i="5"/>
  <c r="B242" i="5" s="1"/>
  <c r="B242" i="6" l="1"/>
  <c r="B243" i="6" s="1"/>
  <c r="D242" i="6"/>
  <c r="D243" i="6" s="1"/>
  <c r="C242" i="5"/>
  <c r="B243" i="5" s="1"/>
  <c r="C243" i="6" l="1"/>
  <c r="C244" i="6" s="1"/>
  <c r="C243" i="5"/>
  <c r="B244" i="5" s="1"/>
  <c r="B244" i="6" l="1"/>
  <c r="B245" i="6" s="1"/>
  <c r="D244" i="6"/>
  <c r="D245" i="6" s="1"/>
  <c r="C244" i="5"/>
  <c r="B245" i="5" s="1"/>
  <c r="C245" i="6" l="1"/>
  <c r="C246" i="6" s="1"/>
  <c r="C245" i="5"/>
  <c r="B246" i="5" s="1"/>
  <c r="B246" i="6" l="1"/>
  <c r="B247" i="6" s="1"/>
  <c r="D246" i="6"/>
  <c r="D247" i="6" s="1"/>
  <c r="C246" i="5"/>
  <c r="B247" i="5" s="1"/>
  <c r="C247" i="6" l="1"/>
  <c r="C248" i="6" s="1"/>
  <c r="C247" i="5"/>
  <c r="B248" i="5" s="1"/>
  <c r="B248" i="6" l="1"/>
  <c r="B249" i="6" s="1"/>
  <c r="D248" i="6"/>
  <c r="D249" i="6" s="1"/>
  <c r="C248" i="5"/>
  <c r="B249" i="5" s="1"/>
  <c r="C249" i="6" l="1"/>
  <c r="C250" i="6" s="1"/>
  <c r="C249" i="5"/>
  <c r="B250" i="5" s="1"/>
  <c r="B250" i="6" l="1"/>
  <c r="B251" i="6" s="1"/>
  <c r="D250" i="6"/>
  <c r="D251" i="6" s="1"/>
  <c r="C250" i="5"/>
  <c r="B251" i="5" s="1"/>
  <c r="C251" i="6" l="1"/>
  <c r="C252" i="6" s="1"/>
  <c r="C251" i="5"/>
  <c r="B252" i="5" s="1"/>
  <c r="B252" i="6" l="1"/>
  <c r="B253" i="6" s="1"/>
  <c r="D252" i="6"/>
  <c r="D253" i="6" s="1"/>
  <c r="C252" i="5"/>
  <c r="B253" i="5" s="1"/>
  <c r="C253" i="6" l="1"/>
  <c r="C254" i="6" s="1"/>
  <c r="C253" i="5"/>
  <c r="B254" i="5" s="1"/>
  <c r="B254" i="6" l="1"/>
  <c r="B255" i="6" s="1"/>
  <c r="D254" i="6"/>
  <c r="D255" i="6" s="1"/>
  <c r="C254" i="5"/>
  <c r="B255" i="5" s="1"/>
  <c r="C255" i="6" l="1"/>
  <c r="C256" i="6" s="1"/>
  <c r="C255" i="5"/>
  <c r="B256" i="5" s="1"/>
  <c r="B256" i="6" l="1"/>
  <c r="B257" i="6" s="1"/>
  <c r="D256" i="6"/>
  <c r="D257" i="6" s="1"/>
  <c r="C256" i="5"/>
  <c r="B257" i="5" s="1"/>
  <c r="C257" i="6" l="1"/>
  <c r="C258" i="6" s="1"/>
  <c r="C257" i="5"/>
  <c r="B258" i="5" s="1"/>
  <c r="B258" i="6" l="1"/>
  <c r="B259" i="6" s="1"/>
  <c r="D258" i="6"/>
  <c r="D259" i="6" s="1"/>
  <c r="C258" i="5"/>
  <c r="B259" i="5" s="1"/>
  <c r="C259" i="6" l="1"/>
  <c r="C260" i="6" s="1"/>
  <c r="C259" i="5"/>
  <c r="B260" i="5" s="1"/>
  <c r="B260" i="6" l="1"/>
  <c r="B261" i="6" s="1"/>
  <c r="D260" i="6"/>
  <c r="D261" i="6" s="1"/>
  <c r="C260" i="5"/>
  <c r="B261" i="5" s="1"/>
  <c r="C261" i="6" l="1"/>
  <c r="C262" i="6" s="1"/>
  <c r="C261" i="5"/>
  <c r="B262" i="5" s="1"/>
  <c r="B262" i="6" l="1"/>
  <c r="B263" i="6" s="1"/>
  <c r="D262" i="6"/>
  <c r="D263" i="6" s="1"/>
  <c r="C262" i="5"/>
  <c r="B263" i="5" s="1"/>
  <c r="C263" i="6" l="1"/>
  <c r="C264" i="6" s="1"/>
  <c r="C263" i="5"/>
  <c r="B264" i="5" s="1"/>
  <c r="B264" i="6" l="1"/>
  <c r="B265" i="6" s="1"/>
  <c r="D264" i="6"/>
  <c r="D265" i="6" s="1"/>
  <c r="C264" i="5"/>
  <c r="B265" i="5" s="1"/>
  <c r="C265" i="6" l="1"/>
  <c r="C266" i="6" s="1"/>
  <c r="C265" i="5"/>
  <c r="B266" i="5" s="1"/>
  <c r="B266" i="6" l="1"/>
  <c r="B267" i="6" s="1"/>
  <c r="D266" i="6"/>
  <c r="D267" i="6" s="1"/>
  <c r="C266" i="5"/>
  <c r="B267" i="5" s="1"/>
  <c r="C267" i="6" l="1"/>
  <c r="C268" i="6" s="1"/>
  <c r="C267" i="5"/>
  <c r="B268" i="5" s="1"/>
  <c r="B268" i="6" l="1"/>
  <c r="B269" i="6" s="1"/>
  <c r="D268" i="6"/>
  <c r="D269" i="6" s="1"/>
  <c r="C268" i="5"/>
  <c r="B269" i="5" s="1"/>
  <c r="C269" i="6" l="1"/>
  <c r="C270" i="6" s="1"/>
  <c r="C269" i="5"/>
  <c r="B270" i="5" s="1"/>
  <c r="B270" i="6" l="1"/>
  <c r="B271" i="6" s="1"/>
  <c r="D270" i="6"/>
  <c r="D271" i="6" s="1"/>
  <c r="C270" i="5"/>
  <c r="B271" i="5" s="1"/>
  <c r="C271" i="6" l="1"/>
  <c r="C272" i="6" s="1"/>
  <c r="C271" i="5"/>
  <c r="B272" i="5" s="1"/>
  <c r="B272" i="6" l="1"/>
  <c r="B273" i="6" s="1"/>
  <c r="D272" i="6"/>
  <c r="D273" i="6" s="1"/>
  <c r="C272" i="5"/>
  <c r="B273" i="5" s="1"/>
  <c r="C273" i="6" l="1"/>
  <c r="C274" i="6" s="1"/>
  <c r="C273" i="5"/>
  <c r="B274" i="5" s="1"/>
  <c r="B274" i="6" l="1"/>
  <c r="B275" i="6" s="1"/>
  <c r="D274" i="6"/>
  <c r="D275" i="6" s="1"/>
  <c r="C274" i="5"/>
  <c r="B275" i="5" s="1"/>
  <c r="C275" i="6" l="1"/>
  <c r="C276" i="6" s="1"/>
  <c r="C275" i="5"/>
  <c r="B276" i="5" s="1"/>
  <c r="B276" i="6" l="1"/>
  <c r="B277" i="6" s="1"/>
  <c r="D276" i="6"/>
  <c r="D277" i="6" s="1"/>
  <c r="C276" i="5"/>
  <c r="B277" i="5" s="1"/>
  <c r="C277" i="6" l="1"/>
  <c r="C278" i="6" s="1"/>
  <c r="C277" i="5"/>
  <c r="B278" i="5" s="1"/>
  <c r="B278" i="6" l="1"/>
  <c r="B279" i="6" s="1"/>
  <c r="D278" i="6"/>
  <c r="D279" i="6" s="1"/>
  <c r="C278" i="5"/>
  <c r="B279" i="5" s="1"/>
  <c r="C279" i="6" l="1"/>
  <c r="C280" i="6" s="1"/>
  <c r="C279" i="5"/>
  <c r="B280" i="5" s="1"/>
  <c r="B280" i="6" l="1"/>
  <c r="B281" i="6" s="1"/>
  <c r="D280" i="6"/>
  <c r="D281" i="6" s="1"/>
  <c r="C280" i="5"/>
  <c r="B281" i="5" s="1"/>
  <c r="C281" i="6" l="1"/>
  <c r="C282" i="6" s="1"/>
  <c r="C281" i="5"/>
  <c r="B282" i="5" s="1"/>
  <c r="B282" i="6" l="1"/>
  <c r="B283" i="6" s="1"/>
  <c r="D282" i="6"/>
  <c r="D283" i="6" s="1"/>
  <c r="C282" i="5"/>
  <c r="B283" i="5" s="1"/>
  <c r="C283" i="6" l="1"/>
  <c r="C284" i="6" s="1"/>
  <c r="C283" i="5"/>
  <c r="B284" i="5" s="1"/>
  <c r="B284" i="6" l="1"/>
  <c r="B285" i="6" s="1"/>
  <c r="D284" i="6"/>
  <c r="D285" i="6" s="1"/>
  <c r="C284" i="5"/>
  <c r="B285" i="5" s="1"/>
  <c r="C285" i="6" l="1"/>
  <c r="C286" i="6" s="1"/>
  <c r="C285" i="5"/>
  <c r="B286" i="5" s="1"/>
  <c r="B286" i="6" l="1"/>
  <c r="B287" i="6" s="1"/>
  <c r="D286" i="6"/>
  <c r="D287" i="6" s="1"/>
  <c r="C286" i="5"/>
  <c r="B287" i="5" s="1"/>
  <c r="C287" i="6" l="1"/>
  <c r="C288" i="6" s="1"/>
  <c r="C287" i="5"/>
  <c r="B288" i="5" s="1"/>
  <c r="B288" i="6" l="1"/>
  <c r="B289" i="6" s="1"/>
  <c r="D288" i="6"/>
  <c r="D289" i="6" s="1"/>
  <c r="C288" i="5"/>
  <c r="B289" i="5" s="1"/>
  <c r="C289" i="6" l="1"/>
  <c r="C290" i="6" s="1"/>
  <c r="C289" i="5"/>
  <c r="B290" i="5" s="1"/>
  <c r="B290" i="6" l="1"/>
  <c r="B291" i="6" s="1"/>
  <c r="D290" i="6"/>
  <c r="D291" i="6" s="1"/>
  <c r="C290" i="5"/>
  <c r="B291" i="5" s="1"/>
  <c r="C291" i="6" l="1"/>
  <c r="C292" i="6" s="1"/>
  <c r="C291" i="5"/>
  <c r="B292" i="5" s="1"/>
  <c r="B292" i="6" l="1"/>
  <c r="B293" i="6" s="1"/>
  <c r="D292" i="6"/>
  <c r="D293" i="6" s="1"/>
  <c r="C292" i="5"/>
  <c r="B293" i="5" s="1"/>
  <c r="C293" i="6" l="1"/>
  <c r="C294" i="6" s="1"/>
  <c r="C293" i="5"/>
  <c r="B294" i="5" s="1"/>
  <c r="B294" i="6" l="1"/>
  <c r="B295" i="6" s="1"/>
  <c r="D294" i="6"/>
  <c r="D295" i="6" s="1"/>
  <c r="C294" i="5"/>
  <c r="B295" i="5" s="1"/>
  <c r="C295" i="6" l="1"/>
  <c r="C296" i="6" s="1"/>
  <c r="C295" i="5"/>
  <c r="B296" i="5" s="1"/>
  <c r="B296" i="6" l="1"/>
  <c r="B297" i="6" s="1"/>
  <c r="D296" i="6"/>
  <c r="D297" i="6" s="1"/>
  <c r="C296" i="5"/>
  <c r="B297" i="5" s="1"/>
  <c r="C297" i="6" l="1"/>
  <c r="C298" i="6" s="1"/>
  <c r="C297" i="5"/>
  <c r="B298" i="5" s="1"/>
  <c r="B298" i="6" l="1"/>
  <c r="B299" i="6" s="1"/>
  <c r="D298" i="6"/>
  <c r="D299" i="6" s="1"/>
  <c r="C298" i="5"/>
  <c r="B299" i="5" s="1"/>
  <c r="C299" i="6" l="1"/>
  <c r="C300" i="6" s="1"/>
  <c r="C299" i="5"/>
  <c r="B300" i="5" s="1"/>
  <c r="B300" i="6" l="1"/>
  <c r="B301" i="6" s="1"/>
  <c r="D300" i="6"/>
  <c r="D301" i="6" s="1"/>
  <c r="C300" i="5"/>
  <c r="B301" i="5" s="1"/>
  <c r="C301" i="6" l="1"/>
  <c r="C302" i="6" s="1"/>
  <c r="C301" i="5"/>
  <c r="B302" i="5" s="1"/>
  <c r="B302" i="6" l="1"/>
  <c r="B303" i="6" s="1"/>
  <c r="D302" i="6"/>
  <c r="D303" i="6" s="1"/>
  <c r="C302" i="5"/>
  <c r="B303" i="5" s="1"/>
  <c r="C303" i="6" l="1"/>
  <c r="C304" i="6" s="1"/>
  <c r="C303" i="5"/>
  <c r="B304" i="5" s="1"/>
  <c r="B304" i="6" l="1"/>
  <c r="B305" i="6" s="1"/>
  <c r="D304" i="6"/>
  <c r="D305" i="6" s="1"/>
  <c r="C304" i="5"/>
  <c r="B305" i="5" s="1"/>
  <c r="C305" i="6" l="1"/>
  <c r="C306" i="6" s="1"/>
  <c r="C305" i="5"/>
  <c r="B306" i="5" s="1"/>
  <c r="B306" i="6" l="1"/>
  <c r="B307" i="6" s="1"/>
  <c r="D306" i="6"/>
  <c r="D307" i="6" s="1"/>
  <c r="C306" i="5"/>
  <c r="B307" i="5" s="1"/>
  <c r="C307" i="6" l="1"/>
  <c r="C308" i="6" s="1"/>
  <c r="C307" i="5"/>
  <c r="B308" i="5" s="1"/>
  <c r="B308" i="6" l="1"/>
  <c r="B309" i="6" s="1"/>
  <c r="D308" i="6"/>
  <c r="D309" i="6" s="1"/>
  <c r="C308" i="5"/>
  <c r="B309" i="5" s="1"/>
  <c r="C309" i="6" l="1"/>
  <c r="C310" i="6" s="1"/>
  <c r="C309" i="5"/>
  <c r="B310" i="5" s="1"/>
  <c r="B310" i="6" l="1"/>
  <c r="B311" i="6" s="1"/>
  <c r="D310" i="6"/>
  <c r="D311" i="6" s="1"/>
  <c r="C310" i="5"/>
  <c r="B311" i="5" s="1"/>
  <c r="C311" i="6" l="1"/>
  <c r="C312" i="6" s="1"/>
  <c r="C311" i="5"/>
  <c r="B312" i="5" s="1"/>
  <c r="B312" i="6" l="1"/>
  <c r="B313" i="6" s="1"/>
  <c r="D312" i="6"/>
  <c r="D313" i="6" s="1"/>
  <c r="C312" i="5"/>
  <c r="B313" i="5" s="1"/>
  <c r="C313" i="6" l="1"/>
  <c r="C314" i="6" s="1"/>
  <c r="C313" i="5"/>
  <c r="B314" i="5" s="1"/>
  <c r="B314" i="6" l="1"/>
  <c r="B315" i="6" s="1"/>
  <c r="D314" i="6"/>
  <c r="D315" i="6" s="1"/>
  <c r="C314" i="5"/>
  <c r="B315" i="5" s="1"/>
  <c r="C315" i="6" l="1"/>
  <c r="C316" i="6" s="1"/>
  <c r="C315" i="5"/>
  <c r="B316" i="5" s="1"/>
  <c r="B316" i="6" l="1"/>
  <c r="B317" i="6" s="1"/>
  <c r="D316" i="6"/>
  <c r="D317" i="6" s="1"/>
  <c r="C316" i="5"/>
  <c r="B317" i="5" s="1"/>
  <c r="C317" i="6" l="1"/>
  <c r="C318" i="6" s="1"/>
  <c r="C317" i="5"/>
  <c r="B318" i="5" s="1"/>
  <c r="B318" i="6" l="1"/>
  <c r="B319" i="6" s="1"/>
  <c r="D318" i="6"/>
  <c r="D319" i="6" s="1"/>
  <c r="C318" i="5"/>
  <c r="B319" i="5" s="1"/>
  <c r="C319" i="6" l="1"/>
  <c r="C320" i="6" s="1"/>
  <c r="C319" i="5"/>
  <c r="B320" i="5" s="1"/>
  <c r="B320" i="6" l="1"/>
  <c r="B321" i="6" s="1"/>
  <c r="D320" i="6"/>
  <c r="D321" i="6" s="1"/>
  <c r="C320" i="5"/>
  <c r="B321" i="5" s="1"/>
  <c r="C321" i="6" l="1"/>
  <c r="C322" i="6" s="1"/>
  <c r="C321" i="5"/>
  <c r="B322" i="5" s="1"/>
  <c r="B322" i="6" l="1"/>
  <c r="B323" i="6" s="1"/>
  <c r="D322" i="6"/>
  <c r="D323" i="6" s="1"/>
  <c r="C322" i="5"/>
  <c r="B323" i="5" s="1"/>
  <c r="C323" i="6" l="1"/>
  <c r="C324" i="6" s="1"/>
  <c r="C323" i="5"/>
  <c r="B324" i="5" s="1"/>
  <c r="B324" i="6" l="1"/>
  <c r="B325" i="6" s="1"/>
  <c r="D324" i="6"/>
  <c r="D325" i="6" s="1"/>
  <c r="C324" i="5"/>
  <c r="B325" i="5" s="1"/>
  <c r="C325" i="6" l="1"/>
  <c r="C326" i="6" s="1"/>
  <c r="C325" i="5"/>
  <c r="B326" i="5" s="1"/>
  <c r="B326" i="6" l="1"/>
  <c r="B327" i="6" s="1"/>
  <c r="D326" i="6"/>
  <c r="D327" i="6" s="1"/>
  <c r="C326" i="5"/>
  <c r="B327" i="5" s="1"/>
  <c r="C327" i="6" l="1"/>
  <c r="C328" i="6" s="1"/>
  <c r="C327" i="5"/>
  <c r="B328" i="5" s="1"/>
  <c r="B328" i="6" l="1"/>
  <c r="B329" i="6" s="1"/>
  <c r="D328" i="6"/>
  <c r="D329" i="6" s="1"/>
  <c r="C328" i="5"/>
  <c r="B329" i="5" s="1"/>
  <c r="C329" i="6" l="1"/>
  <c r="C330" i="6" s="1"/>
  <c r="C329" i="5"/>
  <c r="B330" i="5" s="1"/>
  <c r="B330" i="6" l="1"/>
  <c r="B331" i="6" s="1"/>
  <c r="D330" i="6"/>
  <c r="D331" i="6" s="1"/>
  <c r="C330" i="5"/>
  <c r="B331" i="5" s="1"/>
  <c r="C331" i="6" l="1"/>
  <c r="C332" i="6" s="1"/>
  <c r="C331" i="5"/>
  <c r="B332" i="5" s="1"/>
  <c r="B332" i="6" l="1"/>
  <c r="B333" i="6" s="1"/>
  <c r="D332" i="6"/>
  <c r="D333" i="6" s="1"/>
  <c r="C332" i="5"/>
  <c r="B333" i="5" s="1"/>
  <c r="C333" i="6" l="1"/>
  <c r="C334" i="6" s="1"/>
  <c r="C333" i="5"/>
  <c r="B334" i="5" s="1"/>
  <c r="B334" i="6" l="1"/>
  <c r="B335" i="6" s="1"/>
  <c r="D334" i="6"/>
  <c r="D335" i="6" s="1"/>
  <c r="C334" i="5"/>
  <c r="B335" i="5" s="1"/>
  <c r="C335" i="6" l="1"/>
  <c r="C336" i="6" s="1"/>
  <c r="C335" i="5"/>
  <c r="B336" i="5" s="1"/>
  <c r="B336" i="6" l="1"/>
  <c r="B337" i="6" s="1"/>
  <c r="D336" i="6"/>
  <c r="D337" i="6" s="1"/>
  <c r="C336" i="5"/>
  <c r="B337" i="5" s="1"/>
  <c r="C337" i="6" l="1"/>
  <c r="C338" i="6" s="1"/>
  <c r="C337" i="5"/>
  <c r="B338" i="5" s="1"/>
  <c r="B338" i="6" l="1"/>
  <c r="B339" i="6" s="1"/>
  <c r="D338" i="6"/>
  <c r="D339" i="6" s="1"/>
  <c r="C338" i="5"/>
  <c r="B339" i="5" s="1"/>
  <c r="C339" i="6" l="1"/>
  <c r="C340" i="6" s="1"/>
  <c r="C339" i="5"/>
  <c r="B340" i="5" s="1"/>
  <c r="B340" i="6" l="1"/>
  <c r="B341" i="6" s="1"/>
  <c r="D340" i="6"/>
  <c r="D341" i="6" s="1"/>
  <c r="C340" i="5"/>
  <c r="B341" i="5" s="1"/>
  <c r="C341" i="6" l="1"/>
  <c r="C342" i="6" s="1"/>
  <c r="C341" i="5"/>
  <c r="B342" i="5" s="1"/>
  <c r="B342" i="6" l="1"/>
  <c r="B343" i="6" s="1"/>
  <c r="D342" i="6"/>
  <c r="D343" i="6" s="1"/>
  <c r="C342" i="5"/>
  <c r="B343" i="5" s="1"/>
  <c r="C343" i="6" l="1"/>
  <c r="C344" i="6" s="1"/>
  <c r="C343" i="5"/>
  <c r="B344" i="5" s="1"/>
  <c r="B344" i="6" l="1"/>
  <c r="B345" i="6" s="1"/>
  <c r="D344" i="6"/>
  <c r="D345" i="6" s="1"/>
  <c r="C344" i="5"/>
  <c r="B345" i="5" s="1"/>
  <c r="C345" i="6" l="1"/>
  <c r="C346" i="6" s="1"/>
  <c r="C345" i="5"/>
  <c r="B346" i="5" s="1"/>
  <c r="B346" i="6" l="1"/>
  <c r="B347" i="6" s="1"/>
  <c r="D346" i="6"/>
  <c r="D347" i="6" s="1"/>
  <c r="C346" i="5"/>
  <c r="B347" i="5" s="1"/>
  <c r="C347" i="6" l="1"/>
  <c r="C348" i="6" s="1"/>
  <c r="C347" i="5"/>
  <c r="B348" i="5" s="1"/>
  <c r="B348" i="6" l="1"/>
  <c r="B349" i="6" s="1"/>
  <c r="D348" i="6"/>
  <c r="D349" i="6" s="1"/>
  <c r="C348" i="5"/>
  <c r="B349" i="5" s="1"/>
  <c r="C349" i="6" l="1"/>
  <c r="C350" i="6" s="1"/>
  <c r="C349" i="5"/>
  <c r="B350" i="5" s="1"/>
  <c r="B350" i="6" l="1"/>
  <c r="B351" i="6" s="1"/>
  <c r="D350" i="6"/>
  <c r="D351" i="6" s="1"/>
  <c r="C350" i="5"/>
  <c r="B351" i="5" s="1"/>
  <c r="C351" i="6" l="1"/>
  <c r="C352" i="6" s="1"/>
  <c r="C351" i="5"/>
  <c r="B352" i="5" s="1"/>
  <c r="B352" i="6" l="1"/>
  <c r="B353" i="6" s="1"/>
  <c r="D352" i="6"/>
  <c r="D353" i="6" s="1"/>
  <c r="C352" i="5"/>
  <c r="B353" i="5" s="1"/>
  <c r="C353" i="6" l="1"/>
  <c r="C354" i="6" s="1"/>
  <c r="C353" i="5"/>
  <c r="B354" i="5" s="1"/>
  <c r="B354" i="6" l="1"/>
  <c r="B355" i="6" s="1"/>
  <c r="D354" i="6"/>
  <c r="D355" i="6" s="1"/>
  <c r="C354" i="5"/>
  <c r="B355" i="5" s="1"/>
  <c r="C355" i="6" l="1"/>
  <c r="C356" i="6" s="1"/>
  <c r="C355" i="5"/>
  <c r="B356" i="5" s="1"/>
  <c r="B356" i="6" l="1"/>
  <c r="B357" i="6" s="1"/>
  <c r="D356" i="6"/>
  <c r="D357" i="6" s="1"/>
  <c r="C356" i="5"/>
  <c r="B357" i="5" s="1"/>
  <c r="C357" i="6" l="1"/>
  <c r="C358" i="6" s="1"/>
  <c r="C357" i="5"/>
  <c r="B358" i="5" s="1"/>
  <c r="B358" i="6" l="1"/>
  <c r="B359" i="6" s="1"/>
  <c r="D358" i="6"/>
  <c r="D359" i="6" s="1"/>
  <c r="C358" i="5"/>
  <c r="B359" i="5" s="1"/>
  <c r="C359" i="6" l="1"/>
  <c r="C360" i="6" s="1"/>
  <c r="C359" i="5"/>
  <c r="B360" i="5" s="1"/>
  <c r="B360" i="6" l="1"/>
  <c r="B361" i="6" s="1"/>
  <c r="D360" i="6"/>
  <c r="D361" i="6" s="1"/>
  <c r="C360" i="5"/>
  <c r="B361" i="5" s="1"/>
  <c r="C361" i="6" l="1"/>
  <c r="C362" i="6" s="1"/>
  <c r="C361" i="5"/>
  <c r="B362" i="5" s="1"/>
  <c r="B362" i="6" l="1"/>
  <c r="B363" i="6" s="1"/>
  <c r="D362" i="6"/>
  <c r="D363" i="6" s="1"/>
  <c r="C362" i="5"/>
  <c r="B363" i="5" s="1"/>
  <c r="C363" i="6" l="1"/>
  <c r="C364" i="6" s="1"/>
  <c r="C363" i="5"/>
  <c r="B364" i="5" s="1"/>
  <c r="B364" i="6" l="1"/>
  <c r="B365" i="6" s="1"/>
  <c r="D364" i="6"/>
  <c r="D365" i="6" s="1"/>
  <c r="C364" i="5"/>
  <c r="B365" i="5" s="1"/>
  <c r="C365" i="6" l="1"/>
  <c r="C366" i="6" s="1"/>
  <c r="C365" i="5"/>
  <c r="B366" i="5" s="1"/>
  <c r="B366" i="6" l="1"/>
  <c r="B367" i="6" s="1"/>
  <c r="D366" i="6"/>
  <c r="D367" i="6" s="1"/>
  <c r="C366" i="5"/>
  <c r="B367" i="5" s="1"/>
  <c r="C367" i="6" l="1"/>
  <c r="C368" i="6" s="1"/>
  <c r="C367" i="5"/>
  <c r="B368" i="5" s="1"/>
  <c r="B368" i="6" l="1"/>
  <c r="B369" i="6" s="1"/>
  <c r="D368" i="6"/>
  <c r="D369" i="6" s="1"/>
  <c r="C368" i="5"/>
  <c r="B369" i="5" s="1"/>
  <c r="C369" i="6" l="1"/>
  <c r="C370" i="6" s="1"/>
  <c r="C369" i="5"/>
  <c r="B370" i="5" s="1"/>
  <c r="B370" i="6" l="1"/>
  <c r="B371" i="6" s="1"/>
  <c r="D370" i="6"/>
  <c r="D371" i="6" s="1"/>
  <c r="C370" i="5"/>
  <c r="B371" i="5" s="1"/>
  <c r="C371" i="6" l="1"/>
  <c r="C372" i="6" s="1"/>
  <c r="C371" i="5"/>
  <c r="B372" i="5" s="1"/>
  <c r="B372" i="6" l="1"/>
  <c r="B373" i="6" s="1"/>
  <c r="D372" i="6"/>
  <c r="D373" i="6" s="1"/>
  <c r="C372" i="5"/>
  <c r="B373" i="5" s="1"/>
  <c r="C373" i="6" l="1"/>
  <c r="C374" i="6" s="1"/>
  <c r="C373" i="5"/>
  <c r="B374" i="5" s="1"/>
  <c r="B374" i="6" l="1"/>
  <c r="B375" i="6" s="1"/>
  <c r="D374" i="6"/>
  <c r="D375" i="6" s="1"/>
  <c r="C374" i="5"/>
  <c r="B375" i="5" s="1"/>
  <c r="C375" i="6" l="1"/>
  <c r="C376" i="6" s="1"/>
  <c r="C375" i="5"/>
  <c r="B376" i="5" s="1"/>
  <c r="B376" i="6" l="1"/>
  <c r="B377" i="6" s="1"/>
  <c r="D376" i="6"/>
  <c r="D377" i="6" s="1"/>
  <c r="C376" i="5"/>
  <c r="B377" i="5" s="1"/>
  <c r="C377" i="6" l="1"/>
  <c r="C378" i="6" s="1"/>
  <c r="C377" i="5"/>
  <c r="B378" i="5" s="1"/>
  <c r="B378" i="6" l="1"/>
  <c r="B379" i="6" s="1"/>
  <c r="D378" i="6"/>
  <c r="D379" i="6" s="1"/>
  <c r="C378" i="5"/>
  <c r="B379" i="5" s="1"/>
  <c r="C379" i="6" l="1"/>
  <c r="C380" i="6" s="1"/>
  <c r="C379" i="5"/>
  <c r="B380" i="5" s="1"/>
  <c r="B380" i="6" l="1"/>
  <c r="B381" i="6" s="1"/>
  <c r="D380" i="6"/>
  <c r="D381" i="6" s="1"/>
  <c r="C380" i="5"/>
  <c r="B381" i="5" s="1"/>
  <c r="C381" i="6" l="1"/>
  <c r="C382" i="6" s="1"/>
  <c r="C381" i="5"/>
  <c r="B382" i="5" s="1"/>
  <c r="B382" i="6" l="1"/>
  <c r="B383" i="6" s="1"/>
  <c r="D382" i="6"/>
  <c r="D383" i="6" s="1"/>
  <c r="C382" i="5"/>
  <c r="B383" i="5" s="1"/>
  <c r="C383" i="6" l="1"/>
  <c r="C384" i="6" s="1"/>
  <c r="C383" i="5"/>
  <c r="B384" i="5" s="1"/>
  <c r="B384" i="6" l="1"/>
  <c r="B385" i="6" s="1"/>
  <c r="D384" i="6"/>
  <c r="D385" i="6" s="1"/>
  <c r="C384" i="5"/>
  <c r="B385" i="5" s="1"/>
  <c r="C385" i="6" l="1"/>
  <c r="C386" i="6" s="1"/>
  <c r="C385" i="5"/>
  <c r="B386" i="5" s="1"/>
  <c r="B386" i="6" l="1"/>
  <c r="B387" i="6" s="1"/>
  <c r="D386" i="6"/>
  <c r="D387" i="6" s="1"/>
  <c r="C386" i="5"/>
  <c r="B387" i="5" s="1"/>
  <c r="C387" i="6" l="1"/>
  <c r="C388" i="6" s="1"/>
  <c r="C387" i="5"/>
  <c r="B388" i="5" s="1"/>
  <c r="B388" i="6" l="1"/>
  <c r="B389" i="6" s="1"/>
  <c r="D388" i="6"/>
  <c r="D389" i="6" s="1"/>
  <c r="C388" i="5"/>
  <c r="B389" i="5" s="1"/>
  <c r="C389" i="6" l="1"/>
  <c r="C390" i="6" s="1"/>
  <c r="C389" i="5"/>
  <c r="B390" i="5" s="1"/>
  <c r="B390" i="6" l="1"/>
  <c r="B391" i="6" s="1"/>
  <c r="D390" i="6"/>
  <c r="D391" i="6" s="1"/>
  <c r="C390" i="5"/>
  <c r="B391" i="5" s="1"/>
  <c r="C391" i="6" l="1"/>
  <c r="C392" i="6" s="1"/>
  <c r="C391" i="5"/>
  <c r="B392" i="5" s="1"/>
  <c r="B392" i="6" l="1"/>
  <c r="B393" i="6" s="1"/>
  <c r="D392" i="6"/>
  <c r="D393" i="6" s="1"/>
  <c r="C392" i="5"/>
  <c r="B393" i="5" s="1"/>
  <c r="C393" i="6" l="1"/>
  <c r="C394" i="6" s="1"/>
  <c r="C393" i="5"/>
  <c r="B394" i="5" s="1"/>
  <c r="B394" i="6" l="1"/>
  <c r="B395" i="6" s="1"/>
  <c r="D394" i="6"/>
  <c r="D395" i="6" s="1"/>
  <c r="C394" i="5"/>
  <c r="B395" i="5" s="1"/>
  <c r="C395" i="6" l="1"/>
  <c r="C396" i="6" s="1"/>
  <c r="C395" i="5"/>
  <c r="B396" i="5" s="1"/>
  <c r="B396" i="6" l="1"/>
  <c r="B397" i="6" s="1"/>
  <c r="D396" i="6"/>
  <c r="D397" i="6" s="1"/>
  <c r="C396" i="5"/>
  <c r="B397" i="5" s="1"/>
  <c r="C397" i="6" l="1"/>
  <c r="C398" i="6" s="1"/>
  <c r="C397" i="5"/>
  <c r="B398" i="5" s="1"/>
  <c r="B398" i="6" l="1"/>
  <c r="B399" i="6" s="1"/>
  <c r="D398" i="6"/>
  <c r="D399" i="6" s="1"/>
  <c r="C398" i="5"/>
  <c r="B399" i="5" s="1"/>
  <c r="C399" i="6" l="1"/>
  <c r="C400" i="6" s="1"/>
  <c r="C399" i="5"/>
  <c r="B400" i="5" s="1"/>
  <c r="B400" i="6" l="1"/>
  <c r="B401" i="6" s="1"/>
  <c r="D400" i="6"/>
  <c r="D401" i="6" s="1"/>
  <c r="C400" i="5"/>
  <c r="B401" i="5" s="1"/>
  <c r="C401" i="6" l="1"/>
  <c r="C402" i="6" s="1"/>
  <c r="C401" i="5"/>
  <c r="B402" i="5" s="1"/>
  <c r="B402" i="6" l="1"/>
  <c r="B403" i="6" s="1"/>
  <c r="D402" i="6"/>
  <c r="D403" i="6" s="1"/>
  <c r="C402" i="5"/>
  <c r="B403" i="5" s="1"/>
  <c r="C403" i="6" l="1"/>
  <c r="C404" i="6" s="1"/>
  <c r="C403" i="5"/>
  <c r="B404" i="5" s="1"/>
  <c r="B404" i="6" l="1"/>
  <c r="B405" i="6" s="1"/>
  <c r="D404" i="6"/>
  <c r="D405" i="6" s="1"/>
  <c r="C404" i="5"/>
  <c r="B405" i="5" s="1"/>
  <c r="C405" i="6" l="1"/>
  <c r="C406" i="6" s="1"/>
  <c r="C405" i="5"/>
  <c r="B406" i="5" s="1"/>
  <c r="B406" i="6" l="1"/>
  <c r="B407" i="6" s="1"/>
  <c r="D406" i="6"/>
  <c r="D407" i="6" s="1"/>
  <c r="C406" i="5"/>
  <c r="B407" i="5" s="1"/>
  <c r="C407" i="6" l="1"/>
  <c r="C408" i="6" s="1"/>
  <c r="C407" i="5"/>
  <c r="B408" i="5" s="1"/>
  <c r="B408" i="6" l="1"/>
  <c r="B409" i="6" s="1"/>
  <c r="D408" i="6"/>
  <c r="D409" i="6" s="1"/>
  <c r="C408" i="5"/>
  <c r="B409" i="5" s="1"/>
  <c r="C409" i="6" l="1"/>
  <c r="C410" i="6" s="1"/>
  <c r="C409" i="5"/>
  <c r="B410" i="5" s="1"/>
  <c r="B410" i="6" l="1"/>
  <c r="B411" i="6" s="1"/>
  <c r="D410" i="6"/>
  <c r="D411" i="6" s="1"/>
  <c r="C410" i="5"/>
  <c r="B411" i="5" s="1"/>
  <c r="C411" i="6" l="1"/>
  <c r="C412" i="6" s="1"/>
  <c r="C411" i="5"/>
  <c r="B412" i="5" s="1"/>
  <c r="B412" i="6" l="1"/>
  <c r="B413" i="6" s="1"/>
  <c r="D412" i="6"/>
  <c r="D413" i="6" s="1"/>
  <c r="C412" i="5"/>
  <c r="B413" i="5" s="1"/>
  <c r="C413" i="6" l="1"/>
  <c r="C414" i="6" s="1"/>
  <c r="C413" i="5"/>
  <c r="B414" i="5" s="1"/>
  <c r="B414" i="6" l="1"/>
  <c r="B415" i="6" s="1"/>
  <c r="D414" i="6"/>
  <c r="D415" i="6" s="1"/>
  <c r="C414" i="5"/>
  <c r="B415" i="5" s="1"/>
  <c r="C415" i="6" l="1"/>
  <c r="C416" i="6" s="1"/>
  <c r="C415" i="5"/>
  <c r="B416" i="5" s="1"/>
  <c r="B416" i="6" l="1"/>
  <c r="B417" i="6" s="1"/>
  <c r="D416" i="6"/>
  <c r="D417" i="6" s="1"/>
  <c r="C416" i="5"/>
  <c r="B417" i="5" s="1"/>
  <c r="C417" i="6" l="1"/>
  <c r="C418" i="6" s="1"/>
  <c r="C417" i="5"/>
  <c r="B418" i="5" s="1"/>
  <c r="B418" i="6" l="1"/>
  <c r="B419" i="6" s="1"/>
  <c r="D418" i="6"/>
  <c r="D419" i="6" s="1"/>
  <c r="C418" i="5"/>
  <c r="B419" i="5" s="1"/>
  <c r="C419" i="6" l="1"/>
  <c r="C420" i="6" s="1"/>
  <c r="C419" i="5"/>
  <c r="B420" i="5" s="1"/>
  <c r="B420" i="6" l="1"/>
  <c r="B421" i="6" s="1"/>
  <c r="D420" i="6"/>
  <c r="D421" i="6" s="1"/>
  <c r="C420" i="5"/>
  <c r="B421" i="5" s="1"/>
  <c r="C421" i="6" l="1"/>
  <c r="C422" i="6" s="1"/>
  <c r="C421" i="5"/>
  <c r="B422" i="5" s="1"/>
  <c r="B422" i="6" l="1"/>
  <c r="B423" i="6" s="1"/>
  <c r="D422" i="6"/>
  <c r="D423" i="6" s="1"/>
  <c r="C422" i="5"/>
  <c r="B423" i="5" s="1"/>
  <c r="C423" i="6" l="1"/>
  <c r="C424" i="6" s="1"/>
  <c r="C423" i="5"/>
  <c r="B424" i="5" s="1"/>
  <c r="B424" i="6" l="1"/>
  <c r="B425" i="6" s="1"/>
  <c r="D424" i="6"/>
  <c r="D425" i="6" s="1"/>
  <c r="C424" i="5"/>
  <c r="B425" i="5" s="1"/>
  <c r="C425" i="6" l="1"/>
  <c r="C426" i="6" s="1"/>
  <c r="C425" i="5"/>
  <c r="B426" i="5" s="1"/>
  <c r="B426" i="6" l="1"/>
  <c r="B427" i="6" s="1"/>
  <c r="D426" i="6"/>
  <c r="D427" i="6" s="1"/>
  <c r="C426" i="5"/>
  <c r="B427" i="5" s="1"/>
  <c r="C427" i="6" l="1"/>
  <c r="C428" i="6" s="1"/>
  <c r="C427" i="5"/>
  <c r="B428" i="5" s="1"/>
  <c r="B428" i="6" l="1"/>
  <c r="B429" i="6" s="1"/>
  <c r="D428" i="6"/>
  <c r="D429" i="6" s="1"/>
  <c r="C428" i="5"/>
  <c r="B429" i="5" s="1"/>
  <c r="C429" i="6" l="1"/>
  <c r="C430" i="6" s="1"/>
  <c r="C429" i="5"/>
  <c r="B430" i="5" s="1"/>
  <c r="B430" i="6" l="1"/>
  <c r="B431" i="6" s="1"/>
  <c r="D430" i="6"/>
  <c r="D431" i="6" s="1"/>
  <c r="C430" i="5"/>
  <c r="B431" i="5" s="1"/>
  <c r="C431" i="6" l="1"/>
  <c r="C432" i="6" s="1"/>
  <c r="C431" i="5"/>
  <c r="B432" i="5" s="1"/>
  <c r="B432" i="6" l="1"/>
  <c r="B433" i="6" s="1"/>
  <c r="D432" i="6"/>
  <c r="D433" i="6" s="1"/>
  <c r="C432" i="5"/>
  <c r="B433" i="5" s="1"/>
  <c r="C433" i="6" l="1"/>
  <c r="C434" i="6" s="1"/>
  <c r="C433" i="5"/>
  <c r="B434" i="5" s="1"/>
  <c r="B434" i="6" l="1"/>
  <c r="B435" i="6" s="1"/>
  <c r="D434" i="6"/>
  <c r="D435" i="6" s="1"/>
  <c r="C434" i="5"/>
  <c r="B435" i="5" s="1"/>
  <c r="C435" i="6" l="1"/>
  <c r="C436" i="6" s="1"/>
  <c r="C435" i="5"/>
  <c r="B436" i="5" s="1"/>
  <c r="B436" i="6" l="1"/>
  <c r="B437" i="6" s="1"/>
  <c r="D436" i="6"/>
  <c r="D437" i="6" s="1"/>
  <c r="C436" i="5"/>
  <c r="B437" i="5" s="1"/>
  <c r="C437" i="6" l="1"/>
  <c r="C438" i="6" s="1"/>
  <c r="C437" i="5"/>
  <c r="B438" i="5" s="1"/>
  <c r="B438" i="6" l="1"/>
  <c r="B439" i="6" s="1"/>
  <c r="D438" i="6"/>
  <c r="D439" i="6" s="1"/>
  <c r="C438" i="5"/>
  <c r="B439" i="5" s="1"/>
  <c r="C439" i="6" l="1"/>
  <c r="C440" i="6" s="1"/>
  <c r="C439" i="5"/>
  <c r="B440" i="5" s="1"/>
  <c r="B440" i="6" l="1"/>
  <c r="B441" i="6" s="1"/>
  <c r="D440" i="6"/>
  <c r="D441" i="6" s="1"/>
  <c r="C440" i="5"/>
  <c r="B441" i="5" s="1"/>
  <c r="C441" i="6" l="1"/>
  <c r="C442" i="6" s="1"/>
  <c r="C441" i="5"/>
  <c r="B442" i="5" s="1"/>
  <c r="B442" i="6" l="1"/>
  <c r="B443" i="6" s="1"/>
  <c r="D442" i="6"/>
  <c r="D443" i="6" s="1"/>
  <c r="C442" i="5"/>
  <c r="B443" i="5" s="1"/>
  <c r="C443" i="6" l="1"/>
  <c r="C444" i="6" s="1"/>
  <c r="C443" i="5"/>
  <c r="B444" i="5" s="1"/>
  <c r="B444" i="6" l="1"/>
  <c r="B445" i="6" s="1"/>
  <c r="D444" i="6"/>
  <c r="D445" i="6" s="1"/>
  <c r="C444" i="5"/>
  <c r="B445" i="5" s="1"/>
  <c r="C445" i="6" l="1"/>
  <c r="C446" i="6" s="1"/>
  <c r="C445" i="5"/>
  <c r="B446" i="5" s="1"/>
  <c r="B446" i="6" l="1"/>
  <c r="B447" i="6" s="1"/>
  <c r="D446" i="6"/>
  <c r="D447" i="6" s="1"/>
  <c r="C446" i="5"/>
  <c r="B447" i="5" s="1"/>
  <c r="C447" i="6" l="1"/>
  <c r="C448" i="6" s="1"/>
  <c r="C447" i="5"/>
  <c r="B448" i="5" s="1"/>
  <c r="B448" i="6" l="1"/>
  <c r="B449" i="6" s="1"/>
  <c r="D448" i="6"/>
  <c r="D449" i="6" s="1"/>
  <c r="C448" i="5"/>
  <c r="B449" i="5" s="1"/>
  <c r="C449" i="6" l="1"/>
  <c r="C450" i="6" s="1"/>
  <c r="C449" i="5"/>
  <c r="B450" i="5" s="1"/>
  <c r="B450" i="6" l="1"/>
  <c r="B451" i="6" s="1"/>
  <c r="D450" i="6"/>
  <c r="D451" i="6" s="1"/>
  <c r="C450" i="5"/>
  <c r="B451" i="5" s="1"/>
  <c r="C451" i="6" l="1"/>
  <c r="C452" i="6" s="1"/>
  <c r="C451" i="5"/>
  <c r="B452" i="5" s="1"/>
  <c r="B452" i="6" l="1"/>
  <c r="B453" i="6" s="1"/>
  <c r="D452" i="6"/>
  <c r="D453" i="6" s="1"/>
  <c r="C452" i="5"/>
  <c r="B453" i="5" s="1"/>
  <c r="C453" i="6" l="1"/>
  <c r="C454" i="6" s="1"/>
  <c r="C453" i="5"/>
  <c r="B454" i="5" s="1"/>
  <c r="B454" i="6" l="1"/>
  <c r="B455" i="6" s="1"/>
  <c r="D454" i="6"/>
  <c r="D455" i="6" s="1"/>
  <c r="C454" i="5"/>
  <c r="B455" i="5" s="1"/>
  <c r="C455" i="6" l="1"/>
  <c r="C456" i="6" s="1"/>
  <c r="C455" i="5"/>
  <c r="B456" i="5" s="1"/>
  <c r="B456" i="6" l="1"/>
  <c r="B457" i="6" s="1"/>
  <c r="D456" i="6"/>
  <c r="D457" i="6" s="1"/>
  <c r="C456" i="5"/>
  <c r="B457" i="5" s="1"/>
  <c r="C457" i="6" l="1"/>
  <c r="C458" i="6" s="1"/>
  <c r="C457" i="5"/>
  <c r="B458" i="5" s="1"/>
  <c r="B458" i="6" l="1"/>
  <c r="B459" i="6" s="1"/>
  <c r="D458" i="6"/>
  <c r="D459" i="6" s="1"/>
  <c r="C458" i="5"/>
  <c r="B459" i="5" s="1"/>
  <c r="C459" i="6" l="1"/>
  <c r="C460" i="6" s="1"/>
  <c r="C459" i="5"/>
  <c r="B460" i="5" s="1"/>
  <c r="B460" i="6" l="1"/>
  <c r="B461" i="6" s="1"/>
  <c r="D460" i="6"/>
  <c r="D461" i="6" s="1"/>
  <c r="C460" i="5"/>
  <c r="B461" i="5" s="1"/>
  <c r="C461" i="6" l="1"/>
  <c r="C462" i="6" s="1"/>
  <c r="C461" i="5"/>
  <c r="B462" i="5" s="1"/>
  <c r="B462" i="6" l="1"/>
  <c r="B463" i="6" s="1"/>
  <c r="D462" i="6"/>
  <c r="D463" i="6" s="1"/>
  <c r="C462" i="5"/>
  <c r="B463" i="5" s="1"/>
  <c r="C463" i="6" l="1"/>
  <c r="C464" i="6" s="1"/>
  <c r="C463" i="5"/>
  <c r="B464" i="5" s="1"/>
  <c r="B464" i="6" l="1"/>
  <c r="B465" i="6" s="1"/>
  <c r="D464" i="6"/>
  <c r="D465" i="6" s="1"/>
  <c r="C464" i="5"/>
  <c r="B465" i="5" s="1"/>
  <c r="C465" i="6" l="1"/>
  <c r="C466" i="6" s="1"/>
  <c r="C465" i="5"/>
  <c r="B466" i="5" s="1"/>
  <c r="B466" i="6" l="1"/>
  <c r="B467" i="6" s="1"/>
  <c r="D466" i="6"/>
  <c r="D467" i="6" s="1"/>
  <c r="C466" i="5"/>
  <c r="B467" i="5" s="1"/>
  <c r="C467" i="6" l="1"/>
  <c r="C468" i="6" s="1"/>
  <c r="C467" i="5"/>
  <c r="B468" i="5" s="1"/>
  <c r="B468" i="6" l="1"/>
  <c r="B469" i="6" s="1"/>
  <c r="D468" i="6"/>
  <c r="D469" i="6" s="1"/>
  <c r="C468" i="5"/>
  <c r="B469" i="5" s="1"/>
  <c r="C469" i="6" l="1"/>
  <c r="C470" i="6" s="1"/>
  <c r="C469" i="5"/>
  <c r="B470" i="5" s="1"/>
  <c r="B470" i="6" l="1"/>
  <c r="B471" i="6" s="1"/>
  <c r="D470" i="6"/>
  <c r="D471" i="6" s="1"/>
  <c r="C470" i="5"/>
  <c r="B471" i="5" s="1"/>
  <c r="C471" i="6" l="1"/>
  <c r="C472" i="6" s="1"/>
  <c r="C471" i="5"/>
  <c r="B472" i="5" s="1"/>
  <c r="B472" i="6" l="1"/>
  <c r="B473" i="6" s="1"/>
  <c r="D472" i="6"/>
  <c r="D473" i="6" s="1"/>
  <c r="C472" i="5"/>
  <c r="B473" i="5" s="1"/>
  <c r="C473" i="6" l="1"/>
  <c r="C474" i="6" s="1"/>
  <c r="C473" i="5"/>
  <c r="B474" i="5" s="1"/>
  <c r="B474" i="6" l="1"/>
  <c r="B475" i="6" s="1"/>
  <c r="D474" i="6"/>
  <c r="D475" i="6" s="1"/>
  <c r="C474" i="5"/>
  <c r="B475" i="5" s="1"/>
  <c r="C475" i="6" l="1"/>
  <c r="C476" i="6" s="1"/>
  <c r="C475" i="5"/>
  <c r="B476" i="5" s="1"/>
  <c r="B476" i="6" l="1"/>
  <c r="B477" i="6" s="1"/>
  <c r="D476" i="6"/>
  <c r="D477" i="6" s="1"/>
  <c r="C476" i="5"/>
  <c r="B477" i="5" s="1"/>
  <c r="C477" i="6" l="1"/>
  <c r="C478" i="6" s="1"/>
  <c r="C477" i="5"/>
  <c r="B478" i="5" s="1"/>
  <c r="B478" i="6" l="1"/>
  <c r="B479" i="6" s="1"/>
  <c r="D478" i="6"/>
  <c r="D479" i="6" s="1"/>
  <c r="C478" i="5"/>
  <c r="B479" i="5" s="1"/>
  <c r="C479" i="6" l="1"/>
  <c r="C480" i="6" s="1"/>
  <c r="C479" i="5"/>
  <c r="B480" i="5" s="1"/>
  <c r="B480" i="6" l="1"/>
  <c r="B481" i="6" s="1"/>
  <c r="D480" i="6"/>
  <c r="D481" i="6" s="1"/>
  <c r="C480" i="5"/>
  <c r="B481" i="5" s="1"/>
  <c r="C481" i="6" l="1"/>
  <c r="C482" i="6" s="1"/>
  <c r="C481" i="5"/>
  <c r="B482" i="5" s="1"/>
  <c r="B482" i="6" l="1"/>
  <c r="B483" i="6" s="1"/>
  <c r="D482" i="6"/>
  <c r="D483" i="6" s="1"/>
  <c r="C482" i="5"/>
  <c r="B483" i="5" s="1"/>
  <c r="C483" i="6" l="1"/>
  <c r="C484" i="6" s="1"/>
  <c r="C483" i="5"/>
  <c r="B484" i="5" s="1"/>
  <c r="B484" i="6" l="1"/>
  <c r="B485" i="6" s="1"/>
  <c r="D484" i="6"/>
  <c r="D485" i="6" s="1"/>
  <c r="C484" i="5"/>
  <c r="B485" i="5" s="1"/>
  <c r="C485" i="6" l="1"/>
  <c r="C486" i="6" s="1"/>
  <c r="C485" i="5"/>
  <c r="B486" i="5" s="1"/>
  <c r="B486" i="6" l="1"/>
  <c r="B487" i="6" s="1"/>
  <c r="D486" i="6"/>
  <c r="D487" i="6" s="1"/>
  <c r="C486" i="5"/>
  <c r="B487" i="5" s="1"/>
  <c r="C487" i="6" l="1"/>
  <c r="C488" i="6" s="1"/>
  <c r="C487" i="5"/>
  <c r="B488" i="5" s="1"/>
  <c r="B488" i="6" l="1"/>
  <c r="B489" i="6" s="1"/>
  <c r="D488" i="6"/>
  <c r="D489" i="6" s="1"/>
  <c r="C488" i="5"/>
  <c r="B489" i="5" s="1"/>
  <c r="C489" i="6" l="1"/>
  <c r="C490" i="6" s="1"/>
  <c r="C489" i="5"/>
  <c r="B490" i="5" s="1"/>
  <c r="B490" i="6" l="1"/>
  <c r="B491" i="6" s="1"/>
  <c r="D490" i="6"/>
  <c r="D491" i="6" s="1"/>
  <c r="C490" i="5"/>
  <c r="B491" i="5" s="1"/>
  <c r="C491" i="6" l="1"/>
  <c r="C492" i="6" s="1"/>
  <c r="C491" i="5"/>
  <c r="B492" i="5" s="1"/>
  <c r="B492" i="6" l="1"/>
  <c r="B493" i="6" s="1"/>
  <c r="D492" i="6"/>
  <c r="D493" i="6" s="1"/>
  <c r="C492" i="5"/>
  <c r="B493" i="5" s="1"/>
  <c r="C493" i="6" l="1"/>
  <c r="C494" i="6" s="1"/>
  <c r="C493" i="5"/>
  <c r="B494" i="5" s="1"/>
  <c r="B494" i="6" l="1"/>
  <c r="B495" i="6" s="1"/>
  <c r="D494" i="6"/>
  <c r="D495" i="6" s="1"/>
  <c r="C494" i="5"/>
  <c r="B495" i="5" s="1"/>
  <c r="C495" i="6" l="1"/>
  <c r="C496" i="6" s="1"/>
  <c r="C495" i="5"/>
  <c r="B496" i="5" s="1"/>
  <c r="B496" i="6" l="1"/>
  <c r="B497" i="6" s="1"/>
  <c r="D496" i="6"/>
  <c r="D497" i="6" s="1"/>
  <c r="C496" i="5"/>
  <c r="B497" i="5" s="1"/>
  <c r="C497" i="6" l="1"/>
  <c r="C498" i="6" s="1"/>
  <c r="C497" i="5"/>
  <c r="B498" i="5" s="1"/>
  <c r="B498" i="6" l="1"/>
  <c r="B499" i="6" s="1"/>
  <c r="D498" i="6"/>
  <c r="D499" i="6" s="1"/>
  <c r="C498" i="5"/>
  <c r="B499" i="5" s="1"/>
  <c r="C499" i="6" l="1"/>
  <c r="C500" i="6" s="1"/>
  <c r="C499" i="5"/>
  <c r="B500" i="5" s="1"/>
  <c r="B500" i="6" l="1"/>
  <c r="B501" i="6" s="1"/>
  <c r="D500" i="6"/>
  <c r="D501" i="6" s="1"/>
  <c r="C500" i="5"/>
  <c r="B501" i="5" s="1"/>
  <c r="C501" i="6" l="1"/>
  <c r="C502" i="6" s="1"/>
  <c r="C501" i="5"/>
  <c r="B502" i="5" s="1"/>
  <c r="B502" i="6" l="1"/>
  <c r="B503" i="6" s="1"/>
  <c r="D502" i="6"/>
  <c r="D503" i="6" s="1"/>
  <c r="C502" i="5"/>
  <c r="B503" i="5" s="1"/>
  <c r="C503" i="6" l="1"/>
  <c r="C504" i="6" s="1"/>
  <c r="C503" i="5"/>
  <c r="B504" i="5" s="1"/>
  <c r="B504" i="6" l="1"/>
  <c r="B505" i="6" s="1"/>
  <c r="D504" i="6"/>
  <c r="D505" i="6" s="1"/>
  <c r="C504" i="5"/>
  <c r="B505" i="5" s="1"/>
  <c r="C505" i="6" l="1"/>
  <c r="C506" i="6" s="1"/>
  <c r="C505" i="5"/>
  <c r="B506" i="5" s="1"/>
  <c r="B506" i="6" l="1"/>
  <c r="B507" i="6" s="1"/>
  <c r="D506" i="6"/>
  <c r="D507" i="6" s="1"/>
  <c r="C506" i="5"/>
  <c r="B507" i="5" s="1"/>
  <c r="C507" i="6" l="1"/>
  <c r="C508" i="6" s="1"/>
  <c r="C507" i="5"/>
  <c r="B508" i="5" s="1"/>
  <c r="B508" i="6" l="1"/>
  <c r="B509" i="6" s="1"/>
  <c r="D508" i="6"/>
  <c r="D509" i="6" s="1"/>
  <c r="C508" i="5"/>
  <c r="B509" i="5" s="1"/>
  <c r="C509" i="6" l="1"/>
  <c r="C510" i="6" s="1"/>
  <c r="C509" i="5"/>
  <c r="B510" i="5" s="1"/>
  <c r="B510" i="6" l="1"/>
  <c r="B511" i="6" s="1"/>
  <c r="D510" i="6"/>
  <c r="D511" i="6" s="1"/>
  <c r="C510" i="5"/>
  <c r="B511" i="5" s="1"/>
  <c r="C511" i="6" l="1"/>
  <c r="C512" i="6" s="1"/>
  <c r="C511" i="5"/>
  <c r="B512" i="5" s="1"/>
  <c r="B512" i="6" l="1"/>
  <c r="B513" i="6" s="1"/>
  <c r="D512" i="6"/>
  <c r="D513" i="6" s="1"/>
  <c r="C512" i="5"/>
  <c r="B513" i="5" s="1"/>
  <c r="C513" i="6" l="1"/>
  <c r="C514" i="6" s="1"/>
  <c r="C513" i="5"/>
  <c r="B514" i="5" s="1"/>
  <c r="B514" i="6" l="1"/>
  <c r="B515" i="6" s="1"/>
  <c r="D514" i="6"/>
  <c r="D515" i="6" s="1"/>
  <c r="C514" i="5"/>
  <c r="B515" i="5" s="1"/>
  <c r="C515" i="6" l="1"/>
  <c r="C516" i="6" s="1"/>
  <c r="C515" i="5"/>
  <c r="B516" i="5" s="1"/>
  <c r="B516" i="6" l="1"/>
  <c r="B517" i="6" s="1"/>
  <c r="D516" i="6"/>
  <c r="D517" i="6" s="1"/>
  <c r="C516" i="5"/>
  <c r="B517" i="5" s="1"/>
  <c r="C517" i="6" l="1"/>
  <c r="C518" i="6" s="1"/>
  <c r="C517" i="5"/>
  <c r="B518" i="5" s="1"/>
  <c r="B518" i="6" l="1"/>
  <c r="B519" i="6" s="1"/>
  <c r="D518" i="6"/>
  <c r="D519" i="6" s="1"/>
  <c r="C518" i="5"/>
  <c r="B519" i="5" s="1"/>
  <c r="C519" i="6" l="1"/>
  <c r="C520" i="6" s="1"/>
  <c r="C519" i="5"/>
  <c r="B520" i="5" s="1"/>
  <c r="B520" i="6" l="1"/>
  <c r="B521" i="6" s="1"/>
  <c r="D520" i="6"/>
  <c r="D521" i="6" s="1"/>
  <c r="C520" i="5"/>
  <c r="B521" i="5" s="1"/>
  <c r="C521" i="6" l="1"/>
  <c r="C522" i="6" s="1"/>
  <c r="C521" i="5"/>
  <c r="B522" i="5" s="1"/>
  <c r="B522" i="6" l="1"/>
  <c r="B523" i="6" s="1"/>
  <c r="D522" i="6"/>
  <c r="D523" i="6" s="1"/>
  <c r="C522" i="5"/>
  <c r="B523" i="5" s="1"/>
  <c r="C523" i="6" l="1"/>
  <c r="C524" i="6" s="1"/>
  <c r="C523" i="5"/>
  <c r="B524" i="5" s="1"/>
  <c r="B524" i="6" l="1"/>
  <c r="B525" i="6" s="1"/>
  <c r="D524" i="6"/>
  <c r="D525" i="6" s="1"/>
  <c r="C524" i="5"/>
  <c r="B525" i="5" s="1"/>
  <c r="C525" i="6" l="1"/>
  <c r="C526" i="6" s="1"/>
  <c r="C525" i="5"/>
  <c r="B526" i="5" s="1"/>
  <c r="B526" i="6" l="1"/>
  <c r="B527" i="6" s="1"/>
  <c r="D526" i="6"/>
  <c r="D527" i="6" s="1"/>
  <c r="C526" i="5"/>
  <c r="B527" i="5" s="1"/>
  <c r="C527" i="6" l="1"/>
  <c r="C528" i="6" s="1"/>
  <c r="C527" i="5"/>
  <c r="B528" i="5" s="1"/>
  <c r="B528" i="6" l="1"/>
  <c r="B529" i="6" s="1"/>
  <c r="D528" i="6"/>
  <c r="D529" i="6" s="1"/>
  <c r="C528" i="5"/>
  <c r="B529" i="5" s="1"/>
  <c r="C529" i="6" l="1"/>
  <c r="C530" i="6" s="1"/>
  <c r="C529" i="5"/>
  <c r="B530" i="5" s="1"/>
  <c r="B530" i="6" l="1"/>
  <c r="B531" i="6" s="1"/>
  <c r="D530" i="6"/>
  <c r="D531" i="6" s="1"/>
  <c r="C530" i="5"/>
  <c r="B531" i="5" s="1"/>
  <c r="C531" i="6" l="1"/>
  <c r="C532" i="6" s="1"/>
  <c r="C531" i="5"/>
  <c r="B532" i="5" s="1"/>
  <c r="B532" i="6" l="1"/>
  <c r="B533" i="6" s="1"/>
  <c r="D532" i="6"/>
  <c r="D533" i="6" s="1"/>
  <c r="C532" i="5"/>
  <c r="B533" i="5" s="1"/>
  <c r="C533" i="6" l="1"/>
  <c r="C534" i="6" s="1"/>
  <c r="C533" i="5"/>
  <c r="B534" i="5" s="1"/>
  <c r="B534" i="6" l="1"/>
  <c r="B535" i="6" s="1"/>
  <c r="D534" i="6"/>
  <c r="D535" i="6" s="1"/>
  <c r="C534" i="5"/>
  <c r="B535" i="5" s="1"/>
  <c r="C535" i="6" l="1"/>
  <c r="C536" i="6" s="1"/>
  <c r="C535" i="5"/>
  <c r="B536" i="5" s="1"/>
  <c r="B536" i="6" l="1"/>
  <c r="B537" i="6" s="1"/>
  <c r="D536" i="6"/>
  <c r="D537" i="6" s="1"/>
  <c r="C536" i="5"/>
  <c r="B537" i="5" s="1"/>
  <c r="C537" i="6" l="1"/>
  <c r="C538" i="6" s="1"/>
  <c r="C537" i="5"/>
  <c r="B538" i="5" s="1"/>
  <c r="B538" i="6" l="1"/>
  <c r="B539" i="6" s="1"/>
  <c r="D538" i="6"/>
  <c r="D539" i="6" s="1"/>
  <c r="C538" i="5"/>
  <c r="B539" i="5" s="1"/>
  <c r="C539" i="6" l="1"/>
  <c r="C540" i="6" s="1"/>
  <c r="C539" i="5"/>
  <c r="B540" i="5" s="1"/>
  <c r="B540" i="6" l="1"/>
  <c r="B541" i="6" s="1"/>
  <c r="D540" i="6"/>
  <c r="D541" i="6" s="1"/>
  <c r="C540" i="5"/>
  <c r="B541" i="5" s="1"/>
  <c r="C541" i="6" l="1"/>
  <c r="C542" i="6" s="1"/>
  <c r="C541" i="5"/>
  <c r="B542" i="5" s="1"/>
  <c r="B542" i="6" l="1"/>
  <c r="B543" i="6" s="1"/>
  <c r="D542" i="6"/>
  <c r="D543" i="6" s="1"/>
  <c r="C542" i="5"/>
  <c r="B543" i="5" s="1"/>
  <c r="C543" i="6" l="1"/>
  <c r="C544" i="6" s="1"/>
  <c r="C543" i="5"/>
  <c r="B544" i="5" s="1"/>
  <c r="B544" i="6" l="1"/>
  <c r="B545" i="6" s="1"/>
  <c r="D544" i="6"/>
  <c r="D545" i="6" s="1"/>
  <c r="C544" i="5"/>
  <c r="B545" i="5" s="1"/>
  <c r="C545" i="6" l="1"/>
  <c r="C546" i="6" s="1"/>
  <c r="C545" i="5"/>
  <c r="B546" i="5" s="1"/>
  <c r="B546" i="6" l="1"/>
  <c r="B547" i="6" s="1"/>
  <c r="D546" i="6"/>
  <c r="D547" i="6" s="1"/>
  <c r="C546" i="5"/>
  <c r="B547" i="5" s="1"/>
  <c r="C547" i="6" l="1"/>
  <c r="C548" i="6" s="1"/>
  <c r="C547" i="5"/>
  <c r="B548" i="5" s="1"/>
  <c r="B548" i="6" l="1"/>
  <c r="B549" i="6" s="1"/>
  <c r="D548" i="6"/>
  <c r="D549" i="6" s="1"/>
  <c r="C548" i="5"/>
  <c r="B549" i="5" s="1"/>
  <c r="C549" i="6" l="1"/>
  <c r="C550" i="6" s="1"/>
  <c r="C549" i="5"/>
  <c r="B550" i="5" s="1"/>
  <c r="B550" i="6" l="1"/>
  <c r="B551" i="6" s="1"/>
  <c r="D550" i="6"/>
  <c r="D551" i="6" s="1"/>
  <c r="C550" i="5"/>
  <c r="B551" i="5" s="1"/>
  <c r="C551" i="6" l="1"/>
  <c r="C552" i="6" s="1"/>
  <c r="C551" i="5"/>
  <c r="B552" i="5" s="1"/>
  <c r="B552" i="6" l="1"/>
  <c r="B553" i="6" s="1"/>
  <c r="D552" i="6"/>
  <c r="D553" i="6" s="1"/>
  <c r="C552" i="5"/>
  <c r="B553" i="5" s="1"/>
  <c r="C553" i="6" l="1"/>
  <c r="C554" i="6" s="1"/>
  <c r="C553" i="5"/>
  <c r="B554" i="5" s="1"/>
  <c r="B554" i="6" l="1"/>
  <c r="B555" i="6" s="1"/>
  <c r="D554" i="6"/>
  <c r="D555" i="6" s="1"/>
  <c r="C554" i="5"/>
  <c r="B555" i="5" s="1"/>
  <c r="C555" i="6" l="1"/>
  <c r="C556" i="6" s="1"/>
  <c r="C555" i="5"/>
  <c r="B556" i="5" s="1"/>
  <c r="B556" i="6" l="1"/>
  <c r="B557" i="6" s="1"/>
  <c r="D556" i="6"/>
  <c r="D557" i="6" s="1"/>
  <c r="C556" i="5"/>
  <c r="B557" i="5" s="1"/>
  <c r="C557" i="6" l="1"/>
  <c r="C558" i="6" s="1"/>
  <c r="C557" i="5"/>
  <c r="B558" i="5" s="1"/>
  <c r="B558" i="6" l="1"/>
  <c r="B559" i="6" s="1"/>
  <c r="D558" i="6"/>
  <c r="D559" i="6" s="1"/>
  <c r="C558" i="5"/>
  <c r="B559" i="5" s="1"/>
  <c r="C559" i="6" l="1"/>
  <c r="C560" i="6" s="1"/>
  <c r="C559" i="5"/>
  <c r="B560" i="5" s="1"/>
  <c r="B560" i="6" l="1"/>
  <c r="B561" i="6" s="1"/>
  <c r="D560" i="6"/>
  <c r="D561" i="6" s="1"/>
  <c r="C560" i="5"/>
  <c r="B561" i="5" s="1"/>
  <c r="C561" i="6" l="1"/>
  <c r="C562" i="6" s="1"/>
  <c r="C561" i="5"/>
  <c r="B562" i="5" s="1"/>
  <c r="B562" i="6" l="1"/>
  <c r="B563" i="6" s="1"/>
  <c r="D562" i="6"/>
  <c r="D563" i="6" s="1"/>
  <c r="C562" i="5"/>
  <c r="B563" i="5" s="1"/>
  <c r="C563" i="6" l="1"/>
  <c r="C564" i="6" s="1"/>
  <c r="C563" i="5"/>
  <c r="B564" i="5" s="1"/>
  <c r="B564" i="6" l="1"/>
  <c r="B565" i="6" s="1"/>
  <c r="D564" i="6"/>
  <c r="D565" i="6" s="1"/>
  <c r="C564" i="5"/>
  <c r="B565" i="5" s="1"/>
  <c r="C565" i="6" l="1"/>
  <c r="C566" i="6" s="1"/>
  <c r="C565" i="5"/>
  <c r="B566" i="5" s="1"/>
  <c r="B566" i="6" l="1"/>
  <c r="B567" i="6" s="1"/>
  <c r="D566" i="6"/>
  <c r="D567" i="6" s="1"/>
  <c r="C566" i="5"/>
  <c r="B567" i="5" s="1"/>
  <c r="C567" i="6" l="1"/>
  <c r="C568" i="6" s="1"/>
  <c r="C567" i="5"/>
  <c r="B568" i="5" s="1"/>
  <c r="B568" i="6" l="1"/>
  <c r="B569" i="6" s="1"/>
  <c r="D568" i="6"/>
  <c r="D569" i="6" s="1"/>
  <c r="C568" i="5"/>
  <c r="B569" i="5" s="1"/>
  <c r="C569" i="6" l="1"/>
  <c r="C570" i="6" s="1"/>
  <c r="C569" i="5"/>
  <c r="B570" i="5" s="1"/>
  <c r="B570" i="6" l="1"/>
  <c r="B571" i="6" s="1"/>
  <c r="D570" i="6"/>
  <c r="D571" i="6" s="1"/>
  <c r="C570" i="5"/>
  <c r="B571" i="5" s="1"/>
  <c r="C571" i="6" l="1"/>
  <c r="C572" i="6" s="1"/>
  <c r="C571" i="5"/>
  <c r="B572" i="5" s="1"/>
  <c r="B572" i="6" l="1"/>
  <c r="B573" i="6" s="1"/>
  <c r="D572" i="6"/>
  <c r="D573" i="6" s="1"/>
  <c r="C572" i="5"/>
  <c r="B573" i="5" s="1"/>
  <c r="C573" i="6" l="1"/>
  <c r="C574" i="6" s="1"/>
  <c r="C573" i="5"/>
  <c r="B574" i="5" s="1"/>
  <c r="B574" i="6" l="1"/>
  <c r="B575" i="6" s="1"/>
  <c r="D574" i="6"/>
  <c r="D575" i="6" s="1"/>
  <c r="C574" i="5"/>
  <c r="B575" i="5" s="1"/>
  <c r="C575" i="6" l="1"/>
  <c r="C576" i="6" s="1"/>
  <c r="C575" i="5"/>
  <c r="B576" i="5" s="1"/>
  <c r="B576" i="6" l="1"/>
  <c r="B577" i="6" s="1"/>
  <c r="D576" i="6"/>
  <c r="D577" i="6" s="1"/>
  <c r="C576" i="5"/>
  <c r="B577" i="5" s="1"/>
  <c r="C577" i="6" l="1"/>
  <c r="C578" i="6" s="1"/>
  <c r="C577" i="5"/>
  <c r="B578" i="5" s="1"/>
  <c r="B578" i="6" l="1"/>
  <c r="B579" i="6" s="1"/>
  <c r="D578" i="6"/>
  <c r="D579" i="6" s="1"/>
  <c r="C578" i="5"/>
  <c r="B579" i="5" s="1"/>
  <c r="C579" i="6" l="1"/>
  <c r="C580" i="6" s="1"/>
  <c r="C579" i="5"/>
  <c r="B580" i="5" s="1"/>
  <c r="B580" i="6" l="1"/>
  <c r="B581" i="6" s="1"/>
  <c r="D580" i="6"/>
  <c r="D581" i="6" s="1"/>
  <c r="C580" i="5"/>
  <c r="B581" i="5" s="1"/>
  <c r="C581" i="6" l="1"/>
  <c r="C582" i="6" s="1"/>
  <c r="C581" i="5"/>
  <c r="B582" i="5" s="1"/>
  <c r="B582" i="6" l="1"/>
  <c r="B583" i="6" s="1"/>
  <c r="D582" i="6"/>
  <c r="D583" i="6" s="1"/>
  <c r="C582" i="5"/>
  <c r="B583" i="5" s="1"/>
  <c r="C583" i="6" l="1"/>
  <c r="C584" i="6" s="1"/>
  <c r="C583" i="5"/>
  <c r="B584" i="5" s="1"/>
  <c r="B584" i="6" l="1"/>
  <c r="B585" i="6" s="1"/>
  <c r="D584" i="6"/>
  <c r="D585" i="6" s="1"/>
  <c r="C584" i="5"/>
  <c r="B585" i="5" s="1"/>
  <c r="C585" i="6" l="1"/>
  <c r="C586" i="6" s="1"/>
  <c r="C585" i="5"/>
  <c r="B586" i="5" s="1"/>
  <c r="B586" i="6" l="1"/>
  <c r="B587" i="6" s="1"/>
  <c r="D586" i="6"/>
  <c r="D587" i="6" s="1"/>
  <c r="C586" i="5"/>
  <c r="B587" i="5" s="1"/>
  <c r="C587" i="6" l="1"/>
  <c r="C588" i="6" s="1"/>
  <c r="C587" i="5"/>
  <c r="B588" i="5" s="1"/>
  <c r="B588" i="6" l="1"/>
  <c r="B589" i="6" s="1"/>
  <c r="D588" i="6"/>
  <c r="D589" i="6" s="1"/>
  <c r="C588" i="5"/>
  <c r="B589" i="5" s="1"/>
  <c r="C589" i="6" l="1"/>
  <c r="C590" i="6" s="1"/>
  <c r="C589" i="5"/>
  <c r="B590" i="5" s="1"/>
  <c r="B590" i="6" l="1"/>
  <c r="B591" i="6" s="1"/>
  <c r="D590" i="6"/>
  <c r="D591" i="6" s="1"/>
  <c r="C590" i="5"/>
  <c r="B591" i="5" s="1"/>
  <c r="C591" i="6" l="1"/>
  <c r="C592" i="6" s="1"/>
  <c r="C591" i="5"/>
  <c r="B592" i="5" s="1"/>
  <c r="B592" i="6" l="1"/>
  <c r="B593" i="6" s="1"/>
  <c r="D592" i="6"/>
  <c r="D593" i="6" s="1"/>
  <c r="C592" i="5"/>
  <c r="B593" i="5" s="1"/>
  <c r="C593" i="6" l="1"/>
  <c r="C594" i="6" s="1"/>
  <c r="C593" i="5"/>
  <c r="B594" i="5" s="1"/>
  <c r="B594" i="6" l="1"/>
  <c r="B595" i="6" s="1"/>
  <c r="D594" i="6"/>
  <c r="D595" i="6" s="1"/>
  <c r="C594" i="5"/>
  <c r="B595" i="5" s="1"/>
  <c r="C595" i="6" l="1"/>
  <c r="C596" i="6" s="1"/>
  <c r="C595" i="5"/>
  <c r="B596" i="5" s="1"/>
  <c r="B596" i="6" l="1"/>
  <c r="B597" i="6" s="1"/>
  <c r="D596" i="6"/>
  <c r="D597" i="6" s="1"/>
  <c r="C596" i="5"/>
  <c r="B597" i="5" s="1"/>
  <c r="C597" i="6" l="1"/>
  <c r="C598" i="6" s="1"/>
  <c r="C597" i="5"/>
  <c r="B598" i="5" s="1"/>
  <c r="B598" i="6" l="1"/>
  <c r="B599" i="6" s="1"/>
  <c r="D598" i="6"/>
  <c r="D599" i="6" s="1"/>
  <c r="C598" i="5"/>
  <c r="B599" i="5" s="1"/>
  <c r="C599" i="6" l="1"/>
  <c r="C600" i="6" s="1"/>
  <c r="C599" i="5"/>
  <c r="B600" i="5" s="1"/>
  <c r="B600" i="6" l="1"/>
  <c r="B601" i="6" s="1"/>
  <c r="D600" i="6"/>
  <c r="D601" i="6" s="1"/>
  <c r="C600" i="5"/>
  <c r="B601" i="5" s="1"/>
  <c r="C601" i="6" l="1"/>
  <c r="C602" i="6" s="1"/>
  <c r="C601" i="5"/>
  <c r="B602" i="5" s="1"/>
  <c r="B602" i="6" l="1"/>
  <c r="B603" i="6" s="1"/>
  <c r="D602" i="6"/>
  <c r="D603" i="6" s="1"/>
  <c r="C602" i="5"/>
  <c r="B603" i="5" s="1"/>
  <c r="C603" i="6" l="1"/>
  <c r="C604" i="6" s="1"/>
  <c r="C603" i="5"/>
  <c r="B604" i="5" s="1"/>
  <c r="B604" i="6" l="1"/>
  <c r="B605" i="6" s="1"/>
  <c r="D604" i="6"/>
  <c r="D605" i="6" s="1"/>
  <c r="C604" i="5"/>
  <c r="B605" i="5" s="1"/>
  <c r="C605" i="6" l="1"/>
  <c r="C606" i="6" s="1"/>
  <c r="C605" i="5"/>
  <c r="B606" i="5" s="1"/>
  <c r="B606" i="6" l="1"/>
  <c r="B607" i="6" s="1"/>
  <c r="D606" i="6"/>
  <c r="D607" i="6" s="1"/>
  <c r="C606" i="5"/>
  <c r="B607" i="5" s="1"/>
  <c r="C607" i="6" l="1"/>
  <c r="C608" i="6" s="1"/>
  <c r="C607" i="5"/>
  <c r="B608" i="5" s="1"/>
  <c r="B608" i="6" l="1"/>
  <c r="B609" i="6" s="1"/>
  <c r="D608" i="6"/>
  <c r="D609" i="6" s="1"/>
  <c r="C608" i="5"/>
  <c r="B609" i="5" s="1"/>
  <c r="C609" i="6" l="1"/>
  <c r="C610" i="6" s="1"/>
  <c r="C609" i="5"/>
  <c r="B610" i="5" s="1"/>
  <c r="B610" i="6" l="1"/>
  <c r="B611" i="6" s="1"/>
  <c r="D610" i="6"/>
  <c r="D611" i="6" s="1"/>
  <c r="C610" i="5"/>
  <c r="B611" i="5" s="1"/>
  <c r="C611" i="6" l="1"/>
  <c r="C612" i="6" s="1"/>
  <c r="C611" i="5"/>
  <c r="B612" i="5" s="1"/>
  <c r="B612" i="6" l="1"/>
  <c r="B613" i="6" s="1"/>
  <c r="D612" i="6"/>
  <c r="D613" i="6" s="1"/>
  <c r="C612" i="5"/>
  <c r="B613" i="5" s="1"/>
  <c r="C613" i="6" l="1"/>
  <c r="C614" i="6" s="1"/>
  <c r="C613" i="5"/>
  <c r="B614" i="5" s="1"/>
  <c r="B614" i="6" l="1"/>
  <c r="B615" i="6" s="1"/>
  <c r="D614" i="6"/>
  <c r="D615" i="6" s="1"/>
  <c r="C614" i="5"/>
  <c r="B615" i="5" s="1"/>
  <c r="C615" i="6" l="1"/>
  <c r="C616" i="6" s="1"/>
  <c r="C615" i="5"/>
  <c r="B616" i="5" s="1"/>
  <c r="B616" i="6" l="1"/>
  <c r="B617" i="6" s="1"/>
  <c r="D616" i="6"/>
  <c r="D617" i="6" s="1"/>
  <c r="C616" i="5"/>
  <c r="B617" i="5" s="1"/>
  <c r="C617" i="6" l="1"/>
  <c r="C618" i="6" s="1"/>
  <c r="C617" i="5"/>
  <c r="B618" i="5" s="1"/>
  <c r="B618" i="6" l="1"/>
  <c r="B619" i="6" s="1"/>
  <c r="D618" i="6"/>
  <c r="D619" i="6" s="1"/>
  <c r="C618" i="5"/>
  <c r="B619" i="5" s="1"/>
  <c r="C619" i="6" l="1"/>
  <c r="C620" i="6" s="1"/>
  <c r="C619" i="5"/>
  <c r="B620" i="5" s="1"/>
  <c r="B620" i="6" l="1"/>
  <c r="B621" i="6" s="1"/>
  <c r="D620" i="6"/>
  <c r="D621" i="6" s="1"/>
  <c r="C620" i="5"/>
  <c r="B621" i="5" s="1"/>
  <c r="C621" i="6" l="1"/>
  <c r="C622" i="6" s="1"/>
  <c r="C621" i="5"/>
  <c r="B622" i="5" s="1"/>
  <c r="B622" i="6" l="1"/>
  <c r="B623" i="6" s="1"/>
  <c r="D622" i="6"/>
  <c r="D623" i="6" s="1"/>
  <c r="C622" i="5"/>
  <c r="B623" i="5" s="1"/>
  <c r="C623" i="6" l="1"/>
  <c r="C624" i="6" s="1"/>
  <c r="C623" i="5"/>
  <c r="B624" i="5" s="1"/>
  <c r="B624" i="6" l="1"/>
  <c r="B625" i="6" s="1"/>
  <c r="D624" i="6"/>
  <c r="D625" i="6" s="1"/>
  <c r="C624" i="5"/>
  <c r="B625" i="5" s="1"/>
  <c r="C625" i="6" l="1"/>
  <c r="C626" i="6" s="1"/>
  <c r="C625" i="5"/>
  <c r="B626" i="5" s="1"/>
  <c r="B626" i="6" l="1"/>
  <c r="B627" i="6" s="1"/>
  <c r="D626" i="6"/>
  <c r="D627" i="6" s="1"/>
  <c r="C626" i="5"/>
  <c r="B627" i="5" s="1"/>
  <c r="C627" i="6" l="1"/>
  <c r="C628" i="6" s="1"/>
  <c r="C627" i="5"/>
  <c r="B628" i="5" s="1"/>
  <c r="B628" i="6" l="1"/>
  <c r="B629" i="6" s="1"/>
  <c r="D628" i="6"/>
  <c r="D629" i="6" s="1"/>
  <c r="C628" i="5"/>
  <c r="B629" i="5" s="1"/>
  <c r="C629" i="6" l="1"/>
  <c r="C630" i="6" s="1"/>
  <c r="C629" i="5"/>
  <c r="B630" i="5" s="1"/>
  <c r="B630" i="6" l="1"/>
  <c r="B631" i="6" s="1"/>
  <c r="D630" i="6"/>
  <c r="D631" i="6" s="1"/>
  <c r="C630" i="5"/>
  <c r="B631" i="5" s="1"/>
  <c r="C631" i="6" l="1"/>
  <c r="C632" i="6" s="1"/>
  <c r="C631" i="5"/>
  <c r="B632" i="5" s="1"/>
  <c r="B632" i="6" l="1"/>
  <c r="B633" i="6" s="1"/>
  <c r="D632" i="6"/>
  <c r="D633" i="6" s="1"/>
  <c r="C632" i="5"/>
  <c r="B633" i="5" s="1"/>
  <c r="C633" i="6" l="1"/>
  <c r="C634" i="6" s="1"/>
  <c r="C633" i="5"/>
  <c r="B634" i="5" s="1"/>
  <c r="B634" i="6" l="1"/>
  <c r="B635" i="6" s="1"/>
  <c r="D634" i="6"/>
  <c r="D635" i="6" s="1"/>
  <c r="C634" i="5"/>
  <c r="B635" i="5" s="1"/>
  <c r="C635" i="6" l="1"/>
  <c r="C636" i="6" s="1"/>
  <c r="C635" i="5"/>
  <c r="B636" i="5" s="1"/>
  <c r="B636" i="6" l="1"/>
  <c r="B637" i="6" s="1"/>
  <c r="D636" i="6"/>
  <c r="D637" i="6" s="1"/>
  <c r="C636" i="5"/>
  <c r="B637" i="5" s="1"/>
  <c r="C637" i="6" l="1"/>
  <c r="C638" i="6" s="1"/>
  <c r="C637" i="5"/>
  <c r="B638" i="5" s="1"/>
  <c r="B638" i="6" l="1"/>
  <c r="B639" i="6" s="1"/>
  <c r="D638" i="6"/>
  <c r="D639" i="6" s="1"/>
  <c r="C638" i="5"/>
  <c r="B639" i="5" s="1"/>
  <c r="C639" i="6" l="1"/>
  <c r="C640" i="6" s="1"/>
  <c r="C639" i="5"/>
  <c r="B640" i="5" s="1"/>
  <c r="B640" i="6" l="1"/>
  <c r="B641" i="6" s="1"/>
  <c r="D640" i="6"/>
  <c r="D641" i="6" s="1"/>
  <c r="C640" i="5"/>
  <c r="B641" i="5" s="1"/>
  <c r="C641" i="6" l="1"/>
  <c r="C642" i="6" s="1"/>
  <c r="C641" i="5"/>
  <c r="B642" i="5" s="1"/>
  <c r="B642" i="6" l="1"/>
  <c r="B643" i="6" s="1"/>
  <c r="D642" i="6"/>
  <c r="D643" i="6" s="1"/>
  <c r="C642" i="5"/>
  <c r="B643" i="5" s="1"/>
  <c r="C643" i="6" l="1"/>
  <c r="C644" i="6" s="1"/>
  <c r="C643" i="5"/>
  <c r="B644" i="5" s="1"/>
  <c r="B644" i="6" l="1"/>
  <c r="B645" i="6" s="1"/>
  <c r="D644" i="6"/>
  <c r="D645" i="6" s="1"/>
  <c r="C644" i="5"/>
  <c r="B645" i="5" s="1"/>
  <c r="C645" i="6" l="1"/>
  <c r="C646" i="6" s="1"/>
  <c r="C645" i="5"/>
  <c r="B646" i="5" s="1"/>
  <c r="B646" i="6" l="1"/>
  <c r="B647" i="6" s="1"/>
  <c r="D646" i="6"/>
  <c r="D647" i="6" s="1"/>
  <c r="C646" i="5"/>
  <c r="B647" i="5" s="1"/>
  <c r="C647" i="6" l="1"/>
  <c r="C648" i="6" s="1"/>
  <c r="C647" i="5"/>
  <c r="B648" i="5" s="1"/>
  <c r="B648" i="6" l="1"/>
  <c r="B649" i="6" s="1"/>
  <c r="D648" i="6"/>
  <c r="D649" i="6" s="1"/>
  <c r="C648" i="5"/>
  <c r="B649" i="5" s="1"/>
  <c r="C649" i="6" l="1"/>
  <c r="C650" i="6" s="1"/>
  <c r="C649" i="5"/>
  <c r="B650" i="5" s="1"/>
  <c r="B650" i="6" l="1"/>
  <c r="B651" i="6" s="1"/>
  <c r="D650" i="6"/>
  <c r="D651" i="6" s="1"/>
  <c r="C650" i="5"/>
  <c r="B651" i="5" s="1"/>
  <c r="C651" i="6" l="1"/>
  <c r="C652" i="6" s="1"/>
  <c r="C651" i="5"/>
  <c r="B652" i="5" s="1"/>
  <c r="B652" i="6" l="1"/>
  <c r="B653" i="6" s="1"/>
  <c r="D652" i="6"/>
  <c r="D653" i="6" s="1"/>
  <c r="C652" i="5"/>
  <c r="B653" i="5" s="1"/>
  <c r="C653" i="6" l="1"/>
  <c r="C654" i="6" s="1"/>
  <c r="C653" i="5"/>
  <c r="B654" i="5" s="1"/>
  <c r="B654" i="6" l="1"/>
  <c r="B655" i="6" s="1"/>
  <c r="D654" i="6"/>
  <c r="D655" i="6" s="1"/>
  <c r="C654" i="5"/>
  <c r="B655" i="5" s="1"/>
  <c r="C655" i="6" l="1"/>
  <c r="C656" i="6" s="1"/>
  <c r="C655" i="5"/>
  <c r="B656" i="5" s="1"/>
  <c r="B656" i="6" l="1"/>
  <c r="B657" i="6" s="1"/>
  <c r="D656" i="6"/>
  <c r="D657" i="6" s="1"/>
  <c r="C656" i="5"/>
  <c r="B657" i="5" s="1"/>
  <c r="C657" i="6" l="1"/>
  <c r="C658" i="6" s="1"/>
  <c r="C657" i="5"/>
  <c r="B658" i="5" s="1"/>
  <c r="B658" i="6" l="1"/>
  <c r="B659" i="6" s="1"/>
  <c r="D658" i="6"/>
  <c r="D659" i="6" s="1"/>
  <c r="C658" i="5"/>
  <c r="B659" i="5" s="1"/>
  <c r="C659" i="6" l="1"/>
  <c r="C660" i="6" s="1"/>
  <c r="C659" i="5"/>
  <c r="B660" i="5" s="1"/>
  <c r="B660" i="6" l="1"/>
  <c r="B661" i="6" s="1"/>
  <c r="D660" i="6"/>
  <c r="D661" i="6" s="1"/>
  <c r="C660" i="5"/>
  <c r="B661" i="5" s="1"/>
  <c r="C661" i="6" l="1"/>
  <c r="C662" i="6" s="1"/>
  <c r="C661" i="5"/>
  <c r="B662" i="5" s="1"/>
  <c r="B662" i="6" l="1"/>
  <c r="B663" i="6" s="1"/>
  <c r="D662" i="6"/>
  <c r="D663" i="6" s="1"/>
  <c r="C662" i="5"/>
  <c r="B663" i="5" s="1"/>
  <c r="C663" i="6" l="1"/>
  <c r="C664" i="6" s="1"/>
  <c r="C663" i="5"/>
  <c r="B664" i="5" s="1"/>
  <c r="B664" i="6" l="1"/>
  <c r="B665" i="6" s="1"/>
  <c r="D664" i="6"/>
  <c r="D665" i="6" s="1"/>
  <c r="C664" i="5"/>
  <c r="B665" i="5" s="1"/>
  <c r="C665" i="6" l="1"/>
  <c r="C666" i="6" s="1"/>
  <c r="C665" i="5"/>
  <c r="B666" i="5" s="1"/>
  <c r="B666" i="6" l="1"/>
  <c r="B667" i="6" s="1"/>
  <c r="D666" i="6"/>
  <c r="D667" i="6" s="1"/>
  <c r="C666" i="5"/>
  <c r="B667" i="5" s="1"/>
  <c r="C667" i="6" l="1"/>
  <c r="C668" i="6" s="1"/>
  <c r="C667" i="5"/>
  <c r="B668" i="5" s="1"/>
  <c r="B668" i="6" l="1"/>
  <c r="B669" i="6" s="1"/>
  <c r="D668" i="6"/>
  <c r="D669" i="6" s="1"/>
  <c r="C668" i="5"/>
  <c r="B669" i="5" s="1"/>
  <c r="C669" i="6" l="1"/>
  <c r="C670" i="6" s="1"/>
  <c r="C669" i="5"/>
  <c r="B670" i="5" s="1"/>
  <c r="B670" i="6" l="1"/>
  <c r="B671" i="6" s="1"/>
  <c r="D670" i="6"/>
  <c r="D671" i="6" s="1"/>
  <c r="C670" i="5"/>
  <c r="B671" i="5" s="1"/>
  <c r="C671" i="6" l="1"/>
  <c r="C672" i="6" s="1"/>
  <c r="C671" i="5"/>
  <c r="B672" i="5" s="1"/>
  <c r="B672" i="6" l="1"/>
  <c r="B673" i="6" s="1"/>
  <c r="D672" i="6"/>
  <c r="D673" i="6" s="1"/>
  <c r="C672" i="5"/>
  <c r="B673" i="5" s="1"/>
  <c r="C673" i="6" l="1"/>
  <c r="C674" i="6" s="1"/>
  <c r="C673" i="5"/>
  <c r="B674" i="5" s="1"/>
  <c r="B674" i="6" l="1"/>
  <c r="B675" i="6" s="1"/>
  <c r="D674" i="6"/>
  <c r="D675" i="6" s="1"/>
  <c r="C674" i="5"/>
  <c r="B675" i="5" s="1"/>
  <c r="C675" i="6" l="1"/>
  <c r="C676" i="6" s="1"/>
  <c r="C675" i="5"/>
  <c r="B676" i="5" s="1"/>
  <c r="B676" i="6" l="1"/>
  <c r="B677" i="6" s="1"/>
  <c r="D676" i="6"/>
  <c r="D677" i="6" s="1"/>
  <c r="C676" i="5"/>
  <c r="B677" i="5" s="1"/>
  <c r="C677" i="6" l="1"/>
  <c r="C678" i="6" s="1"/>
  <c r="C677" i="5"/>
  <c r="B678" i="5" s="1"/>
  <c r="B678" i="6" l="1"/>
  <c r="B679" i="6" s="1"/>
  <c r="D678" i="6"/>
  <c r="D679" i="6" s="1"/>
  <c r="C678" i="5"/>
  <c r="B679" i="5" s="1"/>
  <c r="C679" i="6" l="1"/>
  <c r="C680" i="6" s="1"/>
  <c r="C679" i="5"/>
  <c r="B680" i="5" s="1"/>
  <c r="B680" i="6" l="1"/>
  <c r="B681" i="6" s="1"/>
  <c r="D680" i="6"/>
  <c r="D681" i="6" s="1"/>
  <c r="C680" i="5"/>
  <c r="B681" i="5" s="1"/>
  <c r="C681" i="6" l="1"/>
  <c r="C682" i="6" s="1"/>
  <c r="C681" i="5"/>
  <c r="B682" i="5" s="1"/>
  <c r="B682" i="6" l="1"/>
  <c r="B683" i="6" s="1"/>
  <c r="D682" i="6"/>
  <c r="D683" i="6" s="1"/>
  <c r="C682" i="5"/>
  <c r="B683" i="5" s="1"/>
  <c r="C683" i="6" l="1"/>
  <c r="C684" i="6" s="1"/>
  <c r="C683" i="5"/>
  <c r="B684" i="5" s="1"/>
  <c r="B684" i="6" l="1"/>
  <c r="B685" i="6" s="1"/>
  <c r="D684" i="6"/>
  <c r="D685" i="6" s="1"/>
  <c r="C684" i="5"/>
  <c r="B685" i="5" s="1"/>
  <c r="C685" i="6" l="1"/>
  <c r="C686" i="6" s="1"/>
  <c r="C685" i="5"/>
  <c r="B686" i="5" s="1"/>
  <c r="B686" i="6" l="1"/>
  <c r="B687" i="6" s="1"/>
  <c r="D686" i="6"/>
  <c r="D687" i="6" s="1"/>
  <c r="C686" i="5"/>
  <c r="B687" i="5" s="1"/>
  <c r="C687" i="6" l="1"/>
  <c r="C688" i="6" s="1"/>
  <c r="C687" i="5"/>
  <c r="B688" i="5" s="1"/>
  <c r="B688" i="6" l="1"/>
  <c r="B689" i="6" s="1"/>
  <c r="D688" i="6"/>
  <c r="D689" i="6" s="1"/>
  <c r="C688" i="5"/>
  <c r="B689" i="5" s="1"/>
  <c r="C689" i="6" l="1"/>
  <c r="C690" i="6" s="1"/>
  <c r="C689" i="5"/>
  <c r="B690" i="5" s="1"/>
  <c r="B690" i="6" l="1"/>
  <c r="B691" i="6" s="1"/>
  <c r="D690" i="6"/>
  <c r="D691" i="6" s="1"/>
  <c r="C690" i="5"/>
  <c r="B691" i="5" s="1"/>
  <c r="C691" i="6" l="1"/>
  <c r="C692" i="6" s="1"/>
  <c r="C691" i="5"/>
  <c r="B692" i="5" s="1"/>
  <c r="B692" i="6" l="1"/>
  <c r="B693" i="6" s="1"/>
  <c r="D692" i="6"/>
  <c r="D693" i="6" s="1"/>
  <c r="C692" i="5"/>
  <c r="B693" i="5" s="1"/>
  <c r="C693" i="6" l="1"/>
  <c r="C694" i="6" s="1"/>
  <c r="C693" i="5"/>
  <c r="B694" i="5" s="1"/>
  <c r="B694" i="6" l="1"/>
  <c r="B695" i="6" s="1"/>
  <c r="D694" i="6"/>
  <c r="D695" i="6" s="1"/>
  <c r="C694" i="5"/>
  <c r="B695" i="5" s="1"/>
  <c r="C695" i="6" l="1"/>
  <c r="C696" i="6" s="1"/>
  <c r="C695" i="5"/>
  <c r="B696" i="5" s="1"/>
  <c r="B696" i="6" l="1"/>
  <c r="B697" i="6" s="1"/>
  <c r="D696" i="6"/>
  <c r="D697" i="6" s="1"/>
  <c r="C696" i="5"/>
  <c r="B697" i="5" s="1"/>
  <c r="C697" i="6" l="1"/>
  <c r="C698" i="6" s="1"/>
  <c r="C697" i="5"/>
  <c r="B698" i="5" s="1"/>
  <c r="B698" i="6" l="1"/>
  <c r="B699" i="6" s="1"/>
  <c r="D698" i="6"/>
  <c r="D699" i="6" s="1"/>
  <c r="C698" i="5"/>
  <c r="B699" i="5" s="1"/>
  <c r="C699" i="6" l="1"/>
  <c r="C700" i="6" s="1"/>
  <c r="C699" i="5"/>
  <c r="B700" i="5" s="1"/>
  <c r="B700" i="6" l="1"/>
  <c r="B701" i="6" s="1"/>
  <c r="D700" i="6"/>
  <c r="D701" i="6" s="1"/>
  <c r="C700" i="5"/>
  <c r="B701" i="5" s="1"/>
  <c r="C701" i="6" l="1"/>
  <c r="C702" i="6" s="1"/>
  <c r="C701" i="5"/>
  <c r="B702" i="5" s="1"/>
  <c r="B702" i="6" l="1"/>
  <c r="B703" i="6" s="1"/>
  <c r="D702" i="6"/>
  <c r="D703" i="6" s="1"/>
  <c r="C702" i="5"/>
  <c r="B703" i="5" s="1"/>
  <c r="C703" i="6" l="1"/>
  <c r="C704" i="6" s="1"/>
  <c r="C703" i="5"/>
  <c r="B704" i="5" s="1"/>
  <c r="B704" i="6" l="1"/>
  <c r="B705" i="6" s="1"/>
  <c r="D704" i="6"/>
  <c r="D705" i="6" s="1"/>
  <c r="C704" i="5"/>
  <c r="B705" i="5" s="1"/>
  <c r="C705" i="6" l="1"/>
  <c r="C706" i="6" s="1"/>
  <c r="C705" i="5"/>
  <c r="B706" i="5" s="1"/>
  <c r="B706" i="6" l="1"/>
  <c r="B707" i="6" s="1"/>
  <c r="D706" i="6"/>
  <c r="D707" i="6" s="1"/>
  <c r="C706" i="5"/>
  <c r="B707" i="5" s="1"/>
  <c r="C707" i="6" l="1"/>
  <c r="C708" i="6" s="1"/>
  <c r="C707" i="5"/>
  <c r="B708" i="5" s="1"/>
  <c r="B708" i="6" l="1"/>
  <c r="B709" i="6" s="1"/>
  <c r="D708" i="6"/>
  <c r="D709" i="6" s="1"/>
  <c r="C708" i="5"/>
  <c r="B709" i="5" s="1"/>
  <c r="C709" i="6" l="1"/>
  <c r="C710" i="6" s="1"/>
  <c r="C709" i="5"/>
  <c r="B710" i="5" s="1"/>
  <c r="B710" i="6" l="1"/>
  <c r="B711" i="6" s="1"/>
  <c r="D710" i="6"/>
  <c r="D711" i="6" s="1"/>
  <c r="C710" i="5"/>
  <c r="B711" i="5" s="1"/>
  <c r="C711" i="6" l="1"/>
  <c r="C712" i="6" s="1"/>
  <c r="C711" i="5"/>
  <c r="B712" i="5" s="1"/>
  <c r="B712" i="6" l="1"/>
  <c r="B713" i="6" s="1"/>
  <c r="D712" i="6"/>
  <c r="D713" i="6" s="1"/>
  <c r="C712" i="5"/>
  <c r="B713" i="5" s="1"/>
  <c r="C713" i="6" l="1"/>
  <c r="C714" i="6" s="1"/>
  <c r="C713" i="5"/>
  <c r="B714" i="5" s="1"/>
  <c r="B714" i="6" l="1"/>
  <c r="B715" i="6" s="1"/>
  <c r="D714" i="6"/>
  <c r="D715" i="6" s="1"/>
  <c r="C714" i="5"/>
  <c r="B715" i="5" s="1"/>
  <c r="C715" i="6" l="1"/>
  <c r="C716" i="6" s="1"/>
  <c r="C715" i="5"/>
  <c r="B716" i="5" s="1"/>
  <c r="B716" i="6" l="1"/>
  <c r="B717" i="6" s="1"/>
  <c r="D716" i="6"/>
  <c r="D717" i="6" s="1"/>
  <c r="C716" i="5"/>
  <c r="B717" i="5" s="1"/>
  <c r="C717" i="6" l="1"/>
  <c r="C718" i="6" s="1"/>
  <c r="C717" i="5"/>
  <c r="B718" i="5" s="1"/>
  <c r="B718" i="6" l="1"/>
  <c r="B719" i="6" s="1"/>
  <c r="D718" i="6"/>
  <c r="D719" i="6" s="1"/>
  <c r="C718" i="5"/>
  <c r="B719" i="5" s="1"/>
  <c r="C719" i="6" l="1"/>
  <c r="C720" i="6" s="1"/>
  <c r="C719" i="5"/>
  <c r="B720" i="5" s="1"/>
  <c r="B720" i="6" l="1"/>
  <c r="B721" i="6" s="1"/>
  <c r="D720" i="6"/>
  <c r="D721" i="6" s="1"/>
  <c r="C720" i="5"/>
  <c r="B721" i="5" s="1"/>
  <c r="C721" i="6" l="1"/>
  <c r="C722" i="6" s="1"/>
  <c r="C721" i="5"/>
  <c r="B722" i="5" s="1"/>
  <c r="B722" i="6" l="1"/>
  <c r="B723" i="6" s="1"/>
  <c r="D722" i="6"/>
  <c r="D723" i="6" s="1"/>
  <c r="C722" i="5"/>
  <c r="B723" i="5" s="1"/>
  <c r="C723" i="6" l="1"/>
  <c r="C724" i="6" s="1"/>
  <c r="C723" i="5"/>
  <c r="B724" i="5" s="1"/>
  <c r="B724" i="6" l="1"/>
  <c r="B725" i="6" s="1"/>
  <c r="D724" i="6"/>
  <c r="D725" i="6" s="1"/>
  <c r="C724" i="5"/>
  <c r="B725" i="5" s="1"/>
  <c r="C725" i="6" l="1"/>
  <c r="C726" i="6" s="1"/>
  <c r="C725" i="5"/>
  <c r="B726" i="5" s="1"/>
  <c r="B726" i="6" l="1"/>
  <c r="B727" i="6" s="1"/>
  <c r="D726" i="6"/>
  <c r="D727" i="6" s="1"/>
  <c r="C726" i="5"/>
  <c r="B727" i="5" s="1"/>
  <c r="C727" i="6" l="1"/>
  <c r="C728" i="6" s="1"/>
  <c r="C727" i="5"/>
  <c r="B728" i="5" s="1"/>
  <c r="B728" i="6" l="1"/>
  <c r="B729" i="6" s="1"/>
  <c r="D728" i="6"/>
  <c r="D729" i="6" s="1"/>
  <c r="C728" i="5"/>
  <c r="B729" i="5" s="1"/>
  <c r="C729" i="6" l="1"/>
  <c r="C730" i="6" s="1"/>
  <c r="C729" i="5"/>
  <c r="B730" i="5" s="1"/>
  <c r="B730" i="6" l="1"/>
  <c r="B731" i="6" s="1"/>
  <c r="D730" i="6"/>
  <c r="D731" i="6" s="1"/>
  <c r="C730" i="5"/>
  <c r="B731" i="5" s="1"/>
  <c r="C731" i="6" l="1"/>
  <c r="C732" i="6" s="1"/>
  <c r="C731" i="5"/>
  <c r="B732" i="5" s="1"/>
  <c r="B732" i="6" l="1"/>
  <c r="B733" i="6" s="1"/>
  <c r="D732" i="6"/>
  <c r="D733" i="6" s="1"/>
  <c r="C732" i="5"/>
  <c r="B733" i="5" s="1"/>
  <c r="C733" i="6" l="1"/>
  <c r="C734" i="6" s="1"/>
  <c r="C733" i="5"/>
  <c r="B734" i="5" s="1"/>
  <c r="B734" i="6" l="1"/>
  <c r="B735" i="6" s="1"/>
  <c r="D734" i="6"/>
  <c r="D735" i="6" s="1"/>
  <c r="C734" i="5"/>
  <c r="B735" i="5" s="1"/>
  <c r="C735" i="6" l="1"/>
  <c r="C736" i="6" s="1"/>
  <c r="C735" i="5"/>
  <c r="B736" i="5" s="1"/>
  <c r="B736" i="6" l="1"/>
  <c r="B737" i="6" s="1"/>
  <c r="D736" i="6"/>
  <c r="D737" i="6" s="1"/>
  <c r="C736" i="5"/>
  <c r="B737" i="5" s="1"/>
  <c r="C737" i="6" l="1"/>
  <c r="C738" i="6" s="1"/>
  <c r="C737" i="5"/>
  <c r="B738" i="5" s="1"/>
  <c r="B738" i="6" l="1"/>
  <c r="B739" i="6" s="1"/>
  <c r="D738" i="6"/>
  <c r="D739" i="6" s="1"/>
  <c r="C738" i="5"/>
  <c r="B739" i="5" s="1"/>
  <c r="C739" i="6" l="1"/>
  <c r="C740" i="6" s="1"/>
  <c r="C739" i="5"/>
  <c r="B740" i="5" s="1"/>
  <c r="B740" i="6" l="1"/>
  <c r="B741" i="6" s="1"/>
  <c r="D740" i="6"/>
  <c r="D741" i="6" s="1"/>
  <c r="C740" i="5"/>
  <c r="B741" i="5" s="1"/>
  <c r="C741" i="6" l="1"/>
  <c r="C742" i="6" s="1"/>
  <c r="C741" i="5"/>
  <c r="B742" i="5" s="1"/>
  <c r="B742" i="6" l="1"/>
  <c r="B743" i="6" s="1"/>
  <c r="D742" i="6"/>
  <c r="D743" i="6" s="1"/>
  <c r="C742" i="5"/>
  <c r="B743" i="5" s="1"/>
  <c r="C743" i="6" l="1"/>
  <c r="C744" i="6" s="1"/>
  <c r="C743" i="5"/>
  <c r="B744" i="5" s="1"/>
  <c r="B744" i="6" l="1"/>
  <c r="B745" i="6" s="1"/>
  <c r="D744" i="6"/>
  <c r="D745" i="6" s="1"/>
  <c r="C744" i="5"/>
  <c r="B745" i="5" s="1"/>
  <c r="C745" i="6" l="1"/>
  <c r="C746" i="6" s="1"/>
  <c r="C745" i="5"/>
  <c r="B746" i="5" s="1"/>
  <c r="B746" i="6" l="1"/>
  <c r="B747" i="6" s="1"/>
  <c r="D746" i="6"/>
  <c r="D747" i="6" s="1"/>
  <c r="C746" i="5"/>
  <c r="B747" i="5" s="1"/>
  <c r="C747" i="6" l="1"/>
  <c r="C748" i="6" s="1"/>
  <c r="C747" i="5"/>
  <c r="B748" i="5" s="1"/>
  <c r="B748" i="6" l="1"/>
  <c r="B749" i="6" s="1"/>
  <c r="D748" i="6"/>
  <c r="D749" i="6" s="1"/>
  <c r="C748" i="5"/>
  <c r="B749" i="5" s="1"/>
  <c r="C749" i="6" l="1"/>
  <c r="C750" i="6" s="1"/>
  <c r="C749" i="5"/>
  <c r="B750" i="5" s="1"/>
  <c r="B750" i="6" l="1"/>
  <c r="B751" i="6" s="1"/>
  <c r="D750" i="6"/>
  <c r="D751" i="6" s="1"/>
  <c r="C750" i="5"/>
  <c r="B751" i="5" s="1"/>
  <c r="C751" i="6" l="1"/>
  <c r="C752" i="6" s="1"/>
  <c r="C751" i="5"/>
  <c r="B752" i="5" s="1"/>
  <c r="B752" i="6" l="1"/>
  <c r="B753" i="6" s="1"/>
  <c r="D752" i="6"/>
  <c r="D753" i="6" s="1"/>
  <c r="C752" i="5"/>
  <c r="B753" i="5" s="1"/>
  <c r="C753" i="6" l="1"/>
  <c r="C754" i="6" s="1"/>
  <c r="C753" i="5"/>
  <c r="B754" i="5" s="1"/>
  <c r="B754" i="6" l="1"/>
  <c r="B755" i="6" s="1"/>
  <c r="D754" i="6"/>
  <c r="D755" i="6" s="1"/>
  <c r="C754" i="5"/>
  <c r="B755" i="5" s="1"/>
  <c r="C755" i="6" l="1"/>
  <c r="C756" i="6" s="1"/>
  <c r="C755" i="5"/>
  <c r="B756" i="5" s="1"/>
  <c r="B756" i="6" l="1"/>
  <c r="B757" i="6" s="1"/>
  <c r="D756" i="6"/>
  <c r="D757" i="6" s="1"/>
  <c r="C756" i="5"/>
  <c r="B757" i="5" s="1"/>
  <c r="C757" i="6" l="1"/>
  <c r="C758" i="6" s="1"/>
  <c r="C757" i="5"/>
  <c r="B758" i="5" s="1"/>
  <c r="B758" i="6" l="1"/>
  <c r="B759" i="6" s="1"/>
  <c r="D758" i="6"/>
  <c r="D759" i="6" s="1"/>
  <c r="C758" i="5"/>
  <c r="B759" i="5" s="1"/>
  <c r="C759" i="6" l="1"/>
  <c r="C760" i="6" s="1"/>
  <c r="C759" i="5"/>
  <c r="B760" i="5" s="1"/>
  <c r="B760" i="6" l="1"/>
  <c r="B761" i="6" s="1"/>
  <c r="D760" i="6"/>
  <c r="D761" i="6" s="1"/>
  <c r="C760" i="5"/>
  <c r="B761" i="5" s="1"/>
  <c r="C761" i="6" l="1"/>
  <c r="C762" i="6" s="1"/>
  <c r="C761" i="5"/>
  <c r="B762" i="5" s="1"/>
  <c r="B762" i="6" l="1"/>
  <c r="B763" i="6" s="1"/>
  <c r="D762" i="6"/>
  <c r="D763" i="6" s="1"/>
  <c r="C762" i="5"/>
  <c r="B763" i="5" s="1"/>
  <c r="C763" i="6" l="1"/>
  <c r="C764" i="6" s="1"/>
  <c r="C763" i="5"/>
  <c r="B764" i="5" s="1"/>
  <c r="B764" i="6" l="1"/>
  <c r="B765" i="6" s="1"/>
  <c r="D764" i="6"/>
  <c r="D765" i="6" s="1"/>
  <c r="C764" i="5"/>
  <c r="B765" i="5" s="1"/>
  <c r="C765" i="6" l="1"/>
  <c r="C766" i="6" s="1"/>
  <c r="C765" i="5"/>
  <c r="B766" i="5" s="1"/>
  <c r="B766" i="6" l="1"/>
  <c r="B767" i="6" s="1"/>
  <c r="D766" i="6"/>
  <c r="D767" i="6" s="1"/>
  <c r="C766" i="5"/>
  <c r="B767" i="5" s="1"/>
  <c r="C767" i="6" l="1"/>
  <c r="C768" i="6" s="1"/>
  <c r="C767" i="5"/>
  <c r="B768" i="5" s="1"/>
  <c r="B768" i="6" l="1"/>
  <c r="B769" i="6" s="1"/>
  <c r="D768" i="6"/>
  <c r="D769" i="6" s="1"/>
  <c r="C768" i="5"/>
  <c r="B769" i="5" s="1"/>
  <c r="C769" i="6" l="1"/>
  <c r="C770" i="6" s="1"/>
  <c r="C769" i="5"/>
  <c r="B770" i="5" s="1"/>
  <c r="B770" i="6" l="1"/>
  <c r="B771" i="6" s="1"/>
  <c r="D770" i="6"/>
  <c r="D771" i="6" s="1"/>
  <c r="C770" i="5"/>
  <c r="B771" i="5" s="1"/>
  <c r="C771" i="6" l="1"/>
  <c r="C772" i="6" s="1"/>
  <c r="C771" i="5"/>
  <c r="B772" i="5" s="1"/>
  <c r="B772" i="6" l="1"/>
  <c r="B773" i="6" s="1"/>
  <c r="D772" i="6"/>
  <c r="D773" i="6" s="1"/>
  <c r="C772" i="5"/>
  <c r="B773" i="5" s="1"/>
  <c r="C773" i="6" l="1"/>
  <c r="C774" i="6" s="1"/>
  <c r="C773" i="5"/>
  <c r="B774" i="5" s="1"/>
  <c r="B774" i="6" l="1"/>
  <c r="B775" i="6" s="1"/>
  <c r="D774" i="6"/>
  <c r="D775" i="6" s="1"/>
  <c r="C774" i="5"/>
  <c r="B775" i="5" s="1"/>
  <c r="C775" i="6" l="1"/>
  <c r="C776" i="6" s="1"/>
  <c r="C775" i="5"/>
  <c r="B776" i="5" s="1"/>
  <c r="B776" i="6" l="1"/>
  <c r="B777" i="6" s="1"/>
  <c r="D776" i="6"/>
  <c r="D777" i="6" s="1"/>
  <c r="C776" i="5"/>
  <c r="B777" i="5" s="1"/>
  <c r="C777" i="6" l="1"/>
  <c r="C778" i="6" s="1"/>
  <c r="C777" i="5"/>
  <c r="B778" i="5" s="1"/>
  <c r="B778" i="6" l="1"/>
  <c r="B779" i="6" s="1"/>
  <c r="D778" i="6"/>
  <c r="D779" i="6" s="1"/>
  <c r="C778" i="5"/>
  <c r="B779" i="5" s="1"/>
  <c r="C779" i="6" l="1"/>
  <c r="C780" i="6" s="1"/>
  <c r="C779" i="5"/>
  <c r="B780" i="5" s="1"/>
  <c r="B780" i="6" l="1"/>
  <c r="B781" i="6" s="1"/>
  <c r="D780" i="6"/>
  <c r="D781" i="6" s="1"/>
  <c r="C780" i="5"/>
  <c r="B781" i="5" s="1"/>
  <c r="C781" i="5" l="1"/>
  <c r="B782" i="5" s="1"/>
  <c r="C781" i="6"/>
  <c r="C782" i="6" s="1"/>
  <c r="C782" i="5"/>
  <c r="B783" i="5" s="1"/>
  <c r="B782" i="6" l="1"/>
  <c r="B783" i="6" s="1"/>
  <c r="D782" i="6"/>
  <c r="D783" i="6" s="1"/>
  <c r="C783" i="5"/>
  <c r="B784" i="5" s="1"/>
  <c r="C783" i="6" l="1"/>
  <c r="C784" i="6" s="1"/>
  <c r="C784" i="5"/>
  <c r="B785" i="5" s="1"/>
  <c r="B784" i="6" l="1"/>
  <c r="B785" i="6" s="1"/>
  <c r="D784" i="6"/>
  <c r="D785" i="6" s="1"/>
  <c r="C785" i="5"/>
  <c r="B786" i="5" s="1"/>
  <c r="C785" i="6" l="1"/>
  <c r="C786" i="6" s="1"/>
  <c r="C786" i="5"/>
  <c r="B787" i="5" s="1"/>
  <c r="B786" i="6" l="1"/>
  <c r="B787" i="6" s="1"/>
  <c r="D786" i="6"/>
  <c r="D787" i="6" s="1"/>
  <c r="C787" i="5"/>
  <c r="B788" i="5" s="1"/>
  <c r="C787" i="6" l="1"/>
  <c r="C788" i="6" s="1"/>
  <c r="C788" i="5"/>
  <c r="B789" i="5" s="1"/>
  <c r="B788" i="6" l="1"/>
  <c r="B789" i="6" s="1"/>
  <c r="D788" i="6"/>
  <c r="D789" i="6" s="1"/>
  <c r="C789" i="5"/>
  <c r="B790" i="5" s="1"/>
  <c r="C789" i="6" l="1"/>
  <c r="C790" i="6" s="1"/>
  <c r="C790" i="5"/>
  <c r="B791" i="5" s="1"/>
  <c r="B790" i="6" l="1"/>
  <c r="B791" i="6" s="1"/>
  <c r="D790" i="6"/>
  <c r="D791" i="6" s="1"/>
  <c r="C791" i="5"/>
  <c r="B792" i="5" s="1"/>
  <c r="C791" i="6" l="1"/>
  <c r="C792" i="6" s="1"/>
  <c r="C792" i="5"/>
  <c r="B793" i="5" s="1"/>
  <c r="B792" i="6" l="1"/>
  <c r="B793" i="6" s="1"/>
  <c r="D792" i="6"/>
  <c r="D793" i="6" s="1"/>
  <c r="C793" i="5"/>
  <c r="B794" i="5" s="1"/>
  <c r="C793" i="6" l="1"/>
  <c r="C794" i="6" s="1"/>
  <c r="C794" i="5"/>
  <c r="B795" i="5" s="1"/>
  <c r="B794" i="6" l="1"/>
  <c r="B795" i="6" s="1"/>
  <c r="D794" i="6"/>
  <c r="D795" i="6" s="1"/>
  <c r="C795" i="5"/>
  <c r="B796" i="5" s="1"/>
  <c r="C795" i="6" l="1"/>
  <c r="C796" i="6" s="1"/>
  <c r="C796" i="5"/>
  <c r="B797" i="5" s="1"/>
  <c r="B796" i="6" l="1"/>
  <c r="B797" i="6" s="1"/>
  <c r="D796" i="6"/>
  <c r="D797" i="6" s="1"/>
  <c r="C797" i="5"/>
  <c r="B798" i="5" s="1"/>
  <c r="C797" i="6" l="1"/>
  <c r="C798" i="6" s="1"/>
  <c r="C798" i="5"/>
  <c r="B799" i="5" s="1"/>
  <c r="B798" i="6" l="1"/>
  <c r="B799" i="6" s="1"/>
  <c r="D798" i="6"/>
  <c r="D799" i="6" s="1"/>
  <c r="C799" i="5"/>
  <c r="B800" i="5" s="1"/>
  <c r="C799" i="6" l="1"/>
  <c r="C800" i="6" s="1"/>
  <c r="C800" i="5"/>
  <c r="B801" i="5" s="1"/>
  <c r="B800" i="6" l="1"/>
  <c r="B801" i="6" s="1"/>
  <c r="D800" i="6"/>
  <c r="D801" i="6" s="1"/>
  <c r="C801" i="5"/>
  <c r="B802" i="5" s="1"/>
  <c r="C801" i="6" l="1"/>
  <c r="C802" i="6" s="1"/>
  <c r="C802" i="5"/>
  <c r="B803" i="5" s="1"/>
  <c r="B802" i="6" l="1"/>
  <c r="B803" i="6" s="1"/>
  <c r="D802" i="6"/>
  <c r="D803" i="6" s="1"/>
  <c r="C803" i="5"/>
  <c r="B804" i="5" s="1"/>
  <c r="C803" i="6" l="1"/>
  <c r="C804" i="6" s="1"/>
  <c r="C804" i="5"/>
  <c r="B805" i="5" s="1"/>
  <c r="B804" i="6" l="1"/>
  <c r="B805" i="6" s="1"/>
  <c r="D804" i="6"/>
  <c r="D805" i="6" s="1"/>
  <c r="C805" i="5"/>
  <c r="B806" i="5" s="1"/>
  <c r="C805" i="6" l="1"/>
  <c r="C806" i="6" s="1"/>
  <c r="C806" i="5"/>
  <c r="B807" i="5" s="1"/>
  <c r="D806" i="6" l="1"/>
  <c r="D807" i="6" s="1"/>
  <c r="B806" i="6"/>
  <c r="B807" i="6" s="1"/>
  <c r="C807" i="5"/>
  <c r="B808" i="5" s="1"/>
  <c r="C807" i="6" l="1"/>
  <c r="C808" i="6" s="1"/>
  <c r="C808" i="5"/>
  <c r="B809" i="5" s="1"/>
  <c r="D808" i="6" l="1"/>
  <c r="D809" i="6" s="1"/>
  <c r="B808" i="6"/>
  <c r="B809" i="6" s="1"/>
  <c r="C809" i="5"/>
  <c r="B810" i="5" s="1"/>
  <c r="C809" i="6" l="1"/>
  <c r="C810" i="6" s="1"/>
  <c r="C810" i="5"/>
  <c r="B811" i="5" s="1"/>
  <c r="D810" i="6" l="1"/>
  <c r="D811" i="6" s="1"/>
  <c r="B810" i="6"/>
  <c r="B811" i="6" s="1"/>
  <c r="C811" i="5"/>
  <c r="B812" i="5" s="1"/>
  <c r="C811" i="6" l="1"/>
  <c r="C812" i="6" s="1"/>
  <c r="C812" i="5"/>
  <c r="B813" i="5" s="1"/>
  <c r="D812" i="6" l="1"/>
  <c r="D813" i="6" s="1"/>
  <c r="B812" i="6"/>
  <c r="B813" i="6" s="1"/>
  <c r="C813" i="5"/>
  <c r="B814" i="5" s="1"/>
  <c r="C813" i="6" l="1"/>
  <c r="C814" i="6" s="1"/>
  <c r="C814" i="5"/>
  <c r="B815" i="5" s="1"/>
  <c r="D814" i="6" l="1"/>
  <c r="D815" i="6" s="1"/>
  <c r="B814" i="6"/>
  <c r="B815" i="6" s="1"/>
  <c r="C815" i="5"/>
  <c r="B816" i="5" s="1"/>
  <c r="C815" i="6" l="1"/>
  <c r="C816" i="6" s="1"/>
  <c r="C816" i="5"/>
  <c r="B817" i="5" s="1"/>
  <c r="B816" i="6" l="1"/>
  <c r="B817" i="6" s="1"/>
  <c r="D816" i="6"/>
  <c r="D817" i="6" s="1"/>
  <c r="C817" i="5"/>
  <c r="B818" i="5" s="1"/>
  <c r="C817" i="6" l="1"/>
  <c r="C818" i="6" s="1"/>
  <c r="C818" i="5"/>
  <c r="B819" i="5" s="1"/>
  <c r="B818" i="6" l="1"/>
  <c r="B819" i="6" s="1"/>
  <c r="D818" i="6"/>
  <c r="D819" i="6" s="1"/>
  <c r="C819" i="5"/>
  <c r="B820" i="5" s="1"/>
  <c r="C819" i="6" l="1"/>
  <c r="C820" i="6" s="1"/>
  <c r="C820" i="5"/>
  <c r="B821" i="5" s="1"/>
  <c r="B820" i="6" l="1"/>
  <c r="B821" i="6" s="1"/>
  <c r="D820" i="6"/>
  <c r="D821" i="6" s="1"/>
  <c r="C821" i="5"/>
  <c r="B822" i="5" s="1"/>
  <c r="C821" i="6" l="1"/>
  <c r="D822" i="6" s="1"/>
  <c r="C822" i="5"/>
  <c r="B823" i="5" s="1"/>
  <c r="B822" i="6" l="1"/>
  <c r="C822" i="6"/>
  <c r="D823" i="6" s="1"/>
  <c r="C823" i="5"/>
  <c r="B824" i="5" s="1"/>
  <c r="B823" i="6" l="1"/>
  <c r="C823" i="6"/>
  <c r="C824" i="5"/>
  <c r="B825" i="5" s="1"/>
  <c r="C824" i="6" l="1"/>
  <c r="B824" i="6"/>
  <c r="D824" i="6"/>
  <c r="C825" i="5"/>
  <c r="B826" i="5" s="1"/>
  <c r="D825" i="6" l="1"/>
  <c r="B825" i="6"/>
  <c r="C825" i="6"/>
  <c r="C826" i="6" s="1"/>
  <c r="C826" i="5"/>
  <c r="B827" i="5" s="1"/>
  <c r="B826" i="6" l="1"/>
  <c r="B827" i="6" s="1"/>
  <c r="D826" i="6"/>
  <c r="D827" i="6" s="1"/>
  <c r="C827" i="5"/>
  <c r="B828" i="5" s="1"/>
  <c r="C827" i="6" l="1"/>
  <c r="C828" i="6" s="1"/>
  <c r="C828" i="5"/>
  <c r="B829" i="5" s="1"/>
  <c r="B828" i="6" l="1"/>
  <c r="B829" i="6" s="1"/>
  <c r="D828" i="6"/>
  <c r="D829" i="6" s="1"/>
  <c r="C829" i="5"/>
  <c r="B830" i="5" s="1"/>
  <c r="C829" i="6" l="1"/>
  <c r="C830" i="6" s="1"/>
  <c r="C830" i="5"/>
  <c r="B831" i="5" s="1"/>
  <c r="B830" i="6" l="1"/>
  <c r="B831" i="6" s="1"/>
  <c r="D830" i="6"/>
  <c r="D831" i="6" s="1"/>
  <c r="C831" i="5"/>
  <c r="B832" i="5" s="1"/>
  <c r="C831" i="6" l="1"/>
  <c r="C832" i="6" s="1"/>
  <c r="C832" i="5"/>
  <c r="B833" i="5" s="1"/>
  <c r="B832" i="6" l="1"/>
  <c r="B833" i="6" s="1"/>
  <c r="D832" i="6"/>
  <c r="D833" i="6" s="1"/>
  <c r="C833" i="5"/>
  <c r="B834" i="5" s="1"/>
  <c r="C833" i="6" l="1"/>
  <c r="C834" i="6" s="1"/>
  <c r="C834" i="5"/>
  <c r="B835" i="5" s="1"/>
  <c r="B834" i="6" l="1"/>
  <c r="B835" i="6" s="1"/>
  <c r="D834" i="6"/>
  <c r="D835" i="6" s="1"/>
  <c r="C835" i="5"/>
  <c r="B836" i="5" s="1"/>
  <c r="C835" i="6" l="1"/>
  <c r="C836" i="6" s="1"/>
  <c r="C836" i="5"/>
  <c r="B837" i="5" s="1"/>
  <c r="B836" i="6" l="1"/>
  <c r="B837" i="6" s="1"/>
  <c r="D836" i="6"/>
  <c r="D837" i="6" s="1"/>
  <c r="C837" i="5"/>
  <c r="B838" i="5" s="1"/>
  <c r="C837" i="6" l="1"/>
  <c r="C838" i="6" s="1"/>
  <c r="C838" i="5"/>
  <c r="B839" i="5" s="1"/>
  <c r="D838" i="6" l="1"/>
  <c r="D839" i="6" s="1"/>
  <c r="B838" i="6"/>
  <c r="B839" i="6" s="1"/>
  <c r="C839" i="5"/>
  <c r="B840" i="5" s="1"/>
  <c r="C839" i="6" l="1"/>
  <c r="C840" i="6" s="1"/>
  <c r="C840" i="5"/>
  <c r="B841" i="5" s="1"/>
  <c r="D840" i="6" l="1"/>
  <c r="D841" i="6" s="1"/>
  <c r="B840" i="6"/>
  <c r="B841" i="6" s="1"/>
  <c r="C841" i="5"/>
  <c r="B842" i="5" s="1"/>
  <c r="C841" i="6" l="1"/>
  <c r="C842" i="6" s="1"/>
  <c r="C842" i="5"/>
  <c r="B843" i="5" s="1"/>
  <c r="D842" i="6" l="1"/>
  <c r="D843" i="6" s="1"/>
  <c r="B842" i="6"/>
  <c r="B843" i="6" s="1"/>
  <c r="C843" i="5"/>
  <c r="B844" i="5" s="1"/>
  <c r="C843" i="6" l="1"/>
  <c r="C844" i="6" s="1"/>
  <c r="C844" i="5"/>
  <c r="B845" i="5" s="1"/>
  <c r="D844" i="6" l="1"/>
  <c r="D845" i="6" s="1"/>
  <c r="B844" i="6"/>
  <c r="B845" i="6" s="1"/>
  <c r="C845" i="5"/>
  <c r="B846" i="5" s="1"/>
  <c r="C845" i="6" l="1"/>
  <c r="C846" i="6" s="1"/>
  <c r="C846" i="5"/>
  <c r="B847" i="5" s="1"/>
  <c r="D846" i="6" l="1"/>
  <c r="D847" i="6" s="1"/>
  <c r="B846" i="6"/>
  <c r="B847" i="6" s="1"/>
  <c r="C847" i="5"/>
  <c r="B848" i="5" s="1"/>
  <c r="C847" i="6" l="1"/>
  <c r="C848" i="6" s="1"/>
  <c r="C848" i="5"/>
  <c r="B849" i="5" s="1"/>
  <c r="D848" i="6" l="1"/>
  <c r="D849" i="6" s="1"/>
  <c r="B848" i="6"/>
  <c r="B849" i="6" s="1"/>
  <c r="C849" i="5"/>
  <c r="B850" i="5" s="1"/>
  <c r="C849" i="6" l="1"/>
  <c r="C850" i="6" s="1"/>
  <c r="C850" i="5"/>
  <c r="B851" i="5" s="1"/>
  <c r="D850" i="6" l="1"/>
  <c r="D851" i="6" s="1"/>
  <c r="B850" i="6"/>
  <c r="B851" i="6" s="1"/>
  <c r="C851" i="5"/>
  <c r="B852" i="5" s="1"/>
  <c r="C851" i="6" l="1"/>
  <c r="C852" i="6" s="1"/>
  <c r="C852" i="5"/>
  <c r="B853" i="5" s="1"/>
  <c r="B852" i="6" l="1"/>
  <c r="B853" i="6" s="1"/>
  <c r="D852" i="6"/>
  <c r="D853" i="6" s="1"/>
  <c r="C853" i="5"/>
  <c r="B854" i="5" s="1"/>
  <c r="C853" i="6" l="1"/>
  <c r="C854" i="6" s="1"/>
  <c r="C854" i="5"/>
  <c r="B855" i="5" s="1"/>
  <c r="D854" i="6" l="1"/>
  <c r="D855" i="6" s="1"/>
  <c r="B854" i="6"/>
  <c r="B855" i="6" s="1"/>
  <c r="C855" i="5"/>
  <c r="B856" i="5" s="1"/>
  <c r="C855" i="6" l="1"/>
  <c r="C856" i="6" s="1"/>
  <c r="C856" i="5"/>
  <c r="B857" i="5" s="1"/>
  <c r="D856" i="6" l="1"/>
  <c r="D857" i="6" s="1"/>
  <c r="B856" i="6"/>
  <c r="B857" i="6" s="1"/>
  <c r="C857" i="5"/>
  <c r="B858" i="5" s="1"/>
  <c r="C857" i="6" l="1"/>
  <c r="C858" i="6" s="1"/>
  <c r="C858" i="5"/>
  <c r="B859" i="5" s="1"/>
  <c r="D858" i="6" l="1"/>
  <c r="D859" i="6" s="1"/>
  <c r="B858" i="6"/>
  <c r="B859" i="6" s="1"/>
  <c r="C859" i="5"/>
  <c r="B860" i="5" s="1"/>
  <c r="C859" i="6" l="1"/>
  <c r="C860" i="6" s="1"/>
  <c r="C860" i="5"/>
  <c r="B861" i="5" s="1"/>
  <c r="D860" i="6" l="1"/>
  <c r="D861" i="6" s="1"/>
  <c r="B860" i="6"/>
  <c r="B861" i="6" s="1"/>
  <c r="C861" i="5"/>
  <c r="B862" i="5" s="1"/>
  <c r="C861" i="6" l="1"/>
  <c r="C862" i="6" s="1"/>
  <c r="C862" i="5"/>
  <c r="B863" i="5" s="1"/>
  <c r="D862" i="6" l="1"/>
  <c r="D863" i="6" s="1"/>
  <c r="B862" i="6"/>
  <c r="B863" i="6" s="1"/>
  <c r="C863" i="6"/>
  <c r="C864" i="6" s="1"/>
  <c r="C863" i="5"/>
  <c r="B864" i="5" s="1"/>
  <c r="B864" i="6" l="1"/>
  <c r="B865" i="6" s="1"/>
  <c r="D864" i="6"/>
  <c r="D865" i="6" s="1"/>
  <c r="C864" i="5"/>
  <c r="B865" i="5" s="1"/>
  <c r="C865" i="6" l="1"/>
  <c r="C866" i="6" s="1"/>
  <c r="D866" i="6"/>
  <c r="B866" i="6"/>
  <c r="C867" i="6" s="1"/>
  <c r="D867" i="6"/>
  <c r="C865" i="5"/>
  <c r="B866" i="5" s="1"/>
  <c r="B867" i="6" l="1"/>
  <c r="B868" i="6" s="1"/>
  <c r="D868" i="6"/>
  <c r="C868" i="6"/>
  <c r="C866" i="5"/>
  <c r="B867" i="5" s="1"/>
  <c r="C869" i="6" l="1"/>
  <c r="D869" i="6"/>
  <c r="D870" i="6" s="1"/>
  <c r="B869" i="6"/>
  <c r="B870" i="6" s="1"/>
  <c r="C867" i="5"/>
  <c r="B868" i="5" s="1"/>
  <c r="C870" i="6" l="1"/>
  <c r="C871" i="6" s="1"/>
  <c r="C868" i="5"/>
  <c r="B869" i="5" s="1"/>
  <c r="D871" i="6" l="1"/>
  <c r="D872" i="6" s="1"/>
  <c r="B871" i="6"/>
  <c r="B872" i="6" s="1"/>
  <c r="C869" i="5"/>
  <c r="B870" i="5" s="1"/>
  <c r="C872" i="6" l="1"/>
  <c r="C873" i="6" s="1"/>
  <c r="C870" i="5"/>
  <c r="B871" i="5" s="1"/>
  <c r="D873" i="6" l="1"/>
  <c r="D874" i="6" s="1"/>
  <c r="B873" i="6"/>
  <c r="B874" i="6" s="1"/>
  <c r="C871" i="5"/>
  <c r="B872" i="5" s="1"/>
  <c r="C874" i="6" l="1"/>
  <c r="C875" i="6" s="1"/>
  <c r="C872" i="5"/>
  <c r="B873" i="5" s="1"/>
  <c r="D875" i="6" l="1"/>
  <c r="D876" i="6" s="1"/>
  <c r="B875" i="6"/>
  <c r="B876" i="6" s="1"/>
  <c r="C873" i="5"/>
  <c r="B874" i="5" s="1"/>
  <c r="C876" i="6" l="1"/>
  <c r="C877" i="6" s="1"/>
  <c r="C874" i="5"/>
  <c r="B875" i="5" s="1"/>
  <c r="D877" i="6" l="1"/>
  <c r="D878" i="6" s="1"/>
  <c r="B877" i="6"/>
  <c r="B878" i="6" s="1"/>
  <c r="C875" i="5"/>
  <c r="B876" i="5" s="1"/>
  <c r="C878" i="6" l="1"/>
  <c r="C879" i="6" s="1"/>
  <c r="C876" i="5"/>
  <c r="B877" i="5" s="1"/>
  <c r="D879" i="6" l="1"/>
  <c r="D880" i="6" s="1"/>
  <c r="B879" i="6"/>
  <c r="B880" i="6" s="1"/>
  <c r="C877" i="5"/>
  <c r="B878" i="5" s="1"/>
  <c r="C880" i="6" l="1"/>
  <c r="C881" i="6" s="1"/>
  <c r="C878" i="5"/>
  <c r="B879" i="5" s="1"/>
  <c r="B881" i="6" l="1"/>
  <c r="B882" i="6" s="1"/>
  <c r="D881" i="6"/>
  <c r="D882" i="6" s="1"/>
  <c r="C879" i="5"/>
  <c r="B880" i="5" s="1"/>
  <c r="C882" i="6" l="1"/>
  <c r="C883" i="6" s="1"/>
  <c r="C880" i="5"/>
  <c r="B881" i="5" s="1"/>
  <c r="B883" i="6" l="1"/>
  <c r="B884" i="6" s="1"/>
  <c r="D883" i="6"/>
  <c r="D884" i="6" s="1"/>
  <c r="C881" i="5"/>
  <c r="B882" i="5" s="1"/>
  <c r="C884" i="6" l="1"/>
  <c r="C885" i="6" s="1"/>
  <c r="C882" i="5"/>
  <c r="B883" i="5" s="1"/>
  <c r="B885" i="6" l="1"/>
  <c r="B886" i="6" s="1"/>
  <c r="D885" i="6"/>
  <c r="D886" i="6" s="1"/>
  <c r="C883" i="5"/>
  <c r="B884" i="5" s="1"/>
  <c r="C886" i="6" l="1"/>
  <c r="C887" i="6" s="1"/>
  <c r="C884" i="5"/>
  <c r="B885" i="5" s="1"/>
  <c r="B887" i="6" l="1"/>
  <c r="B888" i="6" s="1"/>
  <c r="D887" i="6"/>
  <c r="D888" i="6" s="1"/>
  <c r="C885" i="5"/>
  <c r="B886" i="5" s="1"/>
  <c r="C888" i="6" l="1"/>
  <c r="C889" i="6" s="1"/>
  <c r="C886" i="5"/>
  <c r="B887" i="5" s="1"/>
  <c r="B889" i="6" l="1"/>
  <c r="B890" i="6" s="1"/>
  <c r="D889" i="6"/>
  <c r="D890" i="6" s="1"/>
  <c r="C887" i="5"/>
  <c r="B888" i="5" s="1"/>
  <c r="C890" i="6" l="1"/>
  <c r="C891" i="6" s="1"/>
  <c r="C888" i="5"/>
  <c r="B889" i="5" s="1"/>
  <c r="B891" i="6" l="1"/>
  <c r="B892" i="6" s="1"/>
  <c r="D891" i="6"/>
  <c r="D892" i="6" s="1"/>
  <c r="C889" i="5"/>
  <c r="B890" i="5" s="1"/>
  <c r="C892" i="6" l="1"/>
  <c r="C893" i="6" s="1"/>
  <c r="C890" i="5"/>
  <c r="B891" i="5" s="1"/>
  <c r="B893" i="6" l="1"/>
  <c r="B894" i="6" s="1"/>
  <c r="D893" i="6"/>
  <c r="D894" i="6" s="1"/>
  <c r="C891" i="5"/>
  <c r="B892" i="5" s="1"/>
  <c r="C894" i="6" l="1"/>
  <c r="C895" i="6" s="1"/>
  <c r="C892" i="5"/>
  <c r="B893" i="5" s="1"/>
  <c r="B895" i="6" l="1"/>
  <c r="B896" i="6" s="1"/>
  <c r="D895" i="6"/>
  <c r="D896" i="6" s="1"/>
  <c r="C893" i="5"/>
  <c r="B894" i="5" s="1"/>
  <c r="C896" i="6" l="1"/>
  <c r="C897" i="6" s="1"/>
  <c r="C894" i="5"/>
  <c r="B895" i="5" s="1"/>
  <c r="B897" i="6" l="1"/>
  <c r="B898" i="6" s="1"/>
  <c r="D897" i="6"/>
  <c r="D898" i="6" s="1"/>
  <c r="C895" i="5"/>
  <c r="B896" i="5" s="1"/>
  <c r="C898" i="6" l="1"/>
  <c r="C899" i="6" s="1"/>
  <c r="C896" i="5"/>
  <c r="B897" i="5" s="1"/>
  <c r="B899" i="6" l="1"/>
  <c r="B900" i="6" s="1"/>
  <c r="D899" i="6"/>
  <c r="D900" i="6" s="1"/>
  <c r="C897" i="5"/>
  <c r="B898" i="5" s="1"/>
  <c r="C900" i="6" l="1"/>
  <c r="C901" i="6" s="1"/>
  <c r="C898" i="5"/>
  <c r="B899" i="5" s="1"/>
  <c r="B901" i="6" l="1"/>
  <c r="B902" i="6" s="1"/>
  <c r="D901" i="6"/>
  <c r="D902" i="6" s="1"/>
  <c r="C899" i="5"/>
  <c r="B900" i="5" s="1"/>
  <c r="C902" i="6" l="1"/>
  <c r="C900" i="5"/>
  <c r="B901" i="5" s="1"/>
  <c r="C901" i="5" l="1"/>
  <c r="B902" i="5" s="1"/>
  <c r="C902" i="5" l="1"/>
  <c r="B903" i="5" s="1"/>
  <c r="C903" i="5" l="1"/>
  <c r="B904" i="5" s="1"/>
  <c r="C904" i="5" l="1"/>
  <c r="B905" i="5" s="1"/>
  <c r="C905" i="5" l="1"/>
  <c r="B906" i="5" s="1"/>
  <c r="C906" i="5" l="1"/>
  <c r="B907" i="5" s="1"/>
  <c r="C907" i="5" l="1"/>
  <c r="B908" i="5" s="1"/>
  <c r="C908" i="5" l="1"/>
  <c r="B909" i="5" s="1"/>
  <c r="C909" i="5" l="1"/>
  <c r="B910" i="5" s="1"/>
  <c r="C910" i="5" l="1"/>
  <c r="B911" i="5" s="1"/>
  <c r="C911" i="5" l="1"/>
  <c r="B912" i="5" s="1"/>
  <c r="C912" i="5" l="1"/>
  <c r="B913" i="5" s="1"/>
  <c r="C913" i="5" l="1"/>
  <c r="B914" i="5" s="1"/>
  <c r="C914" i="5" l="1"/>
  <c r="B915" i="5" s="1"/>
  <c r="C915" i="5" l="1"/>
  <c r="B916" i="5" s="1"/>
  <c r="C916" i="5" l="1"/>
  <c r="B917" i="5" s="1"/>
  <c r="C917" i="5" l="1"/>
  <c r="B918" i="5" s="1"/>
  <c r="C918" i="5" l="1"/>
  <c r="B919" i="5" s="1"/>
  <c r="C919" i="5" l="1"/>
  <c r="B920" i="5" s="1"/>
  <c r="C920" i="5" l="1"/>
  <c r="B921" i="5" s="1"/>
  <c r="C921" i="5" l="1"/>
  <c r="B922" i="5" s="1"/>
  <c r="C922" i="5" l="1"/>
  <c r="B923" i="5" s="1"/>
  <c r="C923" i="5" l="1"/>
  <c r="B924" i="5" s="1"/>
  <c r="C924" i="5" l="1"/>
  <c r="B925" i="5" s="1"/>
  <c r="C925" i="5" l="1"/>
  <c r="B926" i="5" s="1"/>
  <c r="C926" i="5" l="1"/>
  <c r="B927" i="5" s="1"/>
  <c r="C927" i="5" l="1"/>
  <c r="B928" i="5" s="1"/>
  <c r="C928" i="5" l="1"/>
  <c r="B929" i="5" s="1"/>
  <c r="C929" i="5" l="1"/>
  <c r="B930" i="5" s="1"/>
  <c r="C930" i="5" l="1"/>
  <c r="B931" i="5" s="1"/>
  <c r="C931" i="5" l="1"/>
  <c r="B932" i="5" s="1"/>
  <c r="C932" i="5" l="1"/>
  <c r="B933" i="5" s="1"/>
  <c r="C933" i="5" l="1"/>
  <c r="B934" i="5" s="1"/>
  <c r="C934" i="5" l="1"/>
  <c r="B935" i="5" s="1"/>
  <c r="C935" i="5" l="1"/>
  <c r="B936" i="5" s="1"/>
  <c r="C936" i="5" l="1"/>
  <c r="B937" i="5" s="1"/>
  <c r="C937" i="5" l="1"/>
  <c r="B938" i="5" s="1"/>
  <c r="C938" i="5" l="1"/>
  <c r="B939" i="5" s="1"/>
  <c r="C939" i="5" l="1"/>
  <c r="B940" i="5" s="1"/>
  <c r="C940" i="5" l="1"/>
  <c r="B941" i="5" s="1"/>
  <c r="C941" i="5" l="1"/>
  <c r="B942" i="5" s="1"/>
  <c r="C942" i="5" l="1"/>
  <c r="B943" i="5" s="1"/>
  <c r="C943" i="5" l="1"/>
  <c r="B944" i="5" s="1"/>
  <c r="C944" i="5" l="1"/>
  <c r="B945" i="5" s="1"/>
  <c r="C945" i="5" l="1"/>
  <c r="B946" i="5" s="1"/>
  <c r="C946" i="5" l="1"/>
  <c r="B947" i="5" s="1"/>
  <c r="C947" i="5" l="1"/>
  <c r="B948" i="5" s="1"/>
  <c r="C948" i="5" l="1"/>
  <c r="B949" i="5" s="1"/>
  <c r="C949" i="5" l="1"/>
  <c r="B950" i="5" s="1"/>
  <c r="C950" i="5" l="1"/>
  <c r="B951" i="5" s="1"/>
  <c r="C951" i="5" l="1"/>
  <c r="B952" i="5" s="1"/>
  <c r="C952" i="5" l="1"/>
  <c r="B953" i="5" s="1"/>
  <c r="C953" i="5" l="1"/>
  <c r="B954" i="5" s="1"/>
  <c r="C954" i="5" l="1"/>
  <c r="B955" i="5" s="1"/>
  <c r="C955" i="5" l="1"/>
  <c r="B956" i="5" s="1"/>
  <c r="C956" i="5" l="1"/>
  <c r="B957" i="5" s="1"/>
  <c r="C957" i="5" l="1"/>
  <c r="B958" i="5" s="1"/>
  <c r="C958" i="5" l="1"/>
  <c r="B959" i="5" s="1"/>
  <c r="C959" i="5" l="1"/>
  <c r="B960" i="5" s="1"/>
  <c r="C960" i="5" l="1"/>
  <c r="B961" i="5" s="1"/>
  <c r="C961" i="5" l="1"/>
  <c r="B962" i="5" s="1"/>
  <c r="C962" i="5" l="1"/>
  <c r="B963" i="5" s="1"/>
  <c r="C963" i="5" l="1"/>
  <c r="B964" i="5" s="1"/>
  <c r="C964" i="5" l="1"/>
  <c r="B965" i="5" s="1"/>
  <c r="C965" i="5" l="1"/>
  <c r="B966" i="5" s="1"/>
  <c r="C966" i="5" l="1"/>
  <c r="B967" i="5" s="1"/>
  <c r="C967" i="5" l="1"/>
  <c r="B968" i="5" s="1"/>
  <c r="C968" i="5" l="1"/>
  <c r="B969" i="5" s="1"/>
  <c r="C969" i="5" l="1"/>
  <c r="B970" i="5" s="1"/>
  <c r="C970" i="5" l="1"/>
  <c r="B971" i="5" s="1"/>
  <c r="C971" i="5" l="1"/>
  <c r="B972" i="5" s="1"/>
  <c r="C972" i="5" l="1"/>
  <c r="B973" i="5" s="1"/>
  <c r="C973" i="5" l="1"/>
  <c r="B974" i="5" s="1"/>
  <c r="C974" i="5" l="1"/>
  <c r="B975" i="5" s="1"/>
  <c r="C975" i="5" l="1"/>
  <c r="B976" i="5" s="1"/>
  <c r="C976" i="5" l="1"/>
  <c r="B977" i="5" s="1"/>
  <c r="C977" i="5" l="1"/>
  <c r="B978" i="5" s="1"/>
  <c r="C978" i="5" l="1"/>
  <c r="B979" i="5" s="1"/>
  <c r="C979" i="5" l="1"/>
  <c r="B980" i="5" s="1"/>
  <c r="C980" i="5" l="1"/>
  <c r="B981" i="5" s="1"/>
  <c r="C981" i="5" l="1"/>
  <c r="B982" i="5" s="1"/>
  <c r="C982" i="5" l="1"/>
  <c r="B983" i="5" s="1"/>
  <c r="C983" i="5" l="1"/>
  <c r="B984" i="5" s="1"/>
  <c r="C984" i="5" l="1"/>
  <c r="B985" i="5" s="1"/>
  <c r="C985" i="5" l="1"/>
  <c r="B986" i="5" s="1"/>
  <c r="C986" i="5" l="1"/>
  <c r="B987" i="5" s="1"/>
  <c r="C987" i="5" l="1"/>
  <c r="B988" i="5" s="1"/>
  <c r="C988" i="5" l="1"/>
  <c r="B989" i="5" s="1"/>
  <c r="C989" i="5" l="1"/>
  <c r="B990" i="5" s="1"/>
  <c r="C990" i="5" l="1"/>
  <c r="B991" i="5" s="1"/>
  <c r="C991" i="5" l="1"/>
  <c r="B992" i="5" s="1"/>
  <c r="C992" i="5" l="1"/>
  <c r="B993" i="5" s="1"/>
  <c r="C993" i="5" l="1"/>
  <c r="B994" i="5" s="1"/>
  <c r="C994" i="5" l="1"/>
  <c r="B995" i="5" s="1"/>
  <c r="C995" i="5" l="1"/>
  <c r="B996" i="5" s="1"/>
  <c r="C996" i="5" l="1"/>
  <c r="B997" i="5" s="1"/>
  <c r="C997" i="5" l="1"/>
  <c r="B998" i="5" s="1"/>
  <c r="C998" i="5" l="1"/>
  <c r="B999" i="5" s="1"/>
  <c r="C999" i="5" l="1"/>
  <c r="B1000" i="5" s="1"/>
  <c r="C1000" i="5" l="1"/>
  <c r="B1001" i="5" s="1"/>
  <c r="C1001" i="5" l="1"/>
  <c r="B1002" i="5" s="1"/>
  <c r="C1002" i="5" l="1"/>
  <c r="B1003" i="5" s="1"/>
  <c r="C1003" i="5" l="1"/>
  <c r="B1004" i="5" s="1"/>
  <c r="C1004" i="5" l="1"/>
  <c r="B1005" i="5" s="1"/>
  <c r="C1005" i="5" l="1"/>
  <c r="B1006" i="5" s="1"/>
  <c r="C1006" i="5" l="1"/>
  <c r="B1007" i="5" s="1"/>
  <c r="C1007" i="5" l="1"/>
  <c r="B1008" i="5" s="1"/>
  <c r="C1008" i="5" l="1"/>
  <c r="B1009" i="5" s="1"/>
  <c r="C1009" i="5" l="1"/>
  <c r="B1010" i="5" s="1"/>
  <c r="C1010" i="5" l="1"/>
  <c r="B1011" i="5" s="1"/>
  <c r="C1011" i="5" l="1"/>
  <c r="B1012" i="5" s="1"/>
  <c r="C1012" i="5" l="1"/>
  <c r="B1013" i="5" s="1"/>
  <c r="C1013" i="5" l="1"/>
  <c r="B1014" i="5" s="1"/>
  <c r="C1014" i="5" l="1"/>
  <c r="B1015" i="5" s="1"/>
  <c r="C1015" i="5" l="1"/>
  <c r="B1016" i="5" s="1"/>
  <c r="C1016" i="5" l="1"/>
  <c r="B1017" i="5" s="1"/>
  <c r="C1017" i="5" l="1"/>
  <c r="B1018" i="5" s="1"/>
  <c r="C1018" i="5" l="1"/>
  <c r="B1019" i="5" s="1"/>
  <c r="C1019" i="5" l="1"/>
  <c r="B1020" i="5" s="1"/>
  <c r="C1020" i="5" l="1"/>
  <c r="B1021" i="5" s="1"/>
  <c r="C1021" i="5" l="1"/>
  <c r="B1022" i="5" s="1"/>
  <c r="C1022" i="5" l="1"/>
  <c r="B1023" i="5" s="1"/>
  <c r="C1023" i="5" l="1"/>
  <c r="B1024" i="5" s="1"/>
  <c r="C1024" i="5" l="1"/>
  <c r="B1025" i="5" s="1"/>
  <c r="C1025" i="5" l="1"/>
  <c r="B1026" i="5" s="1"/>
  <c r="C1026" i="5" l="1"/>
  <c r="B1027" i="5" s="1"/>
  <c r="C1027" i="5" l="1"/>
  <c r="B1028" i="5" s="1"/>
  <c r="C1028" i="5" l="1"/>
  <c r="B1029" i="5" s="1"/>
  <c r="C1029" i="5" l="1"/>
  <c r="B1030" i="5" s="1"/>
  <c r="C1030" i="5" l="1"/>
  <c r="B1031" i="5" s="1"/>
  <c r="C1031" i="5" l="1"/>
  <c r="B1032" i="5" s="1"/>
  <c r="C1032" i="5" l="1"/>
  <c r="B1033" i="5" s="1"/>
  <c r="C1033" i="5" l="1"/>
  <c r="B1034" i="5" s="1"/>
  <c r="C1034" i="5" l="1"/>
  <c r="B1035" i="5" s="1"/>
  <c r="C1035" i="5" l="1"/>
  <c r="B1036" i="5" s="1"/>
  <c r="C1036" i="5" l="1"/>
  <c r="B1037" i="5" s="1"/>
  <c r="C1037" i="5" l="1"/>
  <c r="B1038" i="5" s="1"/>
  <c r="C1038" i="5" l="1"/>
  <c r="B1039" i="5" s="1"/>
  <c r="C1039" i="5" l="1"/>
  <c r="B1040" i="5" s="1"/>
  <c r="C1040" i="5" l="1"/>
  <c r="B1041" i="5" s="1"/>
  <c r="C1041" i="5" l="1"/>
  <c r="B1042" i="5" s="1"/>
  <c r="C1042" i="5" l="1"/>
  <c r="B1043" i="5" s="1"/>
  <c r="C1043" i="5" l="1"/>
  <c r="B1044" i="5" s="1"/>
  <c r="C1044" i="5" l="1"/>
  <c r="B1045" i="5" s="1"/>
  <c r="C1045" i="5" l="1"/>
  <c r="B1046" i="5" s="1"/>
  <c r="C1046" i="5" l="1"/>
  <c r="B1047" i="5" s="1"/>
  <c r="C1047" i="5" l="1"/>
  <c r="B1048" i="5" s="1"/>
  <c r="C1048" i="5" l="1"/>
  <c r="B1049" i="5" s="1"/>
  <c r="C1049" i="5" l="1"/>
  <c r="B1050" i="5" s="1"/>
  <c r="C1050" i="5" l="1"/>
  <c r="B1051" i="5" s="1"/>
  <c r="C1051" i="5" l="1"/>
  <c r="B1052" i="5" s="1"/>
  <c r="C1052" i="5" l="1"/>
  <c r="B1053" i="5" s="1"/>
  <c r="C1053" i="5" l="1"/>
  <c r="B1054" i="5" s="1"/>
  <c r="C1054" i="5" l="1"/>
  <c r="B1055" i="5" s="1"/>
  <c r="C1055" i="5" l="1"/>
  <c r="B1056" i="5" s="1"/>
  <c r="C1056" i="5" l="1"/>
  <c r="B1057" i="5" s="1"/>
  <c r="C1057" i="5" l="1"/>
  <c r="B1058" i="5" s="1"/>
  <c r="C1058" i="5" l="1"/>
  <c r="B1059" i="5" s="1"/>
  <c r="C1059" i="5" l="1"/>
  <c r="B1060" i="5" s="1"/>
  <c r="C1060" i="5" l="1"/>
  <c r="B1061" i="5" s="1"/>
  <c r="C1061" i="5" l="1"/>
  <c r="B1062" i="5" s="1"/>
  <c r="C1062" i="5" l="1"/>
  <c r="B1063" i="5" s="1"/>
  <c r="C1063" i="5" l="1"/>
  <c r="B1064" i="5" s="1"/>
  <c r="C1064" i="5" l="1"/>
  <c r="B1065" i="5" s="1"/>
  <c r="C1065" i="5" l="1"/>
  <c r="B1066" i="5" s="1"/>
  <c r="C1066" i="5" l="1"/>
  <c r="B1067" i="5" s="1"/>
  <c r="C1067" i="5" l="1"/>
  <c r="B1068" i="5" s="1"/>
  <c r="C1068" i="5" l="1"/>
  <c r="B1069" i="5" s="1"/>
  <c r="C1069" i="5" l="1"/>
  <c r="B1070" i="5" s="1"/>
  <c r="C1070" i="5" l="1"/>
  <c r="B1071" i="5" s="1"/>
  <c r="C1071" i="5" l="1"/>
  <c r="B1072" i="5" s="1"/>
  <c r="C1072" i="5" l="1"/>
  <c r="B1073" i="5" s="1"/>
  <c r="C1073" i="5" l="1"/>
  <c r="B1074" i="5" s="1"/>
  <c r="C1074" i="5" l="1"/>
  <c r="B1075" i="5" s="1"/>
  <c r="C1075" i="5" l="1"/>
  <c r="B1076" i="5" s="1"/>
  <c r="C1076" i="5" l="1"/>
  <c r="B1077" i="5" s="1"/>
  <c r="C1077" i="5" l="1"/>
  <c r="B1078" i="5" s="1"/>
  <c r="C1078" i="5" l="1"/>
  <c r="B1079" i="5" s="1"/>
  <c r="C1079" i="5" l="1"/>
  <c r="B1080" i="5" s="1"/>
  <c r="C1080" i="5" l="1"/>
  <c r="B1081" i="5" s="1"/>
  <c r="C1081" i="5" l="1"/>
  <c r="B1082" i="5" s="1"/>
  <c r="C1082" i="5" l="1"/>
  <c r="B1083" i="5" s="1"/>
  <c r="C1083" i="5" l="1"/>
  <c r="B1084" i="5" s="1"/>
  <c r="C1084" i="5" l="1"/>
  <c r="B1085" i="5" s="1"/>
  <c r="C1085" i="5" l="1"/>
  <c r="B1086" i="5" s="1"/>
  <c r="C1086" i="5" l="1"/>
  <c r="B1087" i="5" s="1"/>
  <c r="C1087" i="5" l="1"/>
  <c r="B1088" i="5" s="1"/>
  <c r="C1088" i="5" l="1"/>
  <c r="B1089" i="5" s="1"/>
  <c r="C1089" i="5" l="1"/>
  <c r="B1090" i="5" s="1"/>
  <c r="C1090" i="5" l="1"/>
  <c r="B1091" i="5" s="1"/>
  <c r="C1091" i="5" l="1"/>
  <c r="B1092" i="5" s="1"/>
  <c r="C1092" i="5" l="1"/>
  <c r="B1093" i="5" s="1"/>
  <c r="C1093" i="5" l="1"/>
  <c r="B1094" i="5" s="1"/>
  <c r="C1094" i="5" l="1"/>
  <c r="B1095" i="5" s="1"/>
  <c r="C1095" i="5" l="1"/>
  <c r="B1096" i="5" s="1"/>
  <c r="C1096" i="5" l="1"/>
  <c r="B1097" i="5" s="1"/>
  <c r="C1097" i="5" l="1"/>
  <c r="B1098" i="5" s="1"/>
  <c r="C1098" i="5" l="1"/>
  <c r="B1099" i="5" s="1"/>
  <c r="C1099" i="5" l="1"/>
  <c r="B1100" i="5" s="1"/>
  <c r="C1100" i="5" l="1"/>
  <c r="B1101" i="5" s="1"/>
  <c r="C1101" i="5" l="1"/>
  <c r="B1102" i="5" s="1"/>
  <c r="C1102" i="5" l="1"/>
  <c r="B1103" i="5" s="1"/>
  <c r="C1103" i="5" l="1"/>
  <c r="B1104" i="5" s="1"/>
  <c r="C1104" i="5" l="1"/>
  <c r="B1105" i="5" s="1"/>
  <c r="C1105" i="5" l="1"/>
  <c r="B1106" i="5" s="1"/>
  <c r="C1106" i="5" l="1"/>
  <c r="B1107" i="5" s="1"/>
  <c r="C1107" i="5" l="1"/>
  <c r="B1108" i="5" s="1"/>
  <c r="C1108" i="5" l="1"/>
  <c r="B1109" i="5" s="1"/>
  <c r="C1109" i="5" l="1"/>
  <c r="B1110" i="5" s="1"/>
  <c r="C1110" i="5" l="1"/>
  <c r="B1111" i="5" s="1"/>
  <c r="C1111" i="5" l="1"/>
  <c r="B1112" i="5" s="1"/>
  <c r="C1112" i="5" l="1"/>
  <c r="B1113" i="5" s="1"/>
  <c r="C1113" i="5" l="1"/>
  <c r="B1114" i="5" s="1"/>
  <c r="C1114" i="5" l="1"/>
  <c r="B1115" i="5" s="1"/>
  <c r="C1115" i="5" l="1"/>
  <c r="B1116" i="5" s="1"/>
  <c r="C1116" i="5" l="1"/>
  <c r="B1117" i="5" s="1"/>
  <c r="C1117" i="5" l="1"/>
  <c r="B1118" i="5" s="1"/>
  <c r="C1118" i="5" l="1"/>
  <c r="B1119" i="5" s="1"/>
  <c r="C1119" i="5" l="1"/>
  <c r="B1120" i="5" s="1"/>
  <c r="C1120" i="5" l="1"/>
  <c r="B1121" i="5" s="1"/>
  <c r="C1121" i="5" l="1"/>
  <c r="B1122" i="5" s="1"/>
  <c r="C1122" i="5" l="1"/>
  <c r="B1123" i="5" s="1"/>
  <c r="C1123" i="5" l="1"/>
  <c r="B1124" i="5" s="1"/>
  <c r="C1124" i="5" l="1"/>
  <c r="B1125" i="5" s="1"/>
  <c r="C1125" i="5" l="1"/>
  <c r="B1126" i="5" s="1"/>
  <c r="C1126" i="5" l="1"/>
  <c r="B1127" i="5" s="1"/>
  <c r="C1127" i="5" l="1"/>
  <c r="B1128" i="5" s="1"/>
  <c r="C1128" i="5" l="1"/>
  <c r="B1129" i="5" s="1"/>
  <c r="C1129" i="5" l="1"/>
  <c r="B1130" i="5" s="1"/>
  <c r="C1130" i="5" l="1"/>
  <c r="B1131" i="5" s="1"/>
  <c r="C1131" i="5" l="1"/>
  <c r="B1132" i="5" s="1"/>
  <c r="C1132" i="5" l="1"/>
  <c r="B1133" i="5" s="1"/>
  <c r="C1133" i="5" l="1"/>
  <c r="B1134" i="5" s="1"/>
  <c r="C1134" i="5" l="1"/>
  <c r="B1135" i="5" s="1"/>
  <c r="C1135" i="5" l="1"/>
  <c r="B1136" i="5" s="1"/>
  <c r="C1136" i="5" l="1"/>
  <c r="B1137" i="5" s="1"/>
  <c r="C1137" i="5" l="1"/>
  <c r="B1138" i="5" s="1"/>
  <c r="C1138" i="5" l="1"/>
  <c r="B1139" i="5" s="1"/>
  <c r="C1139" i="5" l="1"/>
  <c r="B1140" i="5" s="1"/>
  <c r="C1140" i="5" l="1"/>
  <c r="B1141" i="5" s="1"/>
  <c r="C1141" i="5" l="1"/>
  <c r="B1142" i="5" s="1"/>
  <c r="C1142" i="5" l="1"/>
  <c r="B1143" i="5" s="1"/>
  <c r="C1143" i="5" l="1"/>
  <c r="B1144" i="5" s="1"/>
  <c r="C1144" i="5" l="1"/>
  <c r="B1145" i="5" s="1"/>
  <c r="C1145" i="5" l="1"/>
  <c r="B1146" i="5" s="1"/>
  <c r="C1146" i="5" l="1"/>
  <c r="B1147" i="5" s="1"/>
  <c r="C1147" i="5" l="1"/>
  <c r="B1148" i="5" s="1"/>
  <c r="C1148" i="5" l="1"/>
  <c r="B1149" i="5" s="1"/>
  <c r="C1149" i="5" l="1"/>
  <c r="B1150" i="5" s="1"/>
  <c r="C1150" i="5" l="1"/>
  <c r="B1151" i="5" s="1"/>
  <c r="C1151" i="5" l="1"/>
  <c r="B1152" i="5" s="1"/>
  <c r="C1152" i="5" l="1"/>
  <c r="B1153" i="5" s="1"/>
  <c r="C1153" i="5" l="1"/>
  <c r="B1154" i="5" s="1"/>
  <c r="C1154" i="5" l="1"/>
  <c r="B1155" i="5" s="1"/>
  <c r="C1155" i="5" l="1"/>
  <c r="B1156" i="5" s="1"/>
  <c r="C1156" i="5" l="1"/>
  <c r="B1157" i="5" s="1"/>
  <c r="C1157" i="5" l="1"/>
  <c r="B1158" i="5" s="1"/>
  <c r="C1158" i="5" l="1"/>
  <c r="B1159" i="5" s="1"/>
  <c r="C1159" i="5" l="1"/>
  <c r="B1160" i="5" s="1"/>
  <c r="C1160" i="5" l="1"/>
  <c r="B1161" i="5" s="1"/>
  <c r="C1161" i="5" l="1"/>
  <c r="B1162" i="5" s="1"/>
  <c r="C1162" i="5" l="1"/>
  <c r="B1163" i="5" s="1"/>
  <c r="C1163" i="5" l="1"/>
  <c r="B1164" i="5" s="1"/>
  <c r="C1164" i="5" l="1"/>
  <c r="B1165" i="5" s="1"/>
  <c r="C1165" i="5" l="1"/>
  <c r="B1166" i="5" s="1"/>
  <c r="C1166" i="5" l="1"/>
  <c r="B1167" i="5" s="1"/>
  <c r="C1167" i="5" l="1"/>
  <c r="B1168" i="5" s="1"/>
  <c r="C1168" i="5" l="1"/>
  <c r="B1169" i="5" s="1"/>
  <c r="C1169" i="5" l="1"/>
  <c r="B1170" i="5" s="1"/>
  <c r="C1170" i="5" l="1"/>
  <c r="B1171" i="5" s="1"/>
  <c r="C1171" i="5" l="1"/>
  <c r="B1172" i="5" s="1"/>
  <c r="C1172" i="5" l="1"/>
  <c r="B1173" i="5" s="1"/>
  <c r="C1173" i="5" l="1"/>
  <c r="B1174" i="5" s="1"/>
  <c r="C1174" i="5" l="1"/>
  <c r="B1175" i="5" s="1"/>
  <c r="C1175" i="5" l="1"/>
  <c r="B1176" i="5" s="1"/>
  <c r="C1176" i="5" l="1"/>
  <c r="B1177" i="5" s="1"/>
  <c r="C1177" i="5" l="1"/>
  <c r="B1178" i="5" s="1"/>
  <c r="C1178" i="5" l="1"/>
  <c r="B1179" i="5" s="1"/>
  <c r="C1179" i="5" l="1"/>
  <c r="B1180" i="5" s="1"/>
  <c r="C1180" i="5" l="1"/>
  <c r="B1181" i="5" s="1"/>
  <c r="C1181" i="5" l="1"/>
  <c r="B1182" i="5" s="1"/>
  <c r="C1182" i="5" l="1"/>
  <c r="B1183" i="5" s="1"/>
  <c r="C1183" i="5" l="1"/>
  <c r="B1184" i="5" s="1"/>
  <c r="C1184" i="5" l="1"/>
  <c r="B1185" i="5" s="1"/>
  <c r="C1185" i="5" l="1"/>
  <c r="B1186" i="5" s="1"/>
  <c r="C1186" i="5" l="1"/>
  <c r="B1187" i="5" s="1"/>
  <c r="C1187" i="5" l="1"/>
  <c r="B1188" i="5" s="1"/>
  <c r="C1188" i="5" l="1"/>
  <c r="B1189" i="5" s="1"/>
  <c r="C1189" i="5" l="1"/>
  <c r="B1190" i="5" s="1"/>
  <c r="C1190" i="5" l="1"/>
  <c r="B1191" i="5" s="1"/>
  <c r="C1191" i="5" l="1"/>
  <c r="B1192" i="5" s="1"/>
  <c r="C1192" i="5" l="1"/>
  <c r="B1193" i="5" s="1"/>
  <c r="C1193" i="5" l="1"/>
  <c r="B1194" i="5" s="1"/>
  <c r="C1194" i="5" l="1"/>
  <c r="B1195" i="5" s="1"/>
  <c r="C1195" i="5" l="1"/>
  <c r="B1196" i="5" s="1"/>
  <c r="C1196" i="5" l="1"/>
  <c r="B1197" i="5" s="1"/>
  <c r="C1197" i="5" l="1"/>
  <c r="B1198" i="5" s="1"/>
  <c r="C1198" i="5" l="1"/>
  <c r="B1199" i="5" s="1"/>
  <c r="C1199" i="5" l="1"/>
  <c r="B1200" i="5" s="1"/>
  <c r="C1200" i="5" l="1"/>
  <c r="B1201" i="5" s="1"/>
  <c r="C1201" i="5" l="1"/>
  <c r="B1202" i="5" s="1"/>
  <c r="C1202" i="5" l="1"/>
  <c r="B1203" i="5" s="1"/>
  <c r="C1203" i="5" l="1"/>
  <c r="B1204" i="5" s="1"/>
  <c r="C1204" i="5" l="1"/>
  <c r="B1205" i="5" s="1"/>
  <c r="C1205" i="5" l="1"/>
  <c r="B1206" i="5" s="1"/>
  <c r="C1206" i="5" l="1"/>
  <c r="B1207" i="5" s="1"/>
  <c r="C1207" i="5" l="1"/>
  <c r="B1208" i="5" s="1"/>
  <c r="C1208" i="5" l="1"/>
  <c r="B1209" i="5" s="1"/>
  <c r="C1209" i="5" l="1"/>
  <c r="B1210" i="5" s="1"/>
  <c r="C1210" i="5" l="1"/>
  <c r="B1211" i="5" s="1"/>
  <c r="C1211" i="5" l="1"/>
  <c r="B1212" i="5" s="1"/>
  <c r="C1212" i="5" l="1"/>
  <c r="B1213" i="5" s="1"/>
  <c r="C1213" i="5" l="1"/>
  <c r="B1214" i="5" s="1"/>
  <c r="C1214" i="5" l="1"/>
  <c r="B1215" i="5" s="1"/>
  <c r="C1215" i="5" l="1"/>
  <c r="B1216" i="5" s="1"/>
  <c r="C1216" i="5" l="1"/>
  <c r="B1217" i="5" s="1"/>
  <c r="C1217" i="5" l="1"/>
  <c r="B1218" i="5" s="1"/>
  <c r="C1218" i="5" l="1"/>
  <c r="B1219" i="5" s="1"/>
  <c r="C1219" i="5" l="1"/>
  <c r="B1220" i="5" s="1"/>
  <c r="C1220" i="5" l="1"/>
  <c r="B1221" i="5" s="1"/>
  <c r="C1221" i="5" l="1"/>
  <c r="B1222" i="5" s="1"/>
  <c r="C1222" i="5" l="1"/>
  <c r="B1223" i="5" s="1"/>
  <c r="C1223" i="5" l="1"/>
  <c r="B1224" i="5" s="1"/>
  <c r="C1224" i="5" l="1"/>
  <c r="B1225" i="5" s="1"/>
  <c r="C1225" i="5" l="1"/>
  <c r="B1226" i="5" s="1"/>
  <c r="C1226" i="5" l="1"/>
  <c r="B1227" i="5" s="1"/>
  <c r="C1227" i="5" l="1"/>
  <c r="B1228" i="5" s="1"/>
  <c r="C1228" i="5" l="1"/>
  <c r="B1229" i="5" s="1"/>
  <c r="C1229" i="5" l="1"/>
  <c r="B1230" i="5" s="1"/>
  <c r="C1230" i="5" l="1"/>
  <c r="B1231" i="5" s="1"/>
  <c r="C1231" i="5" l="1"/>
  <c r="B1232" i="5" s="1"/>
  <c r="C1232" i="5" l="1"/>
  <c r="B1233" i="5" s="1"/>
  <c r="C1233" i="5" l="1"/>
  <c r="B1234" i="5" s="1"/>
  <c r="C1234" i="5" l="1"/>
  <c r="B1235" i="5" s="1"/>
  <c r="C1235" i="5" l="1"/>
  <c r="B1236" i="5" s="1"/>
  <c r="C1236" i="5" l="1"/>
  <c r="B1237" i="5" s="1"/>
  <c r="C1237" i="5" l="1"/>
  <c r="B1238" i="5" s="1"/>
  <c r="C1238" i="5" l="1"/>
  <c r="B1239" i="5" s="1"/>
  <c r="C1239" i="5" l="1"/>
  <c r="B1240" i="5" s="1"/>
  <c r="C1240" i="5" l="1"/>
  <c r="B1241" i="5" s="1"/>
  <c r="C1241" i="5" l="1"/>
  <c r="B1242" i="5" s="1"/>
  <c r="C1242" i="5" l="1"/>
  <c r="B1243" i="5" s="1"/>
  <c r="C1243" i="5" l="1"/>
  <c r="B1244" i="5" s="1"/>
  <c r="C1244" i="5" l="1"/>
  <c r="B1245" i="5" s="1"/>
  <c r="C1245" i="5" l="1"/>
  <c r="B1246" i="5" s="1"/>
  <c r="C1246" i="5" l="1"/>
  <c r="B1247" i="5" s="1"/>
  <c r="C1247" i="5" l="1"/>
  <c r="B1248" i="5" s="1"/>
  <c r="C1248" i="5" l="1"/>
  <c r="B1249" i="5" s="1"/>
  <c r="C1249" i="5" l="1"/>
  <c r="B1250" i="5" s="1"/>
  <c r="C1250" i="5" l="1"/>
  <c r="B1251" i="5" s="1"/>
  <c r="C1251" i="5" l="1"/>
  <c r="B1252" i="5" s="1"/>
  <c r="C1252" i="5" l="1"/>
  <c r="B1253" i="5" s="1"/>
  <c r="C1253" i="5" l="1"/>
  <c r="B1254" i="5" s="1"/>
  <c r="C1254" i="5" l="1"/>
  <c r="B1255" i="5" s="1"/>
  <c r="C1255" i="5" l="1"/>
  <c r="B1256" i="5" s="1"/>
  <c r="C1256" i="5" l="1"/>
  <c r="B1257" i="5" s="1"/>
  <c r="C1257" i="5" l="1"/>
  <c r="B1258" i="5" s="1"/>
  <c r="C1258" i="5" l="1"/>
  <c r="B1259" i="5" s="1"/>
  <c r="C1259" i="5" l="1"/>
  <c r="B1260" i="5" s="1"/>
  <c r="C1260" i="5" l="1"/>
  <c r="B1261" i="5" s="1"/>
  <c r="C1261" i="5" l="1"/>
  <c r="B1262" i="5" s="1"/>
  <c r="C1262" i="5" l="1"/>
  <c r="B1263" i="5" s="1"/>
  <c r="C1263" i="5" l="1"/>
  <c r="B1264" i="5" s="1"/>
  <c r="C1264" i="5" l="1"/>
  <c r="B1265" i="5" s="1"/>
  <c r="C1265" i="5" l="1"/>
  <c r="B1266" i="5" s="1"/>
  <c r="C1266" i="5" l="1"/>
  <c r="B1267" i="5" s="1"/>
  <c r="C1267" i="5" l="1"/>
  <c r="B1268" i="5" s="1"/>
  <c r="C1268" i="5" l="1"/>
  <c r="B1269" i="5" s="1"/>
  <c r="C1269" i="5" l="1"/>
  <c r="B1270" i="5" s="1"/>
  <c r="C1270" i="5" l="1"/>
  <c r="B1271" i="5" s="1"/>
  <c r="C1271" i="5" l="1"/>
  <c r="B1272" i="5" s="1"/>
  <c r="C1272" i="5" l="1"/>
  <c r="B1273" i="5" s="1"/>
  <c r="C1273" i="5" l="1"/>
  <c r="B1274" i="5" s="1"/>
  <c r="C1274" i="5" l="1"/>
  <c r="B1275" i="5" s="1"/>
  <c r="C1275" i="5" l="1"/>
  <c r="B1276" i="5" s="1"/>
  <c r="C1276" i="5" l="1"/>
  <c r="B1277" i="5" s="1"/>
  <c r="C1277" i="5" l="1"/>
  <c r="B1278" i="5" s="1"/>
  <c r="C1278" i="5" l="1"/>
  <c r="B1279" i="5" s="1"/>
  <c r="C1279" i="5" l="1"/>
  <c r="B1280" i="5" s="1"/>
  <c r="C1280" i="5" l="1"/>
  <c r="B1281" i="5" s="1"/>
  <c r="C1281" i="5" l="1"/>
  <c r="B1282" i="5" s="1"/>
  <c r="C1282" i="5" l="1"/>
  <c r="B1283" i="5" s="1"/>
  <c r="C1283" i="5" l="1"/>
  <c r="B1284" i="5" s="1"/>
  <c r="C1284" i="5" l="1"/>
  <c r="B1285" i="5" s="1"/>
  <c r="C1285" i="5" l="1"/>
  <c r="B1286" i="5" s="1"/>
  <c r="C1286" i="5" l="1"/>
  <c r="B1287" i="5" s="1"/>
  <c r="C1287" i="5" l="1"/>
  <c r="B1288" i="5" s="1"/>
  <c r="C1288" i="5" l="1"/>
  <c r="B1289" i="5" s="1"/>
  <c r="C1289" i="5" l="1"/>
  <c r="B1290" i="5" s="1"/>
  <c r="C1290" i="5" l="1"/>
  <c r="B1291" i="5" s="1"/>
  <c r="C1291" i="5" l="1"/>
  <c r="B1292" i="5" s="1"/>
  <c r="C1292" i="5" l="1"/>
  <c r="B1293" i="5" s="1"/>
  <c r="C1293" i="5" l="1"/>
  <c r="B1294" i="5" s="1"/>
  <c r="C1294" i="5" l="1"/>
  <c r="B1295" i="5" s="1"/>
  <c r="C1295" i="5" l="1"/>
  <c r="B1296" i="5" s="1"/>
  <c r="C1296" i="5" l="1"/>
  <c r="B1297" i="5" s="1"/>
  <c r="C1297" i="5" l="1"/>
  <c r="B1298" i="5" s="1"/>
  <c r="C1298" i="5" l="1"/>
  <c r="B1299" i="5" s="1"/>
  <c r="C1299" i="5" l="1"/>
  <c r="B1300" i="5" s="1"/>
  <c r="C1300" i="5" l="1"/>
  <c r="B1301" i="5" s="1"/>
  <c r="C1301" i="5" l="1"/>
  <c r="B1302" i="5" s="1"/>
  <c r="C1302" i="5" l="1"/>
  <c r="B1303" i="5" s="1"/>
  <c r="C1303" i="5" l="1"/>
  <c r="B1304" i="5" s="1"/>
  <c r="C1304" i="5" l="1"/>
  <c r="B1305" i="5" s="1"/>
  <c r="C1305" i="5" l="1"/>
  <c r="B1306" i="5" s="1"/>
  <c r="C1306" i="5" l="1"/>
  <c r="B1307" i="5" s="1"/>
  <c r="C1307" i="5" l="1"/>
  <c r="B1308" i="5" s="1"/>
  <c r="C1308" i="5" l="1"/>
  <c r="B1309" i="5" s="1"/>
  <c r="C1309" i="5" l="1"/>
  <c r="B1310" i="5" s="1"/>
  <c r="C1310" i="5" l="1"/>
  <c r="B1311" i="5" s="1"/>
  <c r="C1311" i="5" l="1"/>
  <c r="B1312" i="5" s="1"/>
  <c r="C1312" i="5" l="1"/>
  <c r="B1313" i="5" s="1"/>
  <c r="C1313" i="5" l="1"/>
  <c r="B1314" i="5" s="1"/>
  <c r="C1314" i="5" l="1"/>
  <c r="B1315" i="5" s="1"/>
  <c r="C1315" i="5" l="1"/>
  <c r="B1316" i="5" s="1"/>
  <c r="C1316" i="5" l="1"/>
  <c r="B1317" i="5" s="1"/>
  <c r="C1317" i="5" l="1"/>
  <c r="B1318" i="5" s="1"/>
  <c r="C1318" i="5" l="1"/>
  <c r="B1319" i="5" s="1"/>
  <c r="C1319" i="5" l="1"/>
  <c r="B1320" i="5" s="1"/>
  <c r="C1320" i="5" l="1"/>
  <c r="B1321" i="5" s="1"/>
  <c r="C1321" i="5" l="1"/>
  <c r="B1322" i="5" s="1"/>
  <c r="C1322" i="5" l="1"/>
  <c r="B1323" i="5" s="1"/>
  <c r="C1323" i="5" l="1"/>
  <c r="B1324" i="5" s="1"/>
  <c r="C1324" i="5" l="1"/>
  <c r="B1325" i="5" s="1"/>
  <c r="C1325" i="5" l="1"/>
  <c r="B1326" i="5" s="1"/>
  <c r="C1326" i="5" l="1"/>
  <c r="B1327" i="5" s="1"/>
  <c r="C1327" i="5" l="1"/>
  <c r="B1328" i="5" s="1"/>
  <c r="C1328" i="5" l="1"/>
  <c r="B1329" i="5" s="1"/>
  <c r="C1329" i="5" l="1"/>
  <c r="B1330" i="5" s="1"/>
  <c r="C1330" i="5" l="1"/>
  <c r="B1331" i="5" s="1"/>
  <c r="C1331" i="5" l="1"/>
  <c r="B1332" i="5" s="1"/>
  <c r="C1332" i="5" l="1"/>
  <c r="B1333" i="5" s="1"/>
  <c r="C1333" i="5" l="1"/>
  <c r="B1334" i="5" s="1"/>
  <c r="C1334" i="5" l="1"/>
  <c r="B1335" i="5" s="1"/>
  <c r="C1335" i="5" l="1"/>
  <c r="B1336" i="5" s="1"/>
  <c r="C1336" i="5" l="1"/>
  <c r="B1337" i="5" s="1"/>
  <c r="C1337" i="5" l="1"/>
  <c r="B1338" i="5" s="1"/>
  <c r="C1338" i="5" l="1"/>
  <c r="B1339" i="5" s="1"/>
  <c r="C1339" i="5" l="1"/>
  <c r="B1340" i="5" s="1"/>
  <c r="C1340" i="5" l="1"/>
  <c r="B1341" i="5" s="1"/>
  <c r="C1341" i="5" l="1"/>
  <c r="B1342" i="5" s="1"/>
  <c r="C1342" i="5" l="1"/>
  <c r="B1343" i="5" s="1"/>
  <c r="C1343" i="5" l="1"/>
  <c r="B1344" i="5" s="1"/>
  <c r="C1344" i="5" l="1"/>
  <c r="B1345" i="5" s="1"/>
  <c r="C1345" i="5" l="1"/>
  <c r="B1346" i="5" s="1"/>
  <c r="C1346" i="5" l="1"/>
  <c r="B1347" i="5" s="1"/>
  <c r="C1347" i="5" l="1"/>
  <c r="B1348" i="5" s="1"/>
  <c r="C1348" i="5" l="1"/>
  <c r="B1349" i="5" s="1"/>
  <c r="C1349" i="5" l="1"/>
  <c r="B1350" i="5" s="1"/>
  <c r="C1350" i="5" l="1"/>
  <c r="B1351" i="5" s="1"/>
  <c r="C1351" i="5" l="1"/>
  <c r="B1352" i="5" s="1"/>
  <c r="C1352" i="5" l="1"/>
  <c r="B1353" i="5" s="1"/>
  <c r="C1353" i="5" l="1"/>
  <c r="B1354" i="5" s="1"/>
  <c r="C1354" i="5" l="1"/>
  <c r="B1355" i="5" s="1"/>
  <c r="C1355" i="5" l="1"/>
  <c r="B1356" i="5" s="1"/>
  <c r="C1356" i="5" l="1"/>
  <c r="B1357" i="5" s="1"/>
  <c r="C1357" i="5" l="1"/>
  <c r="B1358" i="5" s="1"/>
  <c r="C1358" i="5" l="1"/>
  <c r="B1359" i="5" s="1"/>
  <c r="C1359" i="5" l="1"/>
  <c r="B1360" i="5"/>
  <c r="C1360" i="5"/>
  <c r="B1361" i="5" l="1"/>
  <c r="C1361" i="5"/>
  <c r="B1362" i="5" l="1"/>
  <c r="C1362" i="5"/>
  <c r="B1363" i="5" l="1"/>
  <c r="C1363" i="5"/>
  <c r="B1364" i="5" l="1"/>
  <c r="C1364" i="5"/>
  <c r="B1365" i="5" l="1"/>
  <c r="C1365" i="5"/>
  <c r="B1366" i="5" l="1"/>
  <c r="C1366" i="5"/>
  <c r="B1367" i="5" s="1"/>
  <c r="C1367" i="5" l="1"/>
  <c r="B1368" i="5" l="1"/>
  <c r="C1368" i="5"/>
  <c r="B1369" i="5" l="1"/>
  <c r="C1369" i="5"/>
  <c r="B1370" i="5" l="1"/>
  <c r="C1370" i="5"/>
  <c r="B1371" i="5" l="1"/>
  <c r="C1371" i="5"/>
  <c r="B1372" i="5" l="1"/>
  <c r="C1372" i="5"/>
  <c r="B1373" i="5" l="1"/>
  <c r="C1373" i="5"/>
  <c r="B1374" i="5" l="1"/>
  <c r="C1374" i="5"/>
  <c r="B1375" i="5" l="1"/>
  <c r="C1375" i="5"/>
  <c r="B1376" i="5" l="1"/>
  <c r="C1376" i="5"/>
  <c r="B1377" i="5" l="1"/>
  <c r="C1377" i="5"/>
  <c r="B1378" i="5" l="1"/>
  <c r="C1378" i="5"/>
  <c r="B1379" i="5" l="1"/>
  <c r="C1379" i="5"/>
  <c r="B1380" i="5" l="1"/>
  <c r="C1380" i="5"/>
  <c r="B1381" i="5" l="1"/>
  <c r="C1381" i="5"/>
  <c r="B1382" i="5" l="1"/>
  <c r="C1382" i="5"/>
  <c r="B1383" i="5" l="1"/>
  <c r="C1383" i="5"/>
  <c r="B1384" i="5" l="1"/>
  <c r="C1384" i="5"/>
  <c r="B1385" i="5" l="1"/>
  <c r="C1385" i="5"/>
  <c r="B1386" i="5" l="1"/>
  <c r="C1386" i="5"/>
  <c r="B1387" i="5" l="1"/>
  <c r="C1387" i="5"/>
  <c r="B1388" i="5" l="1"/>
  <c r="C1388" i="5"/>
  <c r="B1389" i="5" l="1"/>
  <c r="C1389" i="5"/>
  <c r="B1390" i="5" l="1"/>
  <c r="C1390" i="5"/>
  <c r="B1391" i="5" l="1"/>
  <c r="C1391" i="5"/>
  <c r="B1392" i="5" l="1"/>
  <c r="C1392" i="5"/>
  <c r="B1393" i="5" l="1"/>
  <c r="C1393" i="5"/>
  <c r="B1394" i="5" l="1"/>
  <c r="C1394" i="5"/>
  <c r="B1395" i="5" l="1"/>
  <c r="C1395" i="5"/>
  <c r="B1396" i="5" l="1"/>
  <c r="C1396" i="5"/>
  <c r="B1397" i="5" l="1"/>
  <c r="C1397" i="5"/>
  <c r="B1398" i="5" l="1"/>
  <c r="C1398" i="5"/>
  <c r="B1399" i="5" l="1"/>
  <c r="C1399" i="5"/>
  <c r="B1400" i="5" l="1"/>
  <c r="C1400" i="5"/>
  <c r="B1401" i="5" l="1"/>
  <c r="C1401" i="5"/>
  <c r="B1402" i="5" l="1"/>
  <c r="C1402" i="5"/>
  <c r="B1403" i="5" l="1"/>
  <c r="C1403" i="5"/>
  <c r="B1404" i="5" l="1"/>
  <c r="C1404" i="5"/>
  <c r="B1405" i="5" l="1"/>
  <c r="C1405" i="5"/>
  <c r="B1406" i="5" l="1"/>
  <c r="C1406" i="5"/>
  <c r="B1407" i="5" s="1"/>
  <c r="C1407" i="5" l="1"/>
  <c r="B1408" i="5" l="1"/>
  <c r="C1408" i="5"/>
  <c r="B1409" i="5" l="1"/>
  <c r="C1409" i="5"/>
  <c r="B1410" i="5" l="1"/>
  <c r="C1410" i="5"/>
  <c r="B1411" i="5" l="1"/>
  <c r="C1411" i="5"/>
  <c r="B1412" i="5" l="1"/>
  <c r="C1412" i="5"/>
  <c r="B1413" i="5" l="1"/>
  <c r="C1413" i="5"/>
  <c r="B1414" i="5" l="1"/>
  <c r="C1414" i="5"/>
  <c r="B1415" i="5" l="1"/>
  <c r="C1415" i="5"/>
  <c r="B1416" i="5" l="1"/>
  <c r="C1416" i="5"/>
  <c r="B1417" i="5" l="1"/>
  <c r="C1417" i="5"/>
  <c r="B1418" i="5" l="1"/>
  <c r="C1418" i="5"/>
  <c r="B1419" i="5" l="1"/>
  <c r="C1419" i="5"/>
  <c r="B1420" i="5" s="1"/>
  <c r="C1420" i="5" l="1"/>
  <c r="B1421" i="5" l="1"/>
  <c r="C1421" i="5"/>
  <c r="B1422" i="5" l="1"/>
  <c r="C1422" i="5"/>
  <c r="B1423" i="5" l="1"/>
  <c r="C1423" i="5"/>
  <c r="B1424" i="5" l="1"/>
  <c r="C1424" i="5"/>
  <c r="B1425" i="5" l="1"/>
  <c r="C1425" i="5"/>
  <c r="B1426" i="5" l="1"/>
  <c r="C1426" i="5"/>
  <c r="B1427" i="5" l="1"/>
  <c r="C1427" i="5"/>
  <c r="B1428" i="5" s="1"/>
  <c r="C1428" i="5" l="1"/>
  <c r="B1429" i="5" s="1"/>
  <c r="C1429" i="5" l="1"/>
  <c r="B1430" i="5" l="1"/>
  <c r="C1430" i="5"/>
  <c r="B1431" i="5" l="1"/>
  <c r="C1431" i="5"/>
  <c r="B1432" i="5" l="1"/>
  <c r="C1432" i="5"/>
  <c r="B1433" i="5" l="1"/>
  <c r="C1433" i="5"/>
  <c r="B1434" i="5" l="1"/>
  <c r="C1434" i="5"/>
  <c r="B1435" i="5" l="1"/>
  <c r="C1435" i="5"/>
  <c r="B1436" i="5" l="1"/>
  <c r="C1436" i="5"/>
  <c r="B1437" i="5" l="1"/>
  <c r="C1437" i="5"/>
  <c r="B1438" i="5" l="1"/>
  <c r="C1438" i="5"/>
  <c r="B1439" i="5" l="1"/>
  <c r="C1439" i="5"/>
  <c r="B1440" i="5" l="1"/>
  <c r="C1440" i="5"/>
  <c r="B1441" i="5" l="1"/>
  <c r="C1441" i="5"/>
  <c r="B1442" i="5" l="1"/>
  <c r="C1442" i="5"/>
  <c r="B1443" i="5" l="1"/>
  <c r="C1443" i="5"/>
  <c r="B1444" i="5" l="1"/>
  <c r="C1444" i="5"/>
  <c r="B1445" i="5" l="1"/>
  <c r="C1445" i="5"/>
  <c r="B1446" i="5" l="1"/>
  <c r="C1446" i="5"/>
  <c r="B1447" i="5" l="1"/>
  <c r="C1447" i="5"/>
  <c r="B1448" i="5" l="1"/>
  <c r="C1448" i="5"/>
  <c r="B1449" i="5" l="1"/>
  <c r="C1449" i="5"/>
  <c r="B1450" i="5" l="1"/>
  <c r="C1450" i="5"/>
  <c r="B1451" i="5" l="1"/>
  <c r="C1451" i="5"/>
  <c r="B1452" i="5" l="1"/>
  <c r="C1452" i="5"/>
  <c r="B1453" i="5" s="1"/>
  <c r="C1453" i="5" l="1"/>
  <c r="B1454" i="5" s="1"/>
  <c r="C1454" i="5" l="1"/>
  <c r="B1455" i="5" l="1"/>
  <c r="C1455" i="5"/>
  <c r="B1456" i="5" l="1"/>
  <c r="C1456" i="5"/>
  <c r="B1457" i="5" l="1"/>
  <c r="C1457" i="5"/>
  <c r="B1458" i="5" l="1"/>
  <c r="C1458" i="5"/>
  <c r="B1459" i="5" l="1"/>
  <c r="C1459" i="5"/>
  <c r="B1460" i="5" l="1"/>
  <c r="C1460" i="5"/>
  <c r="B1461" i="5" l="1"/>
  <c r="C1461" i="5"/>
  <c r="B1462" i="5" s="1"/>
  <c r="C1462" i="5" l="1"/>
  <c r="B1463" i="5" l="1"/>
  <c r="C1463" i="5"/>
  <c r="B1464" i="5" s="1"/>
  <c r="C1464" i="5" l="1"/>
  <c r="B1465" i="5" s="1"/>
  <c r="C1465" i="5" l="1"/>
  <c r="B1466" i="5" l="1"/>
  <c r="C1466" i="5"/>
  <c r="B1467" i="5" s="1"/>
  <c r="C1467" i="5" l="1"/>
  <c r="B1468" i="5" s="1"/>
  <c r="C1468" i="5" l="1"/>
  <c r="B1469" i="5" l="1"/>
  <c r="C1469" i="5"/>
  <c r="B1470" i="5" l="1"/>
  <c r="C1470" i="5"/>
  <c r="B1471" i="5" l="1"/>
  <c r="C1471" i="5"/>
  <c r="B1472" i="5" l="1"/>
  <c r="C1472" i="5"/>
  <c r="B1473" i="5" l="1"/>
  <c r="C1473" i="5"/>
  <c r="B1474" i="5" l="1"/>
  <c r="C1474" i="5"/>
  <c r="B1475" i="5" l="1"/>
  <c r="C1475" i="5"/>
  <c r="B1476" i="5" l="1"/>
  <c r="C1476" i="5"/>
  <c r="B1477" i="5" l="1"/>
  <c r="C1477" i="5"/>
  <c r="B1478" i="5" l="1"/>
  <c r="C1478" i="5"/>
  <c r="B1479" i="5" l="1"/>
  <c r="C1479" i="5"/>
  <c r="B1480" i="5" l="1"/>
  <c r="C1480" i="5"/>
  <c r="B1481" i="5" l="1"/>
  <c r="C1481" i="5"/>
  <c r="B1482" i="5" l="1"/>
  <c r="C1482" i="5"/>
  <c r="B1483" i="5" l="1"/>
  <c r="C1483" i="5"/>
  <c r="B1484" i="5" l="1"/>
  <c r="C1484" i="5"/>
  <c r="B1485" i="5" l="1"/>
  <c r="C1485" i="5"/>
  <c r="B1486" i="5" l="1"/>
  <c r="C1486" i="5"/>
  <c r="B1487" i="5" l="1"/>
  <c r="C1487" i="5"/>
  <c r="B1488" i="5" l="1"/>
  <c r="C1488" i="5"/>
  <c r="B1489" i="5" l="1"/>
  <c r="C1489" i="5"/>
  <c r="B1490" i="5" l="1"/>
  <c r="C1490" i="5"/>
  <c r="B1491" i="5" l="1"/>
  <c r="C1491" i="5"/>
  <c r="B1492" i="5" l="1"/>
  <c r="C1492" i="5"/>
  <c r="B1493" i="5" l="1"/>
  <c r="C1493" i="5"/>
  <c r="B1494" i="5" l="1"/>
  <c r="C1494" i="5"/>
  <c r="B1495" i="5" l="1"/>
  <c r="C1495" i="5"/>
  <c r="B1496" i="5" l="1"/>
  <c r="C1496" i="5"/>
  <c r="B1497" i="5" l="1"/>
  <c r="C1497" i="5"/>
  <c r="B1498" i="5" l="1"/>
  <c r="C1498" i="5"/>
  <c r="B1499" i="5" l="1"/>
  <c r="C1499" i="5"/>
  <c r="B1500" i="5" s="1"/>
  <c r="C1500" i="5" l="1"/>
  <c r="B1501" i="5" l="1"/>
  <c r="C1501" i="5"/>
  <c r="B1502" i="5" l="1"/>
  <c r="C1502" i="5"/>
  <c r="B1503" i="5" l="1"/>
  <c r="C1503" i="5"/>
  <c r="B1504" i="5" l="1"/>
  <c r="C1504" i="5"/>
  <c r="B1505" i="5" l="1"/>
  <c r="C1505" i="5"/>
  <c r="B1506" i="5" s="1"/>
  <c r="C1506" i="5" l="1"/>
  <c r="B1507" i="5" l="1"/>
  <c r="C1507" i="5"/>
  <c r="B1508" i="5" s="1"/>
  <c r="C1508" i="5" l="1"/>
  <c r="B1509" i="5" s="1"/>
  <c r="C1509" i="5" l="1"/>
  <c r="B1510" i="5" l="1"/>
  <c r="C1510" i="5"/>
  <c r="B1511" i="5" l="1"/>
  <c r="C1511" i="5"/>
  <c r="B1512" i="5" l="1"/>
  <c r="C1512" i="5"/>
  <c r="B1513" i="5" l="1"/>
  <c r="C1513" i="5"/>
  <c r="B1514" i="5" l="1"/>
  <c r="C1514" i="5"/>
  <c r="B1515" i="5" l="1"/>
  <c r="C1515" i="5"/>
  <c r="B1516" i="5" l="1"/>
  <c r="C1516" i="5"/>
  <c r="B1517" i="5" l="1"/>
  <c r="C1517" i="5"/>
  <c r="B1518" i="5" l="1"/>
  <c r="C1518" i="5"/>
  <c r="B1519" i="5" s="1"/>
  <c r="C1519" i="5" l="1"/>
  <c r="B1520" i="5" l="1"/>
  <c r="C1520" i="5"/>
  <c r="B1521" i="5" l="1"/>
  <c r="C1521" i="5"/>
  <c r="B1522" i="5" l="1"/>
  <c r="C1522" i="5"/>
  <c r="B1523" i="5" l="1"/>
  <c r="C1523" i="5"/>
  <c r="B1524" i="5" l="1"/>
  <c r="C1524" i="5"/>
  <c r="B1525" i="5" l="1"/>
  <c r="C1525" i="5"/>
  <c r="B1526" i="5" l="1"/>
  <c r="C1526" i="5"/>
  <c r="B1527" i="5" l="1"/>
  <c r="C1527" i="5"/>
  <c r="B1528" i="5" l="1"/>
  <c r="C1528" i="5"/>
  <c r="B1529" i="5" l="1"/>
  <c r="C1529" i="5"/>
  <c r="B1530" i="5" l="1"/>
  <c r="C1530" i="5"/>
  <c r="B1531" i="5" l="1"/>
  <c r="C1531" i="5"/>
  <c r="B1532" i="5" l="1"/>
  <c r="C1532" i="5"/>
  <c r="B1533" i="5" l="1"/>
  <c r="C1533" i="5"/>
  <c r="B1534" i="5" l="1"/>
  <c r="C1534" i="5"/>
  <c r="B1535" i="5" l="1"/>
  <c r="C1535" i="5"/>
  <c r="B1536" i="5" l="1"/>
  <c r="C1536" i="5"/>
  <c r="B1537" i="5" l="1"/>
  <c r="C1537" i="5"/>
  <c r="B1538" i="5" l="1"/>
  <c r="C1538" i="5"/>
  <c r="B1539" i="5" l="1"/>
  <c r="C1539" i="5"/>
  <c r="B1540" i="5" l="1"/>
  <c r="C1540" i="5"/>
  <c r="B1541" i="5" l="1"/>
  <c r="C1541" i="5"/>
  <c r="B1542" i="5" l="1"/>
  <c r="C1542" i="5"/>
  <c r="B1543" i="5" l="1"/>
  <c r="C1543" i="5"/>
  <c r="B1544" i="5" l="1"/>
  <c r="C1544" i="5"/>
  <c r="B1545" i="5" l="1"/>
  <c r="C1545" i="5"/>
  <c r="B1546" i="5" l="1"/>
  <c r="C1546" i="5"/>
  <c r="B1547" i="5" l="1"/>
  <c r="C1547" i="5"/>
  <c r="B1548" i="5" l="1"/>
  <c r="C1548" i="5"/>
  <c r="B1549" i="5" l="1"/>
  <c r="C1549" i="5"/>
  <c r="B1550" i="5" l="1"/>
  <c r="C1550" i="5"/>
  <c r="B1551" i="5" l="1"/>
  <c r="C1551" i="5"/>
  <c r="B1552" i="5" l="1"/>
  <c r="C1552" i="5"/>
  <c r="B1553" i="5" l="1"/>
  <c r="C1553" i="5"/>
  <c r="B1554" i="5" l="1"/>
  <c r="C1554" i="5"/>
  <c r="B1555" i="5" l="1"/>
  <c r="C1555" i="5"/>
  <c r="B1556" i="5" l="1"/>
  <c r="C1556" i="5"/>
  <c r="B1557" i="5" l="1"/>
  <c r="C1557" i="5"/>
  <c r="B1558" i="5" l="1"/>
  <c r="C1558" i="5"/>
  <c r="B1559" i="5" l="1"/>
  <c r="C1559" i="5"/>
  <c r="B1560" i="5" s="1"/>
  <c r="C1560" i="5" l="1"/>
  <c r="B1561" i="5" s="1"/>
  <c r="C1561" i="5" l="1"/>
  <c r="B1562" i="5" l="1"/>
  <c r="C1562" i="5"/>
  <c r="B1563" i="5" l="1"/>
  <c r="C1563" i="5"/>
  <c r="B1564" i="5" l="1"/>
  <c r="C1564" i="5"/>
  <c r="B1565" i="5" l="1"/>
  <c r="C1565" i="5"/>
  <c r="B1566" i="5" l="1"/>
  <c r="C1566" i="5"/>
  <c r="B1567" i="5" l="1"/>
  <c r="C1567" i="5"/>
  <c r="B1568" i="5" l="1"/>
  <c r="C1568" i="5"/>
  <c r="B1569" i="5" l="1"/>
  <c r="C1569" i="5"/>
  <c r="B1570" i="5" l="1"/>
  <c r="C1570" i="5"/>
  <c r="B1571" i="5" l="1"/>
  <c r="C1571" i="5"/>
  <c r="B1572" i="5" l="1"/>
  <c r="C1572" i="5"/>
  <c r="B1573" i="5" l="1"/>
  <c r="C1573" i="5"/>
  <c r="B1574" i="5" l="1"/>
  <c r="C1574" i="5"/>
  <c r="B1575" i="5" l="1"/>
  <c r="C1575" i="5"/>
  <c r="B1576" i="5" l="1"/>
  <c r="C1576" i="5"/>
  <c r="B1577" i="5" l="1"/>
  <c r="C1577" i="5"/>
  <c r="B1578" i="5" l="1"/>
  <c r="C1578" i="5"/>
  <c r="B1579" i="5" l="1"/>
  <c r="C1579" i="5"/>
  <c r="B1580" i="5" l="1"/>
  <c r="C1580" i="5"/>
  <c r="B1581" i="5" l="1"/>
  <c r="C1581" i="5"/>
  <c r="B1582" i="5" l="1"/>
  <c r="C1582" i="5"/>
  <c r="B1583" i="5" s="1"/>
  <c r="C1583" i="5" l="1"/>
  <c r="B1584" i="5" s="1"/>
  <c r="C1584" i="5" l="1"/>
  <c r="B1585" i="5" l="1"/>
  <c r="C1585" i="5"/>
  <c r="B1586" i="5" s="1"/>
  <c r="C1586" i="5" l="1"/>
  <c r="B1587" i="5" s="1"/>
  <c r="C1587" i="5" l="1"/>
  <c r="B1588" i="5" l="1"/>
  <c r="C1588" i="5"/>
  <c r="B1589" i="5" l="1"/>
  <c r="C1589" i="5"/>
  <c r="B1590" i="5" l="1"/>
  <c r="C1590" i="5"/>
  <c r="B1591" i="5" l="1"/>
  <c r="C1591" i="5"/>
  <c r="B1592" i="5" l="1"/>
  <c r="C1592" i="5"/>
  <c r="B1593" i="5" s="1"/>
  <c r="C1593" i="5" l="1"/>
  <c r="B1594" i="5" l="1"/>
  <c r="C1594" i="5"/>
  <c r="B1595" i="5" s="1"/>
  <c r="C1595" i="5" l="1"/>
  <c r="B1596" i="5" s="1"/>
  <c r="C1596" i="5" l="1"/>
  <c r="B1597" i="5" l="1"/>
  <c r="C1597" i="5"/>
  <c r="B1598" i="5" l="1"/>
  <c r="C1598" i="5"/>
  <c r="B1599" i="5" l="1"/>
  <c r="C1599" i="5"/>
  <c r="B1600" i="5" l="1"/>
  <c r="C1600" i="5"/>
  <c r="B1601" i="5" l="1"/>
  <c r="C1601" i="5"/>
  <c r="B1602" i="5" l="1"/>
  <c r="C1602" i="5"/>
  <c r="B1603" i="5" s="1"/>
  <c r="C1603" i="5" l="1"/>
  <c r="B1604" i="5" s="1"/>
  <c r="C1604" i="5" l="1"/>
  <c r="B1605" i="5" l="1"/>
  <c r="C1605" i="5"/>
  <c r="B1606" i="5" l="1"/>
  <c r="C1606" i="5"/>
  <c r="B1607" i="5" l="1"/>
  <c r="C1607" i="5"/>
  <c r="B1608" i="5" l="1"/>
  <c r="C1608" i="5"/>
  <c r="B1609" i="5" s="1"/>
  <c r="C1609" i="5" l="1"/>
  <c r="B1610" i="5" s="1"/>
  <c r="C1610" i="5" l="1"/>
  <c r="B1611" i="5" l="1"/>
  <c r="C1611" i="5"/>
  <c r="B1612" i="5" l="1"/>
  <c r="C1612" i="5"/>
  <c r="B1613" i="5" l="1"/>
  <c r="C1613" i="5"/>
  <c r="B1614" i="5" l="1"/>
  <c r="C1614" i="5"/>
  <c r="B1615" i="5" l="1"/>
  <c r="C1615" i="5"/>
  <c r="B1616" i="5" l="1"/>
  <c r="C1616" i="5"/>
  <c r="B1617" i="5" l="1"/>
  <c r="C1617" i="5"/>
  <c r="B1618" i="5" l="1"/>
  <c r="C1618" i="5"/>
  <c r="B1619" i="5" l="1"/>
  <c r="C1619" i="5"/>
  <c r="B1620" i="5" l="1"/>
  <c r="C1620" i="5"/>
  <c r="B1621" i="5" l="1"/>
  <c r="C1621" i="5"/>
  <c r="B1622" i="5" l="1"/>
  <c r="C1622" i="5"/>
  <c r="B1623" i="5" s="1"/>
  <c r="C1623" i="5" l="1"/>
  <c r="B1624" i="5" s="1"/>
  <c r="C1624" i="5" l="1"/>
  <c r="B1625" i="5" l="1"/>
  <c r="C1625" i="5"/>
  <c r="B1626" i="5" l="1"/>
  <c r="C1626" i="5"/>
  <c r="B1627" i="5" s="1"/>
  <c r="C1627" i="5" l="1"/>
  <c r="B1628" i="5" s="1"/>
  <c r="C1628" i="5" l="1"/>
  <c r="B1629" i="5" l="1"/>
  <c r="C1629" i="5"/>
  <c r="B1630" i="5" l="1"/>
  <c r="C1630" i="5"/>
  <c r="B1631" i="5" l="1"/>
  <c r="C1631" i="5"/>
  <c r="B1632" i="5" s="1"/>
  <c r="C1632" i="5" l="1"/>
  <c r="B1633" i="5" l="1"/>
  <c r="C1633" i="5"/>
  <c r="B1634" i="5" l="1"/>
  <c r="C1634" i="5"/>
  <c r="B1635" i="5" s="1"/>
  <c r="C1635" i="5" l="1"/>
  <c r="B1636" i="5" s="1"/>
  <c r="C1636" i="5" l="1"/>
  <c r="B1637" i="5" s="1"/>
  <c r="C1637" i="5" l="1"/>
  <c r="B1638" i="5" l="1"/>
  <c r="C1638" i="5"/>
  <c r="B1639" i="5" s="1"/>
  <c r="C1639" i="5" l="1"/>
  <c r="B1640" i="5" s="1"/>
  <c r="C1640" i="5" l="1"/>
  <c r="B1641" i="5" l="1"/>
  <c r="C1641" i="5"/>
  <c r="B1642" i="5" l="1"/>
  <c r="C1642" i="5"/>
  <c r="B1643" i="5" l="1"/>
  <c r="C1643" i="5"/>
  <c r="B1644" i="5" l="1"/>
  <c r="C1644" i="5"/>
  <c r="B1645" i="5" l="1"/>
  <c r="C1645" i="5"/>
  <c r="B1646" i="5" l="1"/>
  <c r="C1646" i="5"/>
  <c r="B1647" i="5" l="1"/>
  <c r="C1647" i="5"/>
  <c r="B1648" i="5" l="1"/>
  <c r="C1648" i="5"/>
  <c r="B1649" i="5" l="1"/>
  <c r="C1649" i="5"/>
  <c r="B1650" i="5" l="1"/>
  <c r="C1650" i="5"/>
  <c r="B1651" i="5" s="1"/>
  <c r="C1651" i="5" l="1"/>
  <c r="B1652" i="5" s="1"/>
  <c r="C1652" i="5" l="1"/>
  <c r="B1653" i="5" l="1"/>
  <c r="C1653" i="5"/>
  <c r="B1654" i="5" l="1"/>
  <c r="C1654" i="5"/>
  <c r="B1655" i="5" l="1"/>
  <c r="C1655" i="5"/>
  <c r="B1656" i="5" l="1"/>
  <c r="C1656" i="5"/>
  <c r="B1657" i="5" l="1"/>
  <c r="C1657" i="5"/>
  <c r="B1658" i="5" l="1"/>
  <c r="C1658" i="5"/>
  <c r="B1659" i="5" l="1"/>
  <c r="C1659" i="5"/>
  <c r="B1660" i="5" l="1"/>
  <c r="C1660" i="5"/>
  <c r="B1661" i="5" l="1"/>
  <c r="C1661" i="5"/>
  <c r="B1662" i="5" l="1"/>
  <c r="C1662" i="5"/>
  <c r="B1663" i="5" l="1"/>
  <c r="C1663" i="5"/>
  <c r="B1664" i="5" l="1"/>
  <c r="C1664" i="5"/>
  <c r="B1665" i="5" l="1"/>
  <c r="C1665" i="5"/>
  <c r="B1666" i="5" l="1"/>
  <c r="C1666" i="5"/>
  <c r="B1667" i="5" l="1"/>
  <c r="C1667" i="5"/>
  <c r="B1668" i="5" l="1"/>
  <c r="C1668" i="5"/>
  <c r="B1669" i="5" l="1"/>
  <c r="C1669" i="5"/>
  <c r="B1670" i="5" l="1"/>
  <c r="C1670" i="5"/>
  <c r="B1671" i="5" l="1"/>
  <c r="C1671" i="5"/>
  <c r="B1672" i="5" l="1"/>
  <c r="C1672" i="5"/>
  <c r="B1673" i="5" l="1"/>
  <c r="C1673" i="5"/>
  <c r="B1674" i="5" l="1"/>
  <c r="C1674" i="5"/>
  <c r="B1675" i="5" l="1"/>
  <c r="C1675" i="5"/>
  <c r="B1676" i="5" l="1"/>
  <c r="C1676" i="5"/>
  <c r="B1677" i="5" l="1"/>
  <c r="C1677" i="5"/>
  <c r="B1678" i="5" l="1"/>
  <c r="C1678" i="5"/>
  <c r="B1679" i="5" l="1"/>
  <c r="C1679" i="5"/>
  <c r="B1680" i="5" l="1"/>
  <c r="C1680" i="5"/>
  <c r="B1681" i="5" l="1"/>
  <c r="C1681" i="5"/>
  <c r="B1682" i="5" l="1"/>
  <c r="C1682" i="5"/>
  <c r="B1683" i="5" l="1"/>
  <c r="C1683" i="5"/>
  <c r="B1684" i="5" l="1"/>
  <c r="C1684" i="5"/>
  <c r="B1685" i="5" l="1"/>
  <c r="C1685" i="5"/>
  <c r="B1686" i="5" l="1"/>
  <c r="C1686" i="5"/>
  <c r="B1687" i="5" l="1"/>
  <c r="C1687" i="5"/>
  <c r="B1688" i="5" l="1"/>
  <c r="C1688" i="5"/>
  <c r="B1689" i="5" l="1"/>
  <c r="C1689" i="5"/>
  <c r="B1690" i="5" l="1"/>
  <c r="C1690" i="5"/>
  <c r="B1691" i="5" l="1"/>
  <c r="C1691" i="5"/>
  <c r="B1692" i="5" s="1"/>
  <c r="C1692" i="5" l="1"/>
  <c r="B1693" i="5" s="1"/>
  <c r="C1693" i="5" l="1"/>
  <c r="B1694" i="5" l="1"/>
  <c r="C1694" i="5"/>
  <c r="B1695" i="5" l="1"/>
  <c r="C1695" i="5"/>
  <c r="B1696" i="5" l="1"/>
  <c r="C1696" i="5"/>
  <c r="B1697" i="5" l="1"/>
  <c r="C1697" i="5"/>
  <c r="B1698" i="5" l="1"/>
  <c r="C1698" i="5"/>
  <c r="B1699" i="5" l="1"/>
  <c r="C1699" i="5"/>
  <c r="B1700" i="5" l="1"/>
  <c r="C1700" i="5"/>
  <c r="B1701" i="5" l="1"/>
  <c r="C1701" i="5"/>
  <c r="B1702" i="5" l="1"/>
  <c r="C1702" i="5"/>
  <c r="B1703" i="5" l="1"/>
  <c r="C1703" i="5"/>
  <c r="B1704" i="5" l="1"/>
  <c r="C1704" i="5"/>
  <c r="B1705" i="5" s="1"/>
  <c r="C1705" i="5" l="1"/>
  <c r="B1706" i="5" l="1"/>
  <c r="C1706" i="5"/>
  <c r="B1707" i="5" l="1"/>
  <c r="C1707" i="5"/>
  <c r="B1708" i="5" l="1"/>
  <c r="C1708" i="5"/>
  <c r="B1709" i="5" l="1"/>
  <c r="C1709" i="5"/>
  <c r="B1710" i="5" l="1"/>
  <c r="C1710" i="5"/>
  <c r="B1711" i="5" l="1"/>
  <c r="C1711" i="5"/>
  <c r="B1712" i="5" l="1"/>
  <c r="C1712" i="5"/>
  <c r="B1713" i="5" l="1"/>
  <c r="C1713" i="5"/>
  <c r="B1714" i="5" l="1"/>
  <c r="C1714" i="5"/>
  <c r="B1715" i="5" l="1"/>
  <c r="C1715" i="5"/>
  <c r="B1716" i="5" l="1"/>
  <c r="C1716" i="5"/>
  <c r="B1717" i="5" l="1"/>
  <c r="C1717" i="5"/>
  <c r="B1718" i="5" l="1"/>
  <c r="C1718" i="5"/>
  <c r="B1719" i="5" l="1"/>
  <c r="C1719" i="5"/>
  <c r="B1720" i="5" l="1"/>
  <c r="C1720" i="5"/>
  <c r="B1721" i="5" l="1"/>
  <c r="C1721" i="5"/>
  <c r="B1722" i="5" l="1"/>
  <c r="C1722" i="5"/>
  <c r="B1723" i="5" l="1"/>
  <c r="C1723" i="5"/>
  <c r="B1724" i="5" l="1"/>
  <c r="C1724" i="5"/>
  <c r="B1725" i="5" l="1"/>
  <c r="C1725" i="5"/>
  <c r="B1726" i="5" l="1"/>
  <c r="C1726" i="5"/>
  <c r="B1727" i="5" l="1"/>
  <c r="C1727" i="5"/>
  <c r="B1728" i="5" l="1"/>
  <c r="C1728" i="5"/>
  <c r="B1729" i="5" s="1"/>
  <c r="C1729" i="5" l="1"/>
  <c r="B1730" i="5" s="1"/>
  <c r="C1730" i="5" l="1"/>
  <c r="B1731" i="5" s="1"/>
  <c r="C1731" i="5" l="1"/>
  <c r="B1732" i="5" s="1"/>
  <c r="C1732" i="5" l="1"/>
  <c r="B1733" i="5" s="1"/>
  <c r="C1733" i="5" l="1"/>
  <c r="B1734" i="5" s="1"/>
  <c r="C1734" i="5" l="1"/>
  <c r="B1735" i="5" s="1"/>
  <c r="C1735" i="5" l="1"/>
  <c r="B1736" i="5" s="1"/>
  <c r="C1736" i="5" l="1"/>
  <c r="B1737" i="5" s="1"/>
  <c r="C1737" i="5" l="1"/>
  <c r="B1738" i="5" s="1"/>
  <c r="C1738" i="5" l="1"/>
  <c r="B1739" i="5" s="1"/>
  <c r="C1739" i="5" l="1"/>
  <c r="B1740" i="5" s="1"/>
  <c r="C1740" i="5" l="1"/>
  <c r="B1741" i="5" s="1"/>
  <c r="C1741" i="5" l="1"/>
  <c r="B1742" i="5" s="1"/>
  <c r="C1742" i="5" l="1"/>
  <c r="B1743" i="5" s="1"/>
  <c r="C1743" i="5" l="1"/>
  <c r="B1744" i="5" s="1"/>
  <c r="C1744" i="5" l="1"/>
  <c r="B1745" i="5" s="1"/>
  <c r="C1745" i="5" l="1"/>
  <c r="B1746" i="5" s="1"/>
  <c r="C1746" i="5" l="1"/>
  <c r="B1747" i="5" s="1"/>
  <c r="C1747" i="5" l="1"/>
  <c r="B1748" i="5" s="1"/>
  <c r="C1748" i="5" l="1"/>
  <c r="B1749" i="5" s="1"/>
  <c r="C1749" i="5" l="1"/>
  <c r="B1750" i="5" s="1"/>
  <c r="C1750" i="5" l="1"/>
  <c r="B1751" i="5" s="1"/>
  <c r="C1751" i="5" l="1"/>
  <c r="B1752" i="5" s="1"/>
  <c r="C1752" i="5" l="1"/>
  <c r="B1753" i="5" s="1"/>
  <c r="C1753" i="5" l="1"/>
  <c r="B1754" i="5" s="1"/>
  <c r="C1754" i="5" l="1"/>
  <c r="B1755" i="5" s="1"/>
  <c r="C1755" i="5" l="1"/>
  <c r="B1756" i="5" s="1"/>
  <c r="C1756" i="5" l="1"/>
  <c r="B1757" i="5" s="1"/>
  <c r="C1757" i="5" l="1"/>
  <c r="B1758" i="5" s="1"/>
  <c r="C1758" i="5" l="1"/>
  <c r="B1759" i="5" s="1"/>
  <c r="C1759" i="5" l="1"/>
  <c r="B1760" i="5" s="1"/>
  <c r="C1760" i="5" l="1"/>
  <c r="B1761" i="5" s="1"/>
  <c r="C1761" i="5" l="1"/>
  <c r="B1762" i="5" s="1"/>
  <c r="C1762" i="5" l="1"/>
  <c r="B1763" i="5" s="1"/>
  <c r="C1763" i="5" l="1"/>
  <c r="B1764" i="5" s="1"/>
  <c r="C1764" i="5" l="1"/>
  <c r="B1765" i="5" s="1"/>
  <c r="C1765" i="5" l="1"/>
  <c r="B1766" i="5" s="1"/>
  <c r="C1766" i="5" l="1"/>
  <c r="B1767" i="5" s="1"/>
  <c r="C1767" i="5" l="1"/>
  <c r="B1768" i="5" s="1"/>
  <c r="C1768" i="5" l="1"/>
  <c r="B1769" i="5" s="1"/>
  <c r="C1769" i="5" l="1"/>
  <c r="B1770" i="5" s="1"/>
  <c r="C1770" i="5" l="1"/>
  <c r="B1771" i="5" s="1"/>
  <c r="C1771" i="5" l="1"/>
  <c r="B1772" i="5" s="1"/>
  <c r="C1772" i="5" l="1"/>
  <c r="B1773" i="5" s="1"/>
  <c r="C1773" i="5" l="1"/>
  <c r="B1774" i="5" s="1"/>
  <c r="C1774" i="5" l="1"/>
  <c r="B1775" i="5" s="1"/>
  <c r="C1775" i="5" l="1"/>
  <c r="B1776" i="5" s="1"/>
  <c r="C1776" i="5" l="1"/>
  <c r="B1777" i="5" s="1"/>
  <c r="C1777" i="5" l="1"/>
  <c r="B1778" i="5" s="1"/>
  <c r="C1778" i="5" l="1"/>
  <c r="B1779" i="5" s="1"/>
  <c r="C1779" i="5" l="1"/>
  <c r="B1780" i="5" s="1"/>
  <c r="C1780" i="5" l="1"/>
  <c r="B1781" i="5" s="1"/>
  <c r="C1781" i="5" l="1"/>
  <c r="B1782" i="5" s="1"/>
  <c r="C1782" i="5" l="1"/>
  <c r="B1783" i="5" s="1"/>
  <c r="C1783" i="5" l="1"/>
  <c r="B1784" i="5" s="1"/>
  <c r="C1784" i="5" l="1"/>
  <c r="B1785" i="5" s="1"/>
  <c r="C1785" i="5" l="1"/>
  <c r="B1786" i="5" s="1"/>
  <c r="C1786" i="5" l="1"/>
  <c r="B1787" i="5" s="1"/>
  <c r="C1787" i="5" l="1"/>
  <c r="B1788" i="5" s="1"/>
  <c r="C1788" i="5" l="1"/>
  <c r="B1789" i="5" s="1"/>
  <c r="C1789" i="5" l="1"/>
  <c r="B1790" i="5" s="1"/>
  <c r="C1790" i="5" l="1"/>
  <c r="B1791" i="5" s="1"/>
  <c r="C1791" i="5" l="1"/>
  <c r="B1792" i="5" s="1"/>
  <c r="C1792" i="5" l="1"/>
  <c r="B1793" i="5" s="1"/>
  <c r="C1793" i="5" l="1"/>
  <c r="B1794" i="5" s="1"/>
  <c r="C1794" i="5" l="1"/>
  <c r="B1795" i="5" s="1"/>
  <c r="C1795" i="5" l="1"/>
  <c r="B1796" i="5" s="1"/>
  <c r="C1796" i="5" l="1"/>
  <c r="B1797" i="5" s="1"/>
  <c r="C1797" i="5" l="1"/>
  <c r="B1798" i="5" s="1"/>
  <c r="C1798" i="5" l="1"/>
  <c r="B1799" i="5" s="1"/>
  <c r="C1799" i="5" l="1"/>
  <c r="B1800" i="5" s="1"/>
  <c r="C1800" i="5" l="1"/>
  <c r="B1801" i="5" s="1"/>
  <c r="C1801" i="5" l="1"/>
  <c r="B1802" i="5" s="1"/>
  <c r="C1802" i="5" l="1"/>
  <c r="B1803" i="5" s="1"/>
  <c r="C1803" i="5" l="1"/>
  <c r="B1804" i="5" s="1"/>
  <c r="C1804" i="5" l="1"/>
  <c r="B1805" i="5" s="1"/>
  <c r="C1805" i="5" l="1"/>
  <c r="B1806" i="5" s="1"/>
  <c r="C1806" i="5" l="1"/>
  <c r="B1807" i="5" s="1"/>
  <c r="C1807" i="5" l="1"/>
  <c r="B1808" i="5" s="1"/>
  <c r="C1808" i="5" l="1"/>
  <c r="B1809" i="5" s="1"/>
  <c r="C1809" i="5" l="1"/>
  <c r="B1810" i="5" s="1"/>
  <c r="C1810" i="5" l="1"/>
  <c r="B1811" i="5" s="1"/>
  <c r="C1811" i="5" l="1"/>
  <c r="B1812" i="5" s="1"/>
  <c r="C1812" i="5" l="1"/>
  <c r="B1813" i="5" s="1"/>
  <c r="C1813" i="5" l="1"/>
  <c r="B1814" i="5" s="1"/>
  <c r="C1814" i="5" l="1"/>
  <c r="B1815" i="5" s="1"/>
  <c r="C1815" i="5" l="1"/>
  <c r="B1816" i="5" s="1"/>
  <c r="C1816" i="5" l="1"/>
  <c r="B1817" i="5" s="1"/>
  <c r="C1817" i="5" l="1"/>
  <c r="B1818" i="5" s="1"/>
  <c r="C1818" i="5" l="1"/>
  <c r="B1819" i="5" s="1"/>
  <c r="C1819" i="5" l="1"/>
  <c r="B1820" i="5" s="1"/>
  <c r="C1820" i="5" l="1"/>
  <c r="B1821" i="5" s="1"/>
  <c r="C1821" i="5" l="1"/>
  <c r="B1822" i="5" s="1"/>
  <c r="C1822" i="5" l="1"/>
  <c r="B1823" i="5" s="1"/>
  <c r="C1823" i="5" l="1"/>
  <c r="B1824" i="5" s="1"/>
  <c r="C1824" i="5" l="1"/>
  <c r="B1825" i="5" s="1"/>
  <c r="C1825" i="5" l="1"/>
  <c r="B1826" i="5" s="1"/>
  <c r="C1826" i="5" l="1"/>
  <c r="B1827" i="5" s="1"/>
  <c r="C1827" i="5" l="1"/>
  <c r="B1828" i="5" s="1"/>
  <c r="C1828" i="5" l="1"/>
  <c r="B1829" i="5" s="1"/>
  <c r="C1829" i="5" l="1"/>
  <c r="B1830" i="5" s="1"/>
  <c r="C1830" i="5" l="1"/>
  <c r="B1831" i="5" s="1"/>
  <c r="C1831" i="5" l="1"/>
  <c r="B1832" i="5" s="1"/>
  <c r="C1832" i="5" l="1"/>
  <c r="B1833" i="5" s="1"/>
  <c r="C1833" i="5" l="1"/>
  <c r="B1834" i="5" s="1"/>
  <c r="C1834" i="5" l="1"/>
  <c r="B1835" i="5" s="1"/>
  <c r="C1835" i="5" l="1"/>
  <c r="B1836" i="5" s="1"/>
  <c r="C1836" i="5" l="1"/>
  <c r="B1837" i="5" s="1"/>
  <c r="C1837" i="5" l="1"/>
  <c r="B1838" i="5" s="1"/>
  <c r="C1838" i="5" l="1"/>
  <c r="B1839" i="5" s="1"/>
  <c r="C1839" i="5" l="1"/>
  <c r="B1840" i="5" s="1"/>
  <c r="C1840" i="5" l="1"/>
  <c r="B1841" i="5" s="1"/>
  <c r="C1841" i="5" l="1"/>
  <c r="B1842" i="5" s="1"/>
  <c r="C1842" i="5" l="1"/>
  <c r="B1843" i="5" s="1"/>
  <c r="C1843" i="5" l="1"/>
  <c r="B1844" i="5" s="1"/>
  <c r="C1844" i="5" l="1"/>
  <c r="B1845" i="5" s="1"/>
  <c r="C1845" i="5" l="1"/>
  <c r="B1846" i="5" s="1"/>
  <c r="C1846" i="5" l="1"/>
  <c r="B1847" i="5" s="1"/>
  <c r="C1847" i="5" l="1"/>
  <c r="B1848" i="5" s="1"/>
  <c r="C1848" i="5" l="1"/>
  <c r="B1849" i="5" s="1"/>
  <c r="C1849" i="5" l="1"/>
  <c r="B1850" i="5" s="1"/>
  <c r="C1850" i="5" l="1"/>
  <c r="B1851" i="5" s="1"/>
  <c r="C1851" i="5" l="1"/>
  <c r="B1852" i="5" s="1"/>
  <c r="C1852" i="5" l="1"/>
  <c r="B1853" i="5" s="1"/>
  <c r="C1853" i="5" l="1"/>
  <c r="B1854" i="5" s="1"/>
  <c r="C1854" i="5" l="1"/>
  <c r="B1855" i="5" s="1"/>
  <c r="C1855" i="5" l="1"/>
  <c r="B1856" i="5" s="1"/>
  <c r="C1856" i="5" l="1"/>
  <c r="B1857" i="5" s="1"/>
  <c r="C1857" i="5" l="1"/>
  <c r="B1858" i="5" s="1"/>
  <c r="C1858" i="5" l="1"/>
  <c r="B1859" i="5" s="1"/>
  <c r="C1859" i="5" l="1"/>
  <c r="B1860" i="5" s="1"/>
  <c r="C1860" i="5" l="1"/>
  <c r="B1861" i="5" s="1"/>
  <c r="C1861" i="5" l="1"/>
  <c r="B1862" i="5" s="1"/>
  <c r="C1862" i="5" l="1"/>
  <c r="B1863" i="5" s="1"/>
  <c r="C1863" i="5" l="1"/>
  <c r="B1864" i="5" s="1"/>
  <c r="C1864" i="5" l="1"/>
  <c r="B1865" i="5" s="1"/>
  <c r="C1865" i="5" l="1"/>
  <c r="B1866" i="5" s="1"/>
  <c r="C1866" i="5" l="1"/>
  <c r="B1867" i="5" s="1"/>
  <c r="C1867" i="5" l="1"/>
  <c r="B1868" i="5" s="1"/>
  <c r="C1868" i="5" l="1"/>
  <c r="B1869" i="5" s="1"/>
  <c r="C1869" i="5" l="1"/>
  <c r="B1870" i="5" s="1"/>
  <c r="C1870" i="5" l="1"/>
  <c r="B1871" i="5" s="1"/>
  <c r="C1871" i="5" l="1"/>
  <c r="B1872" i="5" s="1"/>
  <c r="C1872" i="5" l="1"/>
  <c r="B1873" i="5" s="1"/>
  <c r="C1873" i="5" l="1"/>
  <c r="B1874" i="5" s="1"/>
  <c r="C1874" i="5" l="1"/>
  <c r="B1875" i="5" s="1"/>
  <c r="C1875" i="5" l="1"/>
  <c r="B1876" i="5" s="1"/>
  <c r="C1876" i="5" l="1"/>
  <c r="B1877" i="5" s="1"/>
  <c r="C1877" i="5" l="1"/>
  <c r="B1878" i="5" s="1"/>
  <c r="C1878" i="5" l="1"/>
  <c r="B1879" i="5" s="1"/>
  <c r="C1879" i="5" l="1"/>
  <c r="B1880" i="5" s="1"/>
  <c r="C1880" i="5" l="1"/>
  <c r="B1881" i="5" s="1"/>
  <c r="C1881" i="5" l="1"/>
  <c r="B1882" i="5" s="1"/>
  <c r="C1882" i="5" l="1"/>
  <c r="B1883" i="5" s="1"/>
  <c r="C1883" i="5" l="1"/>
  <c r="B1884" i="5" s="1"/>
  <c r="C1884" i="5" l="1"/>
  <c r="B1885" i="5" s="1"/>
  <c r="C1885" i="5" l="1"/>
  <c r="B1886" i="5" s="1"/>
  <c r="C1886" i="5" l="1"/>
  <c r="B1887" i="5" s="1"/>
  <c r="C1887" i="5" l="1"/>
  <c r="B1888" i="5" s="1"/>
  <c r="C1888" i="5" l="1"/>
  <c r="B1889" i="5" s="1"/>
  <c r="C1889" i="5" l="1"/>
  <c r="B1890" i="5" s="1"/>
  <c r="C1890" i="5" l="1"/>
  <c r="B1891" i="5" s="1"/>
  <c r="C1891" i="5" l="1"/>
  <c r="B1892" i="5" s="1"/>
  <c r="C1892" i="5" l="1"/>
  <c r="B1893" i="5" s="1"/>
  <c r="C1893" i="5" l="1"/>
  <c r="B1894" i="5" s="1"/>
  <c r="C1894" i="5" l="1"/>
  <c r="B1895" i="5" s="1"/>
  <c r="C1895" i="5" l="1"/>
  <c r="B1896" i="5" s="1"/>
  <c r="C1896" i="5" l="1"/>
  <c r="B1897" i="5" s="1"/>
  <c r="C1897" i="5" l="1"/>
  <c r="B1898" i="5" s="1"/>
  <c r="C1898" i="5" l="1"/>
  <c r="B1899" i="5" s="1"/>
  <c r="C1899" i="5" l="1"/>
  <c r="B1900" i="5" s="1"/>
  <c r="C1900" i="5" l="1"/>
  <c r="B1901" i="5" s="1"/>
  <c r="C1901" i="5" l="1"/>
  <c r="B1902" i="5" s="1"/>
  <c r="C1902" i="5" l="1"/>
  <c r="B1903" i="5" s="1"/>
  <c r="C1903" i="5" l="1"/>
  <c r="B1904" i="5" s="1"/>
  <c r="C1904" i="5" l="1"/>
  <c r="B1905" i="5" s="1"/>
  <c r="C1905" i="5" l="1"/>
  <c r="B1906" i="5" s="1"/>
  <c r="C1906" i="5" l="1"/>
  <c r="B1907" i="5" s="1"/>
  <c r="C1907" i="5" l="1"/>
  <c r="B1908" i="5" s="1"/>
  <c r="C1908" i="5" l="1"/>
  <c r="B1909" i="5" s="1"/>
  <c r="C1909" i="5" l="1"/>
  <c r="B1910" i="5" s="1"/>
  <c r="C1910" i="5" l="1"/>
  <c r="B1911" i="5" s="1"/>
  <c r="C1911" i="5" l="1"/>
  <c r="B1912" i="5" s="1"/>
  <c r="C1912" i="5" l="1"/>
  <c r="B1913" i="5" s="1"/>
  <c r="C1913" i="5" l="1"/>
  <c r="B1914" i="5" s="1"/>
  <c r="C1914" i="5" l="1"/>
  <c r="B1915" i="5" s="1"/>
  <c r="C1915" i="5" l="1"/>
  <c r="B1916" i="5" s="1"/>
  <c r="C1916" i="5" l="1"/>
  <c r="B1917" i="5" s="1"/>
  <c r="C1917" i="5" l="1"/>
  <c r="B1918" i="5" s="1"/>
  <c r="C1918" i="5" l="1"/>
  <c r="B1919" i="5" s="1"/>
  <c r="C1919" i="5" l="1"/>
  <c r="B1920" i="5" s="1"/>
  <c r="C1920" i="5" l="1"/>
  <c r="B1921" i="5" s="1"/>
  <c r="C1921" i="5" l="1"/>
  <c r="B1922" i="5" s="1"/>
  <c r="C1922" i="5" l="1"/>
  <c r="B1923" i="5" s="1"/>
  <c r="C1923" i="5" l="1"/>
  <c r="B1924" i="5" s="1"/>
  <c r="C1924" i="5" l="1"/>
  <c r="B1925" i="5" s="1"/>
  <c r="C1925" i="5" l="1"/>
  <c r="B1926" i="5" s="1"/>
  <c r="C1926" i="5" l="1"/>
  <c r="B1927" i="5" s="1"/>
  <c r="C1927" i="5" l="1"/>
  <c r="B1928" i="5" s="1"/>
  <c r="C1928" i="5" l="1"/>
  <c r="B1929" i="5" s="1"/>
  <c r="C1929" i="5" l="1"/>
  <c r="B1930" i="5" s="1"/>
  <c r="C1930" i="5" l="1"/>
  <c r="B1931" i="5" s="1"/>
  <c r="C1931" i="5" l="1"/>
  <c r="B1932" i="5" s="1"/>
  <c r="C1932" i="5" l="1"/>
  <c r="B1933" i="5" s="1"/>
  <c r="C1933" i="5" l="1"/>
  <c r="B1934" i="5" s="1"/>
  <c r="C1934" i="5" l="1"/>
  <c r="B1935" i="5" s="1"/>
  <c r="C1935" i="5" l="1"/>
  <c r="B1936" i="5" s="1"/>
  <c r="C1936" i="5" l="1"/>
  <c r="B1937" i="5" s="1"/>
  <c r="C1937" i="5" l="1"/>
  <c r="B1938" i="5" s="1"/>
  <c r="C1938" i="5" l="1"/>
  <c r="B1939" i="5" s="1"/>
  <c r="C1939" i="5" l="1"/>
  <c r="B1940" i="5" s="1"/>
  <c r="C1940" i="5" l="1"/>
  <c r="B1941" i="5" s="1"/>
  <c r="C1941" i="5" l="1"/>
  <c r="B1942" i="5" s="1"/>
  <c r="C1942" i="5" l="1"/>
  <c r="B1943" i="5" s="1"/>
  <c r="C1943" i="5" l="1"/>
  <c r="B1944" i="5" s="1"/>
  <c r="C1944" i="5" l="1"/>
  <c r="B1945" i="5" s="1"/>
  <c r="C1945" i="5" l="1"/>
  <c r="B1946" i="5" s="1"/>
  <c r="C1946" i="5" l="1"/>
  <c r="B1947" i="5" s="1"/>
  <c r="C1947" i="5" l="1"/>
  <c r="B1948" i="5" s="1"/>
  <c r="C1948" i="5" l="1"/>
  <c r="B1949" i="5" s="1"/>
  <c r="C1949" i="5" l="1"/>
  <c r="B1950" i="5" s="1"/>
  <c r="C1950" i="5" l="1"/>
  <c r="B1951" i="5" s="1"/>
  <c r="C1951" i="5" l="1"/>
  <c r="B1952" i="5" s="1"/>
  <c r="C1952" i="5" l="1"/>
  <c r="B1953" i="5" s="1"/>
  <c r="C1953" i="5" l="1"/>
  <c r="B1954" i="5" s="1"/>
  <c r="C1954" i="5" l="1"/>
  <c r="B1955" i="5" s="1"/>
  <c r="C1955" i="5" l="1"/>
  <c r="B1956" i="5" s="1"/>
  <c r="C1956" i="5" l="1"/>
  <c r="B1957" i="5" s="1"/>
  <c r="C1957" i="5" l="1"/>
  <c r="B1958" i="5" s="1"/>
  <c r="C1958" i="5" l="1"/>
  <c r="B1959" i="5" s="1"/>
  <c r="C1959" i="5" l="1"/>
  <c r="B1960" i="5" s="1"/>
  <c r="C1960" i="5" l="1"/>
  <c r="B1961" i="5" s="1"/>
  <c r="C1961" i="5" l="1"/>
  <c r="B1962" i="5" s="1"/>
  <c r="C1962" i="5" l="1"/>
  <c r="B1963" i="5" s="1"/>
  <c r="C1963" i="5" l="1"/>
  <c r="B1964" i="5" s="1"/>
  <c r="C1964" i="5" l="1"/>
  <c r="B1965" i="5" s="1"/>
  <c r="C1965" i="5" l="1"/>
  <c r="B1966" i="5" s="1"/>
  <c r="C1966" i="5" l="1"/>
  <c r="B1967" i="5" s="1"/>
  <c r="C1967" i="5" l="1"/>
  <c r="B1968" i="5" s="1"/>
  <c r="C1968" i="5" l="1"/>
  <c r="B1969" i="5" s="1"/>
  <c r="C1969" i="5" l="1"/>
  <c r="B1970" i="5" s="1"/>
  <c r="C1970" i="5" l="1"/>
  <c r="B1971" i="5" s="1"/>
  <c r="C1971" i="5" l="1"/>
  <c r="B1972" i="5" s="1"/>
  <c r="C1972" i="5" l="1"/>
  <c r="B1973" i="5" s="1"/>
  <c r="C1973" i="5" l="1"/>
  <c r="B1974" i="5" s="1"/>
  <c r="C1974" i="5" l="1"/>
  <c r="B1975" i="5" s="1"/>
  <c r="C1975" i="5" l="1"/>
  <c r="B1976" i="5" s="1"/>
  <c r="C1976" i="5" l="1"/>
  <c r="B1977" i="5" s="1"/>
  <c r="C1977" i="5" l="1"/>
  <c r="B1978" i="5" s="1"/>
  <c r="C1978" i="5" l="1"/>
  <c r="B1979" i="5" s="1"/>
  <c r="C1979" i="5" l="1"/>
  <c r="B1980" i="5" s="1"/>
  <c r="C1980" i="5" l="1"/>
  <c r="B1981" i="5" s="1"/>
  <c r="C1981" i="5" l="1"/>
  <c r="B1982" i="5" s="1"/>
  <c r="C1982" i="5" l="1"/>
  <c r="B1983" i="5" s="1"/>
  <c r="C1983" i="5" l="1"/>
  <c r="B1984" i="5" s="1"/>
  <c r="C1984" i="5" l="1"/>
  <c r="B1985" i="5" s="1"/>
  <c r="C1985" i="5" l="1"/>
  <c r="B1986" i="5" s="1"/>
  <c r="C1986" i="5" l="1"/>
  <c r="B1987" i="5" s="1"/>
  <c r="C1987" i="5" l="1"/>
  <c r="B1988" i="5" s="1"/>
  <c r="C1988" i="5" l="1"/>
  <c r="B1989" i="5" s="1"/>
  <c r="C1989" i="5" l="1"/>
  <c r="B1990" i="5" s="1"/>
  <c r="C1990" i="5" l="1"/>
  <c r="B1991" i="5" s="1"/>
  <c r="C1991" i="5" l="1"/>
  <c r="B1992" i="5" s="1"/>
  <c r="C1992" i="5" l="1"/>
  <c r="B1993" i="5" s="1"/>
  <c r="C1993" i="5" l="1"/>
  <c r="B1994" i="5" s="1"/>
  <c r="C1994" i="5" l="1"/>
  <c r="B1995" i="5" s="1"/>
  <c r="C1995" i="5" l="1"/>
  <c r="B1996" i="5" s="1"/>
  <c r="C1996" i="5" l="1"/>
  <c r="B1997" i="5" s="1"/>
  <c r="C1997" i="5" l="1"/>
  <c r="B1998" i="5" s="1"/>
  <c r="C1998" i="5" l="1"/>
  <c r="B1999" i="5" s="1"/>
  <c r="C1999" i="5" l="1"/>
  <c r="B2000" i="5" s="1"/>
  <c r="C2000" i="5" l="1"/>
  <c r="B2001" i="5" s="1"/>
  <c r="C2001" i="5" l="1"/>
  <c r="B2002" i="5" s="1"/>
  <c r="C2002" i="5" l="1"/>
  <c r="B2003" i="5" s="1"/>
  <c r="C2003" i="5" l="1"/>
  <c r="B2004" i="5" s="1"/>
  <c r="C2004" i="5" l="1"/>
  <c r="B2005" i="5" s="1"/>
  <c r="C2005" i="5" l="1"/>
  <c r="B2006" i="5" s="1"/>
  <c r="C2006" i="5" l="1"/>
  <c r="B2007" i="5" s="1"/>
  <c r="C2007" i="5" l="1"/>
  <c r="B2008" i="5" s="1"/>
  <c r="C2008" i="5" l="1"/>
  <c r="B2009" i="5" s="1"/>
  <c r="C2009" i="5" l="1"/>
  <c r="C2010" i="5" l="1"/>
  <c r="B2010" i="5"/>
  <c r="C2011" i="5" l="1"/>
  <c r="B2011" i="5"/>
  <c r="C2012" i="5" l="1"/>
  <c r="B2012" i="5"/>
  <c r="C2013" i="5" l="1"/>
  <c r="B2013" i="5"/>
  <c r="C2014" i="5" l="1"/>
  <c r="B2014" i="5"/>
  <c r="C2015" i="5" s="1"/>
  <c r="B2015" i="5" l="1"/>
  <c r="C2016" i="5" s="1"/>
  <c r="B2016" i="5" l="1"/>
  <c r="C2017" i="5" s="1"/>
  <c r="B2017" i="5" l="1"/>
  <c r="C2018" i="5" s="1"/>
  <c r="B2018" i="5" l="1"/>
  <c r="C2019" i="5" s="1"/>
  <c r="B2019" i="5" l="1"/>
  <c r="C2020" i="5" s="1"/>
  <c r="B2020" i="5" l="1"/>
  <c r="C2021" i="5" s="1"/>
  <c r="B2021" i="5" l="1"/>
  <c r="C2022" i="5" s="1"/>
  <c r="B2022" i="5" l="1"/>
  <c r="C2023" i="5" s="1"/>
  <c r="B2023" i="5" l="1"/>
  <c r="C2024" i="5" s="1"/>
  <c r="B2024" i="5" l="1"/>
  <c r="C2025" i="5" s="1"/>
  <c r="B2025" i="5" l="1"/>
  <c r="C2026" i="5" s="1"/>
  <c r="B2026" i="5" l="1"/>
  <c r="C2027" i="5" s="1"/>
  <c r="B2027" i="5" l="1"/>
  <c r="C2028" i="5" s="1"/>
  <c r="B2028" i="5" l="1"/>
  <c r="C2029" i="5" s="1"/>
  <c r="B2029" i="5" l="1"/>
  <c r="C2030" i="5" s="1"/>
  <c r="B2030" i="5" l="1"/>
  <c r="C2031" i="5" s="1"/>
  <c r="B2031" i="5" l="1"/>
  <c r="C2032" i="5" s="1"/>
  <c r="B2032" i="5" l="1"/>
  <c r="C2033" i="5" s="1"/>
  <c r="B2033" i="5" l="1"/>
  <c r="C2034" i="5" s="1"/>
  <c r="B2034" i="5" l="1"/>
  <c r="C2035" i="5" s="1"/>
  <c r="B2035" i="5" l="1"/>
  <c r="C2036" i="5" s="1"/>
  <c r="B2036" i="5" l="1"/>
  <c r="C2037" i="5" s="1"/>
  <c r="B2037" i="5" l="1"/>
  <c r="C2038" i="5" s="1"/>
  <c r="B2038" i="5" l="1"/>
  <c r="C2039" i="5" s="1"/>
  <c r="B2039" i="5" l="1"/>
  <c r="C2040" i="5" s="1"/>
  <c r="B2040" i="5" l="1"/>
  <c r="C2041" i="5" s="1"/>
  <c r="B2041" i="5" l="1"/>
  <c r="C2042" i="5" s="1"/>
  <c r="B2042" i="5" l="1"/>
  <c r="C2043" i="5" s="1"/>
  <c r="B2043" i="5" l="1"/>
  <c r="C2044" i="5" s="1"/>
  <c r="B2044" i="5" l="1"/>
  <c r="C2045" i="5" s="1"/>
  <c r="B2045" i="5" l="1"/>
  <c r="C2046" i="5" s="1"/>
  <c r="B2046" i="5" l="1"/>
  <c r="C2047" i="5" s="1"/>
  <c r="B2047" i="5" l="1"/>
  <c r="C2048" i="5" s="1"/>
  <c r="B2048" i="5" l="1"/>
  <c r="C2049" i="5" s="1"/>
  <c r="B2049" i="5" l="1"/>
  <c r="C2050" i="5" s="1"/>
  <c r="B2050" i="5" l="1"/>
  <c r="C2051" i="5" s="1"/>
  <c r="B2051" i="5" l="1"/>
  <c r="C2052" i="5" s="1"/>
  <c r="B2052" i="5" l="1"/>
  <c r="C2053" i="5" s="1"/>
  <c r="B2053" i="5" l="1"/>
  <c r="C2054" i="5" s="1"/>
  <c r="B2054" i="5" l="1"/>
  <c r="C2055" i="5" s="1"/>
  <c r="B2055" i="5" l="1"/>
  <c r="C2056" i="5" s="1"/>
  <c r="B2056" i="5" l="1"/>
  <c r="C2057" i="5" s="1"/>
  <c r="B2057" i="5" l="1"/>
  <c r="C2058" i="5" s="1"/>
  <c r="B2058" i="5" l="1"/>
  <c r="C2059" i="5" s="1"/>
  <c r="B2059" i="5" l="1"/>
  <c r="C2060" i="5" s="1"/>
  <c r="B2060" i="5" l="1"/>
  <c r="C2061" i="5" s="1"/>
  <c r="B2061" i="5" l="1"/>
  <c r="C2062" i="5" s="1"/>
  <c r="B2062" i="5" l="1"/>
  <c r="C2063" i="5" s="1"/>
  <c r="B2063" i="5" l="1"/>
  <c r="C2064" i="5" s="1"/>
  <c r="B2064" i="5" l="1"/>
  <c r="C2065" i="5" s="1"/>
  <c r="B2065" i="5" l="1"/>
  <c r="C2066" i="5" s="1"/>
  <c r="B2066" i="5" l="1"/>
  <c r="C2067" i="5" s="1"/>
  <c r="B2067" i="5" l="1"/>
  <c r="C2068" i="5" s="1"/>
  <c r="B2068" i="5" l="1"/>
  <c r="C2069" i="5" s="1"/>
  <c r="B2069" i="5" l="1"/>
  <c r="C2070" i="5" s="1"/>
  <c r="B2070" i="5" l="1"/>
  <c r="C2071" i="5" s="1"/>
  <c r="B2071" i="5" l="1"/>
  <c r="C2072" i="5" s="1"/>
  <c r="B2072" i="5" l="1"/>
  <c r="C2073" i="5" s="1"/>
  <c r="B2073" i="5" l="1"/>
  <c r="C2074" i="5" s="1"/>
  <c r="B2074" i="5" l="1"/>
  <c r="C2075" i="5" s="1"/>
  <c r="B2075" i="5" l="1"/>
  <c r="C2076" i="5" s="1"/>
  <c r="B2076" i="5" l="1"/>
  <c r="C2077" i="5" s="1"/>
  <c r="B2077" i="5" l="1"/>
  <c r="C2078" i="5" s="1"/>
  <c r="B2078" i="5" l="1"/>
  <c r="C2079" i="5" s="1"/>
  <c r="B2079" i="5" l="1"/>
  <c r="C2080" i="5" s="1"/>
  <c r="B2080" i="5" l="1"/>
  <c r="C2081" i="5" s="1"/>
  <c r="B2081" i="5" l="1"/>
  <c r="C2082" i="5" s="1"/>
  <c r="B2082" i="5" l="1"/>
  <c r="C2083" i="5" s="1"/>
  <c r="B2083" i="5" l="1"/>
  <c r="C2084" i="5" s="1"/>
  <c r="B2084" i="5" l="1"/>
  <c r="C2085" i="5" s="1"/>
  <c r="B2085" i="5" l="1"/>
  <c r="C2086" i="5" s="1"/>
  <c r="B2086" i="5" l="1"/>
  <c r="C2087" i="5" s="1"/>
  <c r="B2087" i="5" l="1"/>
  <c r="C2088" i="5" s="1"/>
  <c r="B2088" i="5" l="1"/>
  <c r="C2089" i="5" s="1"/>
  <c r="B2089" i="5" l="1"/>
  <c r="C2090" i="5" s="1"/>
  <c r="B2090" i="5" l="1"/>
  <c r="C2091" i="5" s="1"/>
  <c r="B2091" i="5" l="1"/>
  <c r="C2092" i="5" s="1"/>
  <c r="B2092" i="5" l="1"/>
  <c r="C2093" i="5" s="1"/>
  <c r="B2093" i="5" l="1"/>
  <c r="C2094" i="5" s="1"/>
  <c r="B2094" i="5" l="1"/>
  <c r="C2095" i="5" s="1"/>
  <c r="B2095" i="5" l="1"/>
  <c r="C2096" i="5" s="1"/>
  <c r="B2096" i="5" l="1"/>
  <c r="C2097" i="5" s="1"/>
  <c r="B2097" i="5" l="1"/>
  <c r="C2098" i="5" s="1"/>
  <c r="B2098" i="5" l="1"/>
  <c r="C2099" i="5" s="1"/>
  <c r="B2099" i="5" l="1"/>
  <c r="C2100" i="5" s="1"/>
  <c r="B2100" i="5" l="1"/>
  <c r="C2101" i="5" s="1"/>
  <c r="B2101" i="5" l="1"/>
  <c r="C2102" i="5" s="1"/>
  <c r="B2102" i="5" l="1"/>
  <c r="C2103" i="5" s="1"/>
  <c r="B2103" i="5" l="1"/>
  <c r="C2104" i="5" s="1"/>
  <c r="B2104" i="5" l="1"/>
  <c r="C2105" i="5" s="1"/>
  <c r="B2105" i="5" l="1"/>
  <c r="C2106" i="5" s="1"/>
  <c r="B2106" i="5" l="1"/>
  <c r="C2107" i="5" s="1"/>
  <c r="B2107" i="5" l="1"/>
  <c r="C2108" i="5" s="1"/>
  <c r="B2108" i="5" l="1"/>
  <c r="C2109" i="5" s="1"/>
  <c r="B2109" i="5" l="1"/>
  <c r="C2110" i="5" s="1"/>
  <c r="B2110" i="5" l="1"/>
  <c r="C2111" i="5" s="1"/>
  <c r="B2111" i="5" l="1"/>
  <c r="C2112" i="5" s="1"/>
  <c r="B2112" i="5" l="1"/>
  <c r="C2113" i="5" s="1"/>
  <c r="B2113" i="5" l="1"/>
  <c r="C2114" i="5" s="1"/>
  <c r="B2114" i="5" l="1"/>
  <c r="C2115" i="5" s="1"/>
  <c r="B2115" i="5" l="1"/>
  <c r="C2116" i="5" s="1"/>
  <c r="B2116" i="5" l="1"/>
  <c r="C2117" i="5" s="1"/>
  <c r="B2117" i="5" l="1"/>
  <c r="C2118" i="5" s="1"/>
  <c r="B2118" i="5" l="1"/>
  <c r="C2119" i="5" s="1"/>
  <c r="B2119" i="5" l="1"/>
  <c r="C2120" i="5" s="1"/>
  <c r="B2120" i="5" l="1"/>
  <c r="C2121" i="5" s="1"/>
  <c r="B2121" i="5" l="1"/>
  <c r="C2122" i="5" s="1"/>
  <c r="B2122" i="5" l="1"/>
  <c r="C2123" i="5" s="1"/>
  <c r="B2123" i="5" l="1"/>
  <c r="C2124" i="5" s="1"/>
  <c r="B2124" i="5" l="1"/>
  <c r="C2125" i="5" s="1"/>
  <c r="B2125" i="5" l="1"/>
  <c r="C2126" i="5" s="1"/>
  <c r="B2126" i="5" l="1"/>
  <c r="C2127" i="5" s="1"/>
  <c r="B2127" i="5" l="1"/>
  <c r="C2128" i="5" s="1"/>
  <c r="B2128" i="5" l="1"/>
  <c r="C2129" i="5" s="1"/>
  <c r="B2129" i="5" l="1"/>
  <c r="C2130" i="5" s="1"/>
  <c r="B2130" i="5" l="1"/>
  <c r="C2131" i="5" s="1"/>
  <c r="B2131" i="5" l="1"/>
  <c r="C2132" i="5" s="1"/>
  <c r="B2132" i="5" l="1"/>
  <c r="C2133" i="5" s="1"/>
  <c r="B2133" i="5" l="1"/>
  <c r="C2134" i="5" s="1"/>
  <c r="B2134" i="5" l="1"/>
  <c r="C2135" i="5" s="1"/>
  <c r="B2135" i="5" l="1"/>
  <c r="C2136" i="5" s="1"/>
  <c r="B2136" i="5" l="1"/>
  <c r="C2137" i="5" s="1"/>
  <c r="B2137" i="5" l="1"/>
  <c r="C2138" i="5" s="1"/>
  <c r="B2138" i="5" l="1"/>
  <c r="C2139" i="5" s="1"/>
  <c r="B2139" i="5" l="1"/>
  <c r="C2140" i="5" s="1"/>
  <c r="B2140" i="5" l="1"/>
  <c r="C2141" i="5" s="1"/>
  <c r="B2141" i="5" l="1"/>
  <c r="C2142" i="5" s="1"/>
  <c r="B2142" i="5" l="1"/>
  <c r="C2143" i="5" s="1"/>
  <c r="B2143" i="5" l="1"/>
  <c r="C2144" i="5" s="1"/>
  <c r="B2144" i="5" l="1"/>
  <c r="C2145" i="5" s="1"/>
  <c r="B2145" i="5" l="1"/>
  <c r="C2146" i="5" s="1"/>
  <c r="B2146" i="5" l="1"/>
  <c r="C2147" i="5" s="1"/>
  <c r="B2147" i="5" l="1"/>
  <c r="C2148" i="5" s="1"/>
  <c r="B2148" i="5" l="1"/>
  <c r="C2149" i="5" s="1"/>
  <c r="B2149" i="5" l="1"/>
  <c r="C2150" i="5" s="1"/>
  <c r="B2150" i="5" l="1"/>
  <c r="C2151" i="5" s="1"/>
  <c r="B2151" i="5" l="1"/>
  <c r="C2152" i="5" s="1"/>
  <c r="B2152" i="5" l="1"/>
  <c r="C2153" i="5" s="1"/>
  <c r="B2153" i="5" l="1"/>
  <c r="C2154" i="5" s="1"/>
  <c r="B2154" i="5" l="1"/>
  <c r="C2155" i="5" s="1"/>
  <c r="B2155" i="5" l="1"/>
  <c r="C2156" i="5" s="1"/>
  <c r="B2156" i="5" l="1"/>
  <c r="C2157" i="5" s="1"/>
  <c r="B2157" i="5" l="1"/>
  <c r="C2158" i="5" s="1"/>
  <c r="B2158" i="5" l="1"/>
  <c r="C2159" i="5" s="1"/>
  <c r="B2159" i="5" l="1"/>
  <c r="C2160" i="5" s="1"/>
  <c r="B2160" i="5" l="1"/>
  <c r="C2161" i="5" s="1"/>
  <c r="B2161" i="5" l="1"/>
  <c r="C2162" i="5" s="1"/>
  <c r="B2162" i="5" l="1"/>
  <c r="C2163" i="5" s="1"/>
  <c r="B2163" i="5" l="1"/>
  <c r="C2164" i="5" s="1"/>
  <c r="B2164" i="5" l="1"/>
  <c r="C2165" i="5" s="1"/>
  <c r="B2165" i="5" l="1"/>
  <c r="C2166" i="5" s="1"/>
  <c r="B2166" i="5" l="1"/>
  <c r="C2167" i="5" s="1"/>
  <c r="B2167" i="5" l="1"/>
  <c r="C2168" i="5" s="1"/>
  <c r="B2168" i="5" l="1"/>
  <c r="C2169" i="5" s="1"/>
  <c r="B2169" i="5" l="1"/>
  <c r="C2170" i="5" s="1"/>
  <c r="B2170" i="5" l="1"/>
  <c r="C2171" i="5" s="1"/>
  <c r="B2171" i="5" l="1"/>
  <c r="C2172" i="5" s="1"/>
  <c r="B2172" i="5" l="1"/>
  <c r="C2173" i="5" s="1"/>
  <c r="B2173" i="5" l="1"/>
  <c r="C2174" i="5" s="1"/>
  <c r="B2174" i="5" l="1"/>
  <c r="C2175" i="5" s="1"/>
  <c r="B2175" i="5" l="1"/>
  <c r="C2176" i="5" s="1"/>
  <c r="B2176" i="5" l="1"/>
  <c r="C2177" i="5" s="1"/>
  <c r="B2177" i="5" l="1"/>
  <c r="C2178" i="5" s="1"/>
  <c r="B2178" i="5" l="1"/>
  <c r="C2179" i="5" s="1"/>
  <c r="B2179" i="5" l="1"/>
  <c r="C2180" i="5" s="1"/>
  <c r="B2180" i="5" l="1"/>
  <c r="C2181" i="5" s="1"/>
  <c r="B2181" i="5" l="1"/>
  <c r="C2182" i="5" s="1"/>
  <c r="B2182" i="5" l="1"/>
  <c r="C2183" i="5" s="1"/>
  <c r="B2183" i="5" l="1"/>
  <c r="C2184" i="5" s="1"/>
  <c r="B2184" i="5" l="1"/>
  <c r="C2185" i="5" s="1"/>
  <c r="B2185" i="5" l="1"/>
  <c r="C2186" i="5" s="1"/>
  <c r="B2186" i="5" l="1"/>
  <c r="C2187" i="5" s="1"/>
  <c r="B2187" i="5" l="1"/>
  <c r="C2188" i="5" s="1"/>
  <c r="B2188" i="5" l="1"/>
  <c r="C2189" i="5" s="1"/>
  <c r="B2189" i="5" l="1"/>
  <c r="C2190" i="5" s="1"/>
  <c r="B2190" i="5" l="1"/>
  <c r="C2191" i="5" s="1"/>
  <c r="B2191" i="5" l="1"/>
  <c r="C2192" i="5" s="1"/>
  <c r="B2192" i="5" l="1"/>
  <c r="C2193" i="5" s="1"/>
  <c r="B2193" i="5" l="1"/>
  <c r="C2194" i="5" s="1"/>
  <c r="B2194" i="5" l="1"/>
  <c r="C2195" i="5" s="1"/>
  <c r="B2195" i="5" l="1"/>
  <c r="C2196" i="5" s="1"/>
  <c r="B2196" i="5" l="1"/>
  <c r="C2197" i="5" s="1"/>
  <c r="B2197" i="5" l="1"/>
  <c r="C2198" i="5" s="1"/>
  <c r="B2198" i="5" l="1"/>
  <c r="C2199" i="5" s="1"/>
  <c r="B2199" i="5" l="1"/>
  <c r="C2200" i="5" s="1"/>
  <c r="B2200" i="5" l="1"/>
  <c r="C2201" i="5" s="1"/>
  <c r="B2201" i="5" l="1"/>
  <c r="C2202" i="5" s="1"/>
  <c r="B2202" i="5" l="1"/>
  <c r="C2203" i="5" s="1"/>
  <c r="B2203" i="5" l="1"/>
  <c r="C2204" i="5" s="1"/>
  <c r="B2204" i="5" l="1"/>
  <c r="C2205" i="5" s="1"/>
  <c r="B2205" i="5" l="1"/>
  <c r="C2206" i="5" s="1"/>
  <c r="B2206" i="5" l="1"/>
  <c r="C2207" i="5" s="1"/>
  <c r="B2207" i="5" l="1"/>
  <c r="C2208" i="5" s="1"/>
  <c r="B2208" i="5" l="1"/>
  <c r="C2209" i="5" s="1"/>
  <c r="B2209" i="5" l="1"/>
  <c r="C2210" i="5" s="1"/>
  <c r="B2210" i="5" l="1"/>
  <c r="C2211" i="5" s="1"/>
  <c r="B2211" i="5" l="1"/>
  <c r="C2212" i="5" s="1"/>
  <c r="B2212" i="5" l="1"/>
  <c r="C2213" i="5" s="1"/>
  <c r="B2213" i="5" l="1"/>
  <c r="C2214" i="5" s="1"/>
  <c r="B2214" i="5" l="1"/>
  <c r="C2215" i="5" s="1"/>
  <c r="B2215" i="5" l="1"/>
  <c r="C2216" i="5" s="1"/>
  <c r="B2216" i="5" l="1"/>
  <c r="C2217" i="5" s="1"/>
  <c r="B2217" i="5" l="1"/>
  <c r="C2218" i="5" s="1"/>
  <c r="B2218" i="5" l="1"/>
  <c r="C2219" i="5" s="1"/>
  <c r="B2219" i="5" l="1"/>
  <c r="C2220" i="5" s="1"/>
  <c r="B2220" i="5" l="1"/>
  <c r="C2221" i="5" s="1"/>
  <c r="B2221" i="5" l="1"/>
  <c r="C2222" i="5" s="1"/>
  <c r="B2222" i="5" l="1"/>
  <c r="C2223" i="5" s="1"/>
  <c r="B2223" i="5" l="1"/>
  <c r="C2224" i="5" s="1"/>
  <c r="B2224" i="5" l="1"/>
  <c r="C2225" i="5" s="1"/>
  <c r="B2225" i="5" l="1"/>
  <c r="C2226" i="5" s="1"/>
  <c r="B2226" i="5" l="1"/>
  <c r="C2227" i="5" s="1"/>
  <c r="B2227" i="5" l="1"/>
  <c r="C2228" i="5" s="1"/>
  <c r="B2228" i="5" l="1"/>
  <c r="C2229" i="5" s="1"/>
  <c r="B2229" i="5" l="1"/>
  <c r="C2230" i="5" s="1"/>
  <c r="B2230" i="5" l="1"/>
  <c r="C2231" i="5" s="1"/>
  <c r="B2231" i="5" l="1"/>
  <c r="C2232" i="5" s="1"/>
  <c r="B2232" i="5" l="1"/>
  <c r="C2233" i="5" s="1"/>
  <c r="B2233" i="5" l="1"/>
  <c r="C2234" i="5" s="1"/>
  <c r="B2234" i="5" l="1"/>
  <c r="C2235" i="5" s="1"/>
  <c r="B2235" i="5" l="1"/>
  <c r="C2236" i="5" s="1"/>
  <c r="B2236" i="5" l="1"/>
  <c r="C2237" i="5" s="1"/>
  <c r="B2237" i="5" l="1"/>
  <c r="C2238" i="5" s="1"/>
  <c r="B2238" i="5" l="1"/>
  <c r="C2239" i="5" s="1"/>
  <c r="B2239" i="5" l="1"/>
  <c r="C2240" i="5" s="1"/>
  <c r="B2240" i="5" l="1"/>
  <c r="C2241" i="5" s="1"/>
  <c r="B2241" i="5" l="1"/>
  <c r="C2242" i="5" s="1"/>
  <c r="B2242" i="5" l="1"/>
  <c r="C2243" i="5" s="1"/>
  <c r="B2243" i="5" l="1"/>
  <c r="C2244" i="5" s="1"/>
  <c r="B2244" i="5" l="1"/>
  <c r="C2245" i="5" s="1"/>
  <c r="B2245" i="5" l="1"/>
  <c r="C2246" i="5" s="1"/>
  <c r="B2246" i="5" l="1"/>
  <c r="C2247" i="5" s="1"/>
  <c r="B2247" i="5" l="1"/>
  <c r="C2248" i="5" s="1"/>
  <c r="B2248" i="5" l="1"/>
  <c r="C2249" i="5" s="1"/>
  <c r="B2249" i="5" l="1"/>
  <c r="C2250" i="5" s="1"/>
  <c r="B2250" i="5" l="1"/>
  <c r="C2251" i="5" s="1"/>
  <c r="B2251" i="5" l="1"/>
  <c r="C2252" i="5" s="1"/>
  <c r="B2252" i="5" l="1"/>
  <c r="C2253" i="5" s="1"/>
  <c r="B2253" i="5" l="1"/>
  <c r="C2254" i="5" s="1"/>
  <c r="B2254" i="5" l="1"/>
  <c r="C2255" i="5" s="1"/>
  <c r="B2255" i="5" l="1"/>
  <c r="C2256" i="5" s="1"/>
  <c r="B2256" i="5" l="1"/>
  <c r="C2257" i="5" s="1"/>
  <c r="B2257" i="5" l="1"/>
  <c r="C2258" i="5" s="1"/>
  <c r="B2258" i="5" l="1"/>
  <c r="C2259" i="5" s="1"/>
  <c r="B2259" i="5" l="1"/>
  <c r="C2260" i="5" s="1"/>
  <c r="B2260" i="5" l="1"/>
  <c r="C2261" i="5" s="1"/>
  <c r="B2261" i="5" l="1"/>
  <c r="C2262" i="5" s="1"/>
  <c r="B2262" i="5" l="1"/>
  <c r="C2263" i="5" s="1"/>
  <c r="B2263" i="5" l="1"/>
  <c r="C2264" i="5" s="1"/>
  <c r="B2264" i="5" l="1"/>
  <c r="C2265" i="5" s="1"/>
  <c r="B2265" i="5" l="1"/>
  <c r="C2266" i="5" s="1"/>
  <c r="B2266" i="5" l="1"/>
  <c r="C2267" i="5" s="1"/>
  <c r="B2267" i="5" l="1"/>
  <c r="C2268" i="5" s="1"/>
  <c r="B2268" i="5" l="1"/>
  <c r="C2269" i="5" s="1"/>
  <c r="B2269" i="5" l="1"/>
  <c r="C2270" i="5" s="1"/>
  <c r="B2270" i="5" l="1"/>
  <c r="C2271" i="5" s="1"/>
  <c r="B2271" i="5" l="1"/>
  <c r="C2272" i="5" s="1"/>
  <c r="B2272" i="5" l="1"/>
  <c r="C2273" i="5" s="1"/>
  <c r="B2273" i="5" l="1"/>
  <c r="C2274" i="5" s="1"/>
  <c r="B2274" i="5" l="1"/>
  <c r="C2275" i="5" s="1"/>
  <c r="B2275" i="5" l="1"/>
  <c r="C2276" i="5" s="1"/>
  <c r="B2276" i="5" l="1"/>
  <c r="C2277" i="5" s="1"/>
  <c r="B2277" i="5" l="1"/>
  <c r="C2278" i="5" s="1"/>
  <c r="B2278" i="5" l="1"/>
  <c r="C2279" i="5" s="1"/>
  <c r="B2279" i="5" l="1"/>
  <c r="C2280" i="5" s="1"/>
  <c r="B2280" i="5" l="1"/>
  <c r="C2281" i="5" s="1"/>
  <c r="B2281" i="5" l="1"/>
  <c r="C2282" i="5" s="1"/>
  <c r="B2282" i="5" l="1"/>
  <c r="C2283" i="5" s="1"/>
  <c r="B2283" i="5" l="1"/>
  <c r="C2284" i="5" s="1"/>
  <c r="B2284" i="5" l="1"/>
  <c r="C2285" i="5" s="1"/>
  <c r="B2285" i="5" l="1"/>
  <c r="C2286" i="5" s="1"/>
  <c r="B2286" i="5" l="1"/>
  <c r="C2287" i="5" s="1"/>
  <c r="B2287" i="5" l="1"/>
  <c r="C2288" i="5" s="1"/>
  <c r="B2288" i="5" l="1"/>
  <c r="C2289" i="5" s="1"/>
  <c r="B2289" i="5" l="1"/>
  <c r="C2290" i="5" s="1"/>
  <c r="B2290" i="5" l="1"/>
  <c r="C2291" i="5" s="1"/>
  <c r="B2291" i="5" l="1"/>
  <c r="C2292" i="5" s="1"/>
  <c r="B2292" i="5" l="1"/>
  <c r="C2293" i="5" s="1"/>
  <c r="B2293" i="5" l="1"/>
  <c r="C2294" i="5" s="1"/>
  <c r="B2294" i="5" l="1"/>
  <c r="C2295" i="5" s="1"/>
  <c r="B2295" i="5" l="1"/>
  <c r="C2296" i="5" s="1"/>
  <c r="B2296" i="5" l="1"/>
  <c r="C2297" i="5" s="1"/>
  <c r="B2297" i="5" l="1"/>
  <c r="C2298" i="5" s="1"/>
  <c r="B2298" i="5" l="1"/>
  <c r="C2299" i="5" s="1"/>
  <c r="B2299" i="5" l="1"/>
  <c r="C2300" i="5" s="1"/>
  <c r="B2300" i="5" l="1"/>
  <c r="C2301" i="5" s="1"/>
  <c r="B2301" i="5" l="1"/>
  <c r="C2302" i="5" s="1"/>
  <c r="B2302" i="5" l="1"/>
  <c r="C2303" i="5" s="1"/>
  <c r="B2303" i="5" l="1"/>
  <c r="C2304" i="5" s="1"/>
  <c r="B2304" i="5" l="1"/>
  <c r="C2305" i="5" s="1"/>
  <c r="B2305" i="5" l="1"/>
  <c r="C2306" i="5" s="1"/>
  <c r="B2306" i="5" l="1"/>
  <c r="C2307" i="5" s="1"/>
  <c r="B2307" i="5" l="1"/>
  <c r="C2308" i="5" s="1"/>
  <c r="B2308" i="5" l="1"/>
  <c r="C2309" i="5" s="1"/>
  <c r="B2309" i="5" l="1"/>
  <c r="C2310" i="5" s="1"/>
  <c r="B2310" i="5" l="1"/>
  <c r="C2311" i="5" s="1"/>
  <c r="B2311" i="5" l="1"/>
  <c r="C2312" i="5" s="1"/>
  <c r="B2312" i="5" l="1"/>
  <c r="C2313" i="5" s="1"/>
  <c r="B2313" i="5" l="1"/>
  <c r="C2314" i="5" s="1"/>
  <c r="B2314" i="5" l="1"/>
  <c r="C2315" i="5" s="1"/>
  <c r="B2315" i="5" l="1"/>
  <c r="C2316" i="5" s="1"/>
  <c r="B2316" i="5" l="1"/>
  <c r="C2317" i="5" s="1"/>
  <c r="B2317" i="5" l="1"/>
  <c r="C2318" i="5" s="1"/>
  <c r="B2318" i="5" l="1"/>
  <c r="C2319" i="5" s="1"/>
  <c r="B2319" i="5" l="1"/>
  <c r="C2320" i="5" s="1"/>
  <c r="B2320" i="5" l="1"/>
  <c r="C2321" i="5" s="1"/>
  <c r="B2321" i="5" l="1"/>
  <c r="C2322" i="5" s="1"/>
  <c r="B2322" i="5" l="1"/>
  <c r="C2323" i="5" s="1"/>
  <c r="B2323" i="5" l="1"/>
  <c r="C2324" i="5" s="1"/>
  <c r="B2324" i="5" l="1"/>
  <c r="C2325" i="5" s="1"/>
  <c r="B2325" i="5" l="1"/>
  <c r="C2326" i="5" s="1"/>
  <c r="B2326" i="5" l="1"/>
  <c r="C2327" i="5" s="1"/>
  <c r="B2327" i="5" l="1"/>
  <c r="C2328" i="5" s="1"/>
  <c r="B2328" i="5"/>
  <c r="C2329" i="5" s="1"/>
  <c r="B2329" i="5" l="1"/>
  <c r="C2330" i="5" s="1"/>
  <c r="B2330" i="5" l="1"/>
  <c r="C2331" i="5" s="1"/>
  <c r="B2331" i="5" l="1"/>
  <c r="C2332" i="5" s="1"/>
  <c r="B2332" i="5" l="1"/>
  <c r="C2333" i="5" s="1"/>
  <c r="B2333" i="5" l="1"/>
  <c r="C2334" i="5" s="1"/>
  <c r="B2334" i="5" l="1"/>
  <c r="C2335" i="5" s="1"/>
  <c r="B2335" i="5" l="1"/>
  <c r="C2336" i="5" s="1"/>
  <c r="B2336" i="5" l="1"/>
  <c r="C2337" i="5" s="1"/>
  <c r="B2337" i="5" l="1"/>
  <c r="C2338" i="5" s="1"/>
  <c r="B2338" i="5" l="1"/>
  <c r="C2339" i="5" s="1"/>
  <c r="B2339" i="5" l="1"/>
  <c r="C2340" i="5" s="1"/>
  <c r="B2340" i="5" l="1"/>
  <c r="C2341" i="5" s="1"/>
  <c r="B2341" i="5" l="1"/>
  <c r="C2342" i="5" s="1"/>
  <c r="B2342" i="5" l="1"/>
  <c r="C2343" i="5" s="1"/>
  <c r="B2343" i="5" l="1"/>
  <c r="C2344" i="5" s="1"/>
  <c r="B2344" i="5" l="1"/>
  <c r="C2345" i="5" s="1"/>
  <c r="B2345" i="5" l="1"/>
  <c r="C2346" i="5" s="1"/>
  <c r="B2346" i="5" l="1"/>
  <c r="C2347" i="5" s="1"/>
  <c r="B2347" i="5" l="1"/>
  <c r="C2348" i="5" s="1"/>
  <c r="B2348" i="5" l="1"/>
  <c r="C2349" i="5" s="1"/>
  <c r="B2349" i="5" l="1"/>
  <c r="C2350" i="5" s="1"/>
  <c r="B2350" i="5" l="1"/>
  <c r="C2351" i="5" s="1"/>
  <c r="B2351" i="5" l="1"/>
  <c r="C2352" i="5" s="1"/>
  <c r="B2352" i="5" l="1"/>
  <c r="C2353" i="5" s="1"/>
  <c r="B2353" i="5" l="1"/>
  <c r="C2354" i="5" s="1"/>
  <c r="B2354" i="5" l="1"/>
  <c r="C2355" i="5" s="1"/>
  <c r="B2355" i="5" l="1"/>
  <c r="C2356" i="5" s="1"/>
  <c r="B2356" i="5" l="1"/>
  <c r="C2357" i="5" s="1"/>
  <c r="B2357" i="5" l="1"/>
  <c r="C2358" i="5" s="1"/>
  <c r="B2358" i="5" l="1"/>
  <c r="C2359" i="5" s="1"/>
  <c r="B2359" i="5" l="1"/>
  <c r="C2360" i="5" s="1"/>
  <c r="B2360" i="5" l="1"/>
  <c r="C2361" i="5" s="1"/>
  <c r="B2361" i="5" l="1"/>
  <c r="C2362" i="5" s="1"/>
  <c r="B2362" i="5" l="1"/>
  <c r="C2363" i="5" s="1"/>
  <c r="B2363" i="5" l="1"/>
  <c r="C2364" i="5" s="1"/>
  <c r="B2364" i="5" l="1"/>
  <c r="C2365" i="5" s="1"/>
  <c r="B2365" i="5" l="1"/>
  <c r="C2366" i="5" s="1"/>
  <c r="B2366" i="5" l="1"/>
  <c r="C2367" i="5" s="1"/>
  <c r="B2367" i="5" l="1"/>
  <c r="C2368" i="5" s="1"/>
  <c r="B2368" i="5" l="1"/>
  <c r="C2369" i="5" s="1"/>
  <c r="B2369" i="5" l="1"/>
  <c r="C2370" i="5" s="1"/>
  <c r="B2370" i="5" l="1"/>
  <c r="C2371" i="5" s="1"/>
  <c r="B2371" i="5" l="1"/>
  <c r="C2372" i="5" s="1"/>
  <c r="B2372" i="5" l="1"/>
  <c r="C2373" i="5" s="1"/>
  <c r="B2373" i="5" l="1"/>
  <c r="C2374" i="5" s="1"/>
  <c r="B2374" i="5" l="1"/>
  <c r="C2375" i="5" s="1"/>
  <c r="B2375" i="5" l="1"/>
  <c r="C2376" i="5" s="1"/>
  <c r="B2376" i="5" l="1"/>
  <c r="C2377" i="5" s="1"/>
  <c r="B2377" i="5" l="1"/>
  <c r="C2378" i="5" s="1"/>
  <c r="B2378" i="5" l="1"/>
  <c r="C2379" i="5" s="1"/>
  <c r="B2379" i="5" l="1"/>
  <c r="C2380" i="5" s="1"/>
  <c r="B2380" i="5" l="1"/>
  <c r="C2381" i="5" s="1"/>
  <c r="B2381" i="5" l="1"/>
  <c r="C2382" i="5" s="1"/>
  <c r="B2382" i="5" l="1"/>
  <c r="C2383" i="5" s="1"/>
  <c r="B2383" i="5" l="1"/>
  <c r="C2384" i="5" s="1"/>
  <c r="B2384" i="5" l="1"/>
  <c r="C2385" i="5" s="1"/>
  <c r="B2385" i="5" l="1"/>
  <c r="C2386" i="5" s="1"/>
  <c r="B2386" i="5" l="1"/>
  <c r="C2387" i="5" s="1"/>
  <c r="B2387" i="5" l="1"/>
  <c r="C2388" i="5" s="1"/>
  <c r="B2388" i="5" l="1"/>
  <c r="C2389" i="5" s="1"/>
  <c r="B2389" i="5" l="1"/>
  <c r="C2390" i="5" s="1"/>
  <c r="B2390" i="5" l="1"/>
  <c r="C2391" i="5" s="1"/>
  <c r="B2391" i="5" l="1"/>
  <c r="C2392" i="5" s="1"/>
  <c r="B2392" i="5" l="1"/>
  <c r="C2393" i="5" s="1"/>
  <c r="B2393" i="5" l="1"/>
  <c r="C2394" i="5" s="1"/>
  <c r="B2394" i="5" l="1"/>
  <c r="C2395" i="5" s="1"/>
  <c r="B2395" i="5" l="1"/>
  <c r="C2396" i="5" s="1"/>
  <c r="B2396" i="5" l="1"/>
  <c r="C2397" i="5" s="1"/>
  <c r="B2397" i="5" l="1"/>
  <c r="C2398" i="5" s="1"/>
  <c r="B2398" i="5" l="1"/>
  <c r="C2399" i="5" s="1"/>
  <c r="B2399" i="5" l="1"/>
  <c r="C2400" i="5" s="1"/>
  <c r="B2400" i="5" l="1"/>
  <c r="C2401" i="5" s="1"/>
  <c r="B2401" i="5" l="1"/>
  <c r="C2402" i="5" s="1"/>
  <c r="B2402" i="5" l="1"/>
  <c r="C2403" i="5" s="1"/>
  <c r="B2403" i="5" l="1"/>
  <c r="C2404" i="5" s="1"/>
  <c r="B2404" i="5" l="1"/>
  <c r="C2405" i="5" s="1"/>
  <c r="B2405" i="5" l="1"/>
  <c r="C2406" i="5" s="1"/>
  <c r="B2406" i="5" l="1"/>
  <c r="C2407" i="5" s="1"/>
  <c r="B2407" i="5" l="1"/>
  <c r="C2408" i="5" s="1"/>
  <c r="B2408" i="5" l="1"/>
  <c r="C2409" i="5" s="1"/>
  <c r="B2409" i="5" l="1"/>
  <c r="C2410" i="5" s="1"/>
  <c r="B2410" i="5" l="1"/>
  <c r="C2411" i="5" s="1"/>
  <c r="B2411" i="5" l="1"/>
  <c r="C2412" i="5" s="1"/>
  <c r="B2412" i="5" l="1"/>
  <c r="C2413" i="5" s="1"/>
  <c r="B2413" i="5" l="1"/>
  <c r="C2414" i="5" s="1"/>
  <c r="B2414" i="5" l="1"/>
  <c r="C2415" i="5" s="1"/>
  <c r="B2415" i="5" l="1"/>
  <c r="C2416" i="5" s="1"/>
  <c r="B2416" i="5" l="1"/>
  <c r="C2417" i="5" s="1"/>
  <c r="B2417" i="5" l="1"/>
  <c r="C2418" i="5" s="1"/>
  <c r="B2418" i="5" l="1"/>
  <c r="C2419" i="5" s="1"/>
  <c r="B2419" i="5" l="1"/>
  <c r="C2420" i="5" s="1"/>
  <c r="B2420" i="5" l="1"/>
  <c r="C2421" i="5" s="1"/>
  <c r="B2421" i="5" l="1"/>
  <c r="C2422" i="5" s="1"/>
  <c r="B2422" i="5" l="1"/>
  <c r="C2423" i="5" s="1"/>
  <c r="B2423" i="5" l="1"/>
  <c r="C2424" i="5" s="1"/>
  <c r="B2424" i="5" l="1"/>
  <c r="C2425" i="5" s="1"/>
  <c r="B2425" i="5" l="1"/>
  <c r="C2426" i="5" s="1"/>
  <c r="B2426" i="5" l="1"/>
  <c r="C2427" i="5" s="1"/>
  <c r="B2427" i="5" l="1"/>
  <c r="C2428" i="5" s="1"/>
  <c r="B2428" i="5" l="1"/>
  <c r="C2429" i="5" s="1"/>
  <c r="B2429" i="5" l="1"/>
  <c r="C2430" i="5" s="1"/>
  <c r="B2430" i="5" l="1"/>
  <c r="C2431" i="5" s="1"/>
  <c r="B2431" i="5" l="1"/>
  <c r="C2432" i="5" s="1"/>
  <c r="B2432" i="5" l="1"/>
  <c r="C2433" i="5" s="1"/>
  <c r="B2433" i="5" l="1"/>
  <c r="C2434" i="5" s="1"/>
  <c r="B2434" i="5" l="1"/>
  <c r="C2435" i="5" s="1"/>
  <c r="B2435" i="5" l="1"/>
  <c r="C2436" i="5" s="1"/>
  <c r="B2436" i="5" l="1"/>
  <c r="C2437" i="5" s="1"/>
  <c r="B2437" i="5" l="1"/>
  <c r="C2438" i="5" s="1"/>
  <c r="B2438" i="5" l="1"/>
  <c r="C2439" i="5" s="1"/>
  <c r="B2439" i="5" l="1"/>
  <c r="C2440" i="5" s="1"/>
  <c r="B2440" i="5" l="1"/>
  <c r="C2441" i="5" s="1"/>
  <c r="B2441" i="5" l="1"/>
  <c r="C2442" i="5" s="1"/>
  <c r="B2442" i="5" l="1"/>
  <c r="C2443" i="5" s="1"/>
  <c r="B2443" i="5" l="1"/>
  <c r="C2444" i="5" s="1"/>
  <c r="B2444" i="5" l="1"/>
  <c r="C2445" i="5" s="1"/>
  <c r="B2445" i="5" l="1"/>
  <c r="C2446" i="5" s="1"/>
  <c r="B2446" i="5" l="1"/>
  <c r="C2447" i="5" s="1"/>
  <c r="B2447" i="5" l="1"/>
  <c r="C2448" i="5" s="1"/>
  <c r="B2448" i="5" l="1"/>
  <c r="C2449" i="5" s="1"/>
  <c r="B2449" i="5" l="1"/>
  <c r="C2450" i="5" s="1"/>
  <c r="B2450" i="5" l="1"/>
  <c r="C2451" i="5" s="1"/>
  <c r="B2451" i="5" l="1"/>
  <c r="C2452" i="5" s="1"/>
  <c r="B2452" i="5" l="1"/>
  <c r="C2453" i="5" s="1"/>
  <c r="B2453" i="5" l="1"/>
  <c r="C2454" i="5" s="1"/>
  <c r="B2454" i="5" l="1"/>
  <c r="C2455" i="5" s="1"/>
  <c r="B2455" i="5" l="1"/>
  <c r="C2456" i="5" s="1"/>
  <c r="B2456" i="5" l="1"/>
  <c r="C2457" i="5" s="1"/>
  <c r="B2457" i="5" l="1"/>
  <c r="C2458" i="5" s="1"/>
  <c r="B2458" i="5" l="1"/>
  <c r="C2459" i="5" s="1"/>
  <c r="B2459" i="5" l="1"/>
  <c r="C2460" i="5" s="1"/>
  <c r="B2460" i="5" l="1"/>
  <c r="C2461" i="5" s="1"/>
  <c r="B2461" i="5" l="1"/>
  <c r="C2462" i="5" s="1"/>
  <c r="B2462" i="5" l="1"/>
  <c r="C2463" i="5" s="1"/>
  <c r="B2463" i="5" l="1"/>
  <c r="C2464" i="5" s="1"/>
  <c r="B2464" i="5" l="1"/>
  <c r="C2465" i="5" s="1"/>
  <c r="B2465" i="5" l="1"/>
  <c r="C2466" i="5" s="1"/>
  <c r="B2466" i="5" l="1"/>
  <c r="C2467" i="5" s="1"/>
  <c r="B2467" i="5" l="1"/>
  <c r="C2468" i="5" s="1"/>
  <c r="B2468" i="5" l="1"/>
  <c r="C2469" i="5" s="1"/>
  <c r="B2469" i="5" l="1"/>
  <c r="C2470" i="5" s="1"/>
  <c r="B2470" i="5" l="1"/>
  <c r="C2471" i="5" s="1"/>
  <c r="B2471" i="5" l="1"/>
  <c r="C2472" i="5" s="1"/>
  <c r="B2472" i="5" l="1"/>
  <c r="C2473" i="5" s="1"/>
  <c r="B2473" i="5" l="1"/>
  <c r="C2474" i="5" s="1"/>
  <c r="B2474" i="5" l="1"/>
  <c r="C2475" i="5" s="1"/>
  <c r="B2475" i="5" l="1"/>
  <c r="C2476" i="5" s="1"/>
  <c r="B2476" i="5" l="1"/>
  <c r="C2477" i="5" s="1"/>
  <c r="B2477" i="5" l="1"/>
  <c r="C2478" i="5" s="1"/>
  <c r="B2478" i="5" l="1"/>
  <c r="C2479" i="5" s="1"/>
  <c r="B2479" i="5" l="1"/>
  <c r="C2480" i="5" s="1"/>
  <c r="B2480" i="5" l="1"/>
  <c r="C2481" i="5" s="1"/>
  <c r="B2481" i="5" l="1"/>
  <c r="C2482" i="5" s="1"/>
  <c r="B2482" i="5" l="1"/>
  <c r="C2483" i="5" s="1"/>
  <c r="B2483" i="5" l="1"/>
  <c r="C2484" i="5" s="1"/>
  <c r="B2484" i="5" l="1"/>
  <c r="C2485" i="5" s="1"/>
  <c r="B2485" i="5" l="1"/>
  <c r="C2486" i="5" s="1"/>
  <c r="B2486" i="5" l="1"/>
  <c r="C2487" i="5" s="1"/>
  <c r="B2487" i="5" l="1"/>
  <c r="C2488" i="5" s="1"/>
  <c r="B2488" i="5" l="1"/>
  <c r="C2489" i="5" s="1"/>
  <c r="B2489" i="5" l="1"/>
  <c r="C2490" i="5" s="1"/>
  <c r="B2490" i="5" l="1"/>
  <c r="C2491" i="5" s="1"/>
  <c r="B2491" i="5" l="1"/>
  <c r="C2492" i="5" s="1"/>
  <c r="B2492" i="5" l="1"/>
  <c r="C2493" i="5" s="1"/>
  <c r="B2493" i="5" l="1"/>
  <c r="C2494" i="5" s="1"/>
  <c r="B2494" i="5" l="1"/>
  <c r="C2495" i="5" s="1"/>
  <c r="B2495" i="5" l="1"/>
  <c r="C2496" i="5" s="1"/>
  <c r="B2496" i="5" l="1"/>
  <c r="C2497" i="5" s="1"/>
  <c r="B2497" i="5" l="1"/>
  <c r="C2498" i="5" s="1"/>
  <c r="B2498" i="5" l="1"/>
  <c r="C2499" i="5" s="1"/>
  <c r="B2499" i="5" l="1"/>
  <c r="C2500" i="5" s="1"/>
  <c r="B2500" i="5" l="1"/>
  <c r="C2501" i="5" s="1"/>
  <c r="B2501" i="5" l="1"/>
  <c r="C2502" i="5" s="1"/>
  <c r="B2502" i="5" l="1"/>
  <c r="C2503" i="5" s="1"/>
  <c r="B2503" i="5" l="1"/>
  <c r="C2504" i="5" s="1"/>
  <c r="B2504" i="5" l="1"/>
  <c r="T19" i="11"/>
  <c r="T19" i="15" s="1"/>
  <c r="P18" i="11"/>
  <c r="P18" i="15" s="1"/>
  <c r="T17" i="11"/>
  <c r="T17" i="15" s="1"/>
  <c r="P16" i="11"/>
  <c r="P16" i="15" s="1"/>
  <c r="L15" i="11"/>
  <c r="L15" i="15" s="1"/>
  <c r="P14" i="11"/>
  <c r="P14" i="15" s="1"/>
  <c r="L13" i="11"/>
  <c r="L13" i="15" s="1"/>
  <c r="H12" i="11"/>
  <c r="H12" i="15" s="1"/>
  <c r="L11" i="11"/>
  <c r="L11" i="15" s="1"/>
  <c r="H10" i="11"/>
  <c r="H10" i="15" s="1"/>
  <c r="D9" i="11"/>
  <c r="D9" i="15" s="1"/>
  <c r="H8" i="11"/>
  <c r="H8" i="15" s="1"/>
  <c r="D7" i="11"/>
  <c r="D7" i="15" s="1"/>
  <c r="T5" i="11"/>
  <c r="T5" i="15" s="1"/>
  <c r="D5" i="11"/>
  <c r="D5" i="15" s="1"/>
  <c r="T3" i="11"/>
  <c r="T3" i="15" s="1"/>
  <c r="S22" i="10"/>
  <c r="G20" i="11"/>
  <c r="G20" i="15" s="1"/>
  <c r="K19" i="11"/>
  <c r="K19" i="15" s="1"/>
  <c r="G18" i="11"/>
  <c r="G18" i="15" s="1"/>
  <c r="C17" i="11"/>
  <c r="C17" i="15" s="1"/>
  <c r="V16" i="10"/>
  <c r="S15" i="11"/>
  <c r="S15" i="15" s="1"/>
  <c r="O14" i="11"/>
  <c r="O14" i="15" s="1"/>
  <c r="K13" i="11"/>
  <c r="K13" i="15" s="1"/>
  <c r="G12" i="11"/>
  <c r="G12" i="15" s="1"/>
  <c r="K11" i="11"/>
  <c r="K11" i="15" s="1"/>
  <c r="G10" i="11"/>
  <c r="G10" i="15" s="1"/>
  <c r="V8" i="10"/>
  <c r="C9" i="11"/>
  <c r="C9" i="15" s="1"/>
  <c r="L20" i="11"/>
  <c r="L20" i="15" s="1"/>
  <c r="J18" i="11"/>
  <c r="J18" i="15" s="1"/>
  <c r="H17" i="11"/>
  <c r="H17" i="15" s="1"/>
  <c r="P15" i="11"/>
  <c r="P15" i="15" s="1"/>
  <c r="D14" i="11"/>
  <c r="D14" i="15" s="1"/>
  <c r="L12" i="11"/>
  <c r="L12" i="15" s="1"/>
  <c r="J10" i="11"/>
  <c r="J10" i="15" s="1"/>
  <c r="R8" i="11"/>
  <c r="R8" i="15" s="1"/>
  <c r="S7" i="11"/>
  <c r="S7" i="15" s="1"/>
  <c r="L6" i="11"/>
  <c r="L6" i="15" s="1"/>
  <c r="E5" i="11"/>
  <c r="E5" i="15" s="1"/>
  <c r="P22" i="10"/>
  <c r="Q3" i="11"/>
  <c r="Q3" i="15" s="1"/>
  <c r="I18" i="11"/>
  <c r="I18" i="15" s="1"/>
  <c r="Q16" i="11"/>
  <c r="Q16" i="15" s="1"/>
  <c r="O15" i="11"/>
  <c r="O15" i="15" s="1"/>
  <c r="C14" i="11"/>
  <c r="C14" i="15" s="1"/>
  <c r="V13" i="10"/>
  <c r="K12" i="11"/>
  <c r="K12" i="15" s="1"/>
  <c r="S10" i="11"/>
  <c r="S10" i="15" s="1"/>
  <c r="Q9" i="11"/>
  <c r="Q9" i="15" s="1"/>
  <c r="G8" i="11"/>
  <c r="G8" i="15" s="1"/>
  <c r="T6" i="11"/>
  <c r="T6" i="15" s="1"/>
  <c r="M5" i="11"/>
  <c r="M5" i="15" s="1"/>
  <c r="E4" i="11"/>
  <c r="E4" i="15" s="1"/>
  <c r="R19" i="11"/>
  <c r="R19" i="15" s="1"/>
  <c r="F18" i="11"/>
  <c r="F18" i="15" s="1"/>
  <c r="F17" i="11"/>
  <c r="F17" i="15" s="1"/>
  <c r="N15" i="11"/>
  <c r="N15" i="15" s="1"/>
  <c r="T12" i="11"/>
  <c r="T12" i="15" s="1"/>
  <c r="R11" i="11"/>
  <c r="R11" i="15" s="1"/>
  <c r="F10" i="11"/>
  <c r="F10" i="15" s="1"/>
  <c r="O8" i="11"/>
  <c r="O8" i="15" s="1"/>
  <c r="P20" i="11"/>
  <c r="P20" i="15" s="1"/>
  <c r="L17" i="11"/>
  <c r="L17" i="15" s="1"/>
  <c r="H14" i="11"/>
  <c r="H14" i="15" s="1"/>
  <c r="D11" i="11"/>
  <c r="D11" i="15" s="1"/>
  <c r="T7" i="11"/>
  <c r="T7" i="15" s="1"/>
  <c r="P4" i="11"/>
  <c r="P4" i="15" s="1"/>
  <c r="K22" i="10"/>
  <c r="L3" i="11"/>
  <c r="L3" i="15" s="1"/>
  <c r="V18" i="10"/>
  <c r="C19" i="11"/>
  <c r="C19" i="15" s="1"/>
  <c r="S17" i="11"/>
  <c r="S17" i="15" s="1"/>
  <c r="O16" i="11"/>
  <c r="O16" i="15" s="1"/>
  <c r="C11" i="11"/>
  <c r="C11" i="15" s="1"/>
  <c r="V10" i="10"/>
  <c r="S9" i="11"/>
  <c r="S9" i="15" s="1"/>
  <c r="N18" i="11"/>
  <c r="N18" i="15" s="1"/>
  <c r="R16" i="11"/>
  <c r="R16" i="15" s="1"/>
  <c r="J11" i="11"/>
  <c r="J11" i="15" s="1"/>
  <c r="J7" i="11"/>
  <c r="J7" i="15" s="1"/>
  <c r="I19" i="11"/>
  <c r="I19" i="15" s="1"/>
  <c r="E15" i="11"/>
  <c r="E15" i="15" s="1"/>
  <c r="M13" i="11"/>
  <c r="M13" i="15" s="1"/>
  <c r="G9" i="11"/>
  <c r="G9" i="15" s="1"/>
  <c r="C5" i="11"/>
  <c r="C5" i="15" s="1"/>
  <c r="V4" i="10"/>
  <c r="P3" i="11"/>
  <c r="P3" i="15" s="1"/>
  <c r="O22" i="10"/>
  <c r="T20" i="11"/>
  <c r="T20" i="15" s="1"/>
  <c r="N16" i="11"/>
  <c r="N16" i="15" s="1"/>
  <c r="H11" i="11"/>
  <c r="H11" i="15" s="1"/>
  <c r="L19" i="11"/>
  <c r="L19" i="15" s="1"/>
  <c r="H16" i="11"/>
  <c r="H16" i="15" s="1"/>
  <c r="D13" i="11"/>
  <c r="D13" i="15" s="1"/>
  <c r="T9" i="11"/>
  <c r="T9" i="15" s="1"/>
  <c r="P6" i="11"/>
  <c r="P6" i="15" s="1"/>
  <c r="K15" i="11"/>
  <c r="K15" i="15" s="1"/>
  <c r="G14" i="11"/>
  <c r="G14" i="15" s="1"/>
  <c r="J19" i="11"/>
  <c r="J19" i="15" s="1"/>
  <c r="F15" i="11"/>
  <c r="F15" i="15" s="1"/>
  <c r="R9" i="11"/>
  <c r="R9" i="15" s="1"/>
  <c r="V5" i="10"/>
  <c r="C6" i="11"/>
  <c r="C6" i="15" s="1"/>
  <c r="O4" i="11"/>
  <c r="O4" i="15" s="1"/>
  <c r="G22" i="10"/>
  <c r="H3" i="11"/>
  <c r="H3" i="15" s="1"/>
  <c r="Q17" i="11"/>
  <c r="Q17" i="15" s="1"/>
  <c r="R7" i="11"/>
  <c r="R7" i="15" s="1"/>
  <c r="H19" i="11"/>
  <c r="H19" i="15" s="1"/>
  <c r="L14" i="11"/>
  <c r="L14" i="15" s="1"/>
  <c r="P9" i="11"/>
  <c r="P9" i="15" s="1"/>
  <c r="H20" i="11"/>
  <c r="H20" i="15" s="1"/>
  <c r="H18" i="11"/>
  <c r="H18" i="15" s="1"/>
  <c r="D17" i="11"/>
  <c r="D17" i="15" s="1"/>
  <c r="D15" i="11"/>
  <c r="D15" i="15" s="1"/>
  <c r="T13" i="11"/>
  <c r="T13" i="15" s="1"/>
  <c r="T11" i="11"/>
  <c r="T11" i="15" s="1"/>
  <c r="P10" i="11"/>
  <c r="P10" i="15" s="1"/>
  <c r="P8" i="11"/>
  <c r="P8" i="15" s="1"/>
  <c r="L7" i="11"/>
  <c r="L7" i="15" s="1"/>
  <c r="L5" i="11"/>
  <c r="L5" i="15" s="1"/>
  <c r="H4" i="11"/>
  <c r="H4" i="15" s="1"/>
  <c r="D3" i="11"/>
  <c r="D3" i="15" s="1"/>
  <c r="C22" i="10"/>
  <c r="V20" i="10"/>
  <c r="S19" i="11"/>
  <c r="S19" i="15" s="1"/>
  <c r="O18" i="11"/>
  <c r="O18" i="15" s="1"/>
  <c r="K17" i="11"/>
  <c r="K17" i="15" s="1"/>
  <c r="G16" i="11"/>
  <c r="G16" i="15" s="1"/>
  <c r="V12" i="10"/>
  <c r="C13" i="11"/>
  <c r="C13" i="15" s="1"/>
  <c r="S11" i="11"/>
  <c r="S11" i="15" s="1"/>
  <c r="O10" i="11"/>
  <c r="O10" i="15" s="1"/>
  <c r="K9" i="11"/>
  <c r="K9" i="15" s="1"/>
  <c r="R17" i="11"/>
  <c r="R17" i="15" s="1"/>
  <c r="F16" i="11"/>
  <c r="F16" i="15" s="1"/>
  <c r="N13" i="11"/>
  <c r="N13" i="15" s="1"/>
  <c r="T10" i="11"/>
  <c r="T10" i="15" s="1"/>
  <c r="I8" i="11"/>
  <c r="I8" i="15" s="1"/>
  <c r="N5" i="11"/>
  <c r="N5" i="15" s="1"/>
  <c r="V21" i="10"/>
  <c r="K20" i="11"/>
  <c r="K20" i="15" s="1"/>
  <c r="S18" i="11"/>
  <c r="S18" i="15" s="1"/>
  <c r="E16" i="11"/>
  <c r="E16" i="15" s="1"/>
  <c r="M14" i="11"/>
  <c r="M14" i="15" s="1"/>
  <c r="I10" i="11"/>
  <c r="I10" i="15" s="1"/>
  <c r="Q8" i="11"/>
  <c r="Q8" i="15" s="1"/>
  <c r="K6" i="11"/>
  <c r="K6" i="15" s="1"/>
  <c r="N4" i="11"/>
  <c r="N4" i="15" s="1"/>
  <c r="F22" i="10"/>
  <c r="G3" i="11"/>
  <c r="G3" i="15" s="1"/>
  <c r="J20" i="11"/>
  <c r="J20" i="15" s="1"/>
  <c r="P17" i="11"/>
  <c r="P17" i="15" s="1"/>
  <c r="D16" i="11"/>
  <c r="D16" i="15" s="1"/>
  <c r="J12" i="11"/>
  <c r="J12" i="15" s="1"/>
  <c r="R10" i="11"/>
  <c r="R10" i="15" s="1"/>
  <c r="F8" i="11"/>
  <c r="F8" i="15" s="1"/>
  <c r="S6" i="11"/>
  <c r="S6" i="15" s="1"/>
  <c r="D4" i="11"/>
  <c r="D4" i="15" s="1"/>
  <c r="I20" i="11"/>
  <c r="I20" i="15" s="1"/>
  <c r="Q18" i="11"/>
  <c r="Q18" i="15" s="1"/>
  <c r="O17" i="11"/>
  <c r="O17" i="15" s="1"/>
  <c r="V15" i="10"/>
  <c r="C16" i="11"/>
  <c r="C16" i="15" s="1"/>
  <c r="K14" i="11"/>
  <c r="K14" i="15" s="1"/>
  <c r="S12" i="11"/>
  <c r="S12" i="15" s="1"/>
  <c r="Q11" i="11"/>
  <c r="Q11" i="15" s="1"/>
  <c r="E10" i="11"/>
  <c r="E10" i="15" s="1"/>
  <c r="N8" i="11"/>
  <c r="N8" i="15" s="1"/>
  <c r="P7" i="11"/>
  <c r="P7" i="15" s="1"/>
  <c r="I6" i="11"/>
  <c r="I6" i="15" s="1"/>
  <c r="E3" i="11"/>
  <c r="E3" i="15" s="1"/>
  <c r="D22" i="10"/>
  <c r="R20" i="11"/>
  <c r="R20" i="15" s="1"/>
  <c r="P19" i="11"/>
  <c r="P19" i="15" s="1"/>
  <c r="N17" i="11"/>
  <c r="N17" i="15" s="1"/>
  <c r="M20" i="11"/>
  <c r="M20" i="15" s="1"/>
  <c r="Q7" i="11"/>
  <c r="Q7" i="15" s="1"/>
  <c r="J6" i="11"/>
  <c r="J6" i="15" s="1"/>
  <c r="M4" i="11"/>
  <c r="M4" i="15" s="1"/>
  <c r="E17" i="11"/>
  <c r="E17" i="15" s="1"/>
  <c r="I13" i="11"/>
  <c r="I13" i="15" s="1"/>
  <c r="G7" i="11"/>
  <c r="G7" i="15" s="1"/>
  <c r="S5" i="11"/>
  <c r="S5" i="15" s="1"/>
  <c r="L4" i="11"/>
  <c r="L4" i="15" s="1"/>
  <c r="T14" i="11"/>
  <c r="T14" i="15" s="1"/>
  <c r="R12" i="11"/>
  <c r="R12" i="15" s="1"/>
  <c r="N9" i="11"/>
  <c r="N9" i="15" s="1"/>
  <c r="Q6" i="11"/>
  <c r="Q6" i="15" s="1"/>
  <c r="T4" i="11"/>
  <c r="T4" i="15" s="1"/>
  <c r="E20" i="11"/>
  <c r="E20" i="15" s="1"/>
  <c r="Q13" i="11"/>
  <c r="Q13" i="15" s="1"/>
  <c r="M10" i="11"/>
  <c r="M10" i="15" s="1"/>
  <c r="N7" i="11"/>
  <c r="N7" i="15" s="1"/>
  <c r="Q5" i="11"/>
  <c r="Q5" i="15" s="1"/>
  <c r="M18" i="11"/>
  <c r="M18" i="15" s="1"/>
  <c r="R14" i="11"/>
  <c r="R14" i="15" s="1"/>
  <c r="N11" i="11"/>
  <c r="N11" i="15" s="1"/>
  <c r="J9" i="11"/>
  <c r="J9" i="15" s="1"/>
  <c r="N6" i="11"/>
  <c r="N6" i="15" s="1"/>
  <c r="R22" i="10"/>
  <c r="S3" i="11"/>
  <c r="S3" i="15" s="1"/>
  <c r="L18" i="11"/>
  <c r="L18" i="15" s="1"/>
  <c r="Q14" i="11"/>
  <c r="Q14" i="15" s="1"/>
  <c r="M12" i="11"/>
  <c r="M12" i="15" s="1"/>
  <c r="I9" i="11"/>
  <c r="I9" i="15" s="1"/>
  <c r="M6" i="11"/>
  <c r="M6" i="15" s="1"/>
  <c r="Q4" i="11"/>
  <c r="Q4" i="15" s="1"/>
  <c r="O19" i="11"/>
  <c r="O19" i="15" s="1"/>
  <c r="J15" i="11"/>
  <c r="J15" i="15" s="1"/>
  <c r="F12" i="11"/>
  <c r="F12" i="15" s="1"/>
  <c r="D10" i="11"/>
  <c r="D10" i="15" s="1"/>
  <c r="G6" i="11"/>
  <c r="G6" i="15" s="1"/>
  <c r="N3" i="11"/>
  <c r="N3" i="15" s="1"/>
  <c r="M22" i="10"/>
  <c r="V17" i="10"/>
  <c r="C18" i="11"/>
  <c r="C18" i="15" s="1"/>
  <c r="I14" i="11"/>
  <c r="I14" i="15" s="1"/>
  <c r="E12" i="11"/>
  <c r="E12" i="15" s="1"/>
  <c r="D19" i="11"/>
  <c r="D19" i="15" s="1"/>
  <c r="P12" i="11"/>
  <c r="P12" i="15" s="1"/>
  <c r="H6" i="11"/>
  <c r="H6" i="15" s="1"/>
  <c r="O20" i="11"/>
  <c r="O20" i="15" s="1"/>
  <c r="S13" i="11"/>
  <c r="S13" i="15" s="1"/>
  <c r="T18" i="11"/>
  <c r="T18" i="15" s="1"/>
  <c r="H9" i="11"/>
  <c r="H9" i="15" s="1"/>
  <c r="F4" i="11"/>
  <c r="F4" i="15" s="1"/>
  <c r="G17" i="11"/>
  <c r="G17" i="15" s="1"/>
  <c r="I11" i="11"/>
  <c r="I11" i="15" s="1"/>
  <c r="U1" i="10"/>
  <c r="R18" i="11"/>
  <c r="R18" i="15" s="1"/>
  <c r="F9" i="11"/>
  <c r="F9" i="15" s="1"/>
  <c r="H7" i="11"/>
  <c r="H7" i="15" s="1"/>
  <c r="Q19" i="11"/>
  <c r="Q19" i="15" s="1"/>
  <c r="E18" i="11"/>
  <c r="E18" i="15" s="1"/>
  <c r="M16" i="11"/>
  <c r="M16" i="15" s="1"/>
  <c r="P11" i="11"/>
  <c r="P11" i="15" s="1"/>
  <c r="U22" i="10"/>
  <c r="Q12" i="11"/>
  <c r="Q12" i="15" s="1"/>
  <c r="S4" i="11"/>
  <c r="S4" i="15" s="1"/>
  <c r="I17" i="11"/>
  <c r="I17" i="15" s="1"/>
  <c r="K8" i="11"/>
  <c r="K8" i="15" s="1"/>
  <c r="M11" i="11"/>
  <c r="M11" i="15" s="1"/>
  <c r="Q22" i="10"/>
  <c r="R3" i="11"/>
  <c r="R3" i="15" s="1"/>
  <c r="K18" i="11"/>
  <c r="K18" i="15" s="1"/>
  <c r="D8" i="11"/>
  <c r="D8" i="15" s="1"/>
  <c r="E11" i="11"/>
  <c r="E11" i="15" s="1"/>
  <c r="C8" i="11"/>
  <c r="C8" i="15" s="1"/>
  <c r="V7" i="10"/>
  <c r="G11" i="11"/>
  <c r="G11" i="15" s="1"/>
  <c r="O9" i="11"/>
  <c r="O9" i="15" s="1"/>
  <c r="E8" i="11"/>
  <c r="E8" i="15" s="1"/>
  <c r="R6" i="11"/>
  <c r="R6" i="15" s="1"/>
  <c r="J5" i="11"/>
  <c r="J5" i="15" s="1"/>
  <c r="V3" i="10"/>
  <c r="C4" i="11"/>
  <c r="C4" i="15" s="1"/>
  <c r="F19" i="11"/>
  <c r="F19" i="15" s="1"/>
  <c r="L16" i="11"/>
  <c r="L16" i="15" s="1"/>
  <c r="M17" i="11"/>
  <c r="M17" i="15" s="1"/>
  <c r="M8" i="11"/>
  <c r="M8" i="15" s="1"/>
  <c r="I3" i="11"/>
  <c r="I3" i="15" s="1"/>
  <c r="H22" i="10"/>
  <c r="M9" i="11"/>
  <c r="M9" i="15" s="1"/>
  <c r="P13" i="11"/>
  <c r="P13" i="15" s="1"/>
  <c r="P5" i="11"/>
  <c r="P5" i="15" s="1"/>
  <c r="J8" i="11"/>
  <c r="J8" i="15" s="1"/>
  <c r="J14" i="11"/>
  <c r="J14" i="15" s="1"/>
  <c r="I5" i="11"/>
  <c r="I5" i="15" s="1"/>
  <c r="S16" i="11"/>
  <c r="S16" i="15" s="1"/>
  <c r="K5" i="11"/>
  <c r="K5" i="15" s="1"/>
  <c r="O3" i="11"/>
  <c r="O3" i="15" s="1"/>
  <c r="N22" i="10"/>
  <c r="S20" i="11"/>
  <c r="S20" i="15" s="1"/>
  <c r="G19" i="11"/>
  <c r="G19" i="15" s="1"/>
  <c r="R13" i="11"/>
  <c r="R13" i="15" s="1"/>
  <c r="N10" i="11"/>
  <c r="N10" i="15" s="1"/>
  <c r="R5" i="11"/>
  <c r="R5" i="15" s="1"/>
  <c r="S14" i="11"/>
  <c r="S14" i="15" s="1"/>
  <c r="O11" i="11"/>
  <c r="O11" i="15" s="1"/>
  <c r="O6" i="11"/>
  <c r="O6" i="15" s="1"/>
  <c r="T22" i="10"/>
  <c r="D20" i="11"/>
  <c r="D20" i="15" s="1"/>
  <c r="R15" i="11"/>
  <c r="R15" i="15" s="1"/>
  <c r="L10" i="11"/>
  <c r="L10" i="15" s="1"/>
  <c r="M7" i="11"/>
  <c r="M7" i="15" s="1"/>
  <c r="O13" i="11"/>
  <c r="O13" i="15" s="1"/>
  <c r="K10" i="11"/>
  <c r="K10" i="15" s="1"/>
  <c r="O5" i="11"/>
  <c r="O5" i="15" s="1"/>
  <c r="T16" i="11"/>
  <c r="T16" i="15" s="1"/>
  <c r="F11" i="11"/>
  <c r="F11" i="15" s="1"/>
  <c r="F7" i="11"/>
  <c r="F7" i="15" s="1"/>
  <c r="G13" i="11"/>
  <c r="G13" i="15" s="1"/>
  <c r="V9" i="10"/>
  <c r="C10" i="11"/>
  <c r="C10" i="15" s="1"/>
  <c r="E7" i="11"/>
  <c r="E7" i="15" s="1"/>
  <c r="J4" i="11"/>
  <c r="J4" i="15" s="1"/>
  <c r="M19" i="11"/>
  <c r="M19" i="15" s="1"/>
  <c r="H15" i="11"/>
  <c r="H15" i="15" s="1"/>
  <c r="D12" i="11"/>
  <c r="D12" i="15" s="1"/>
  <c r="E6" i="11"/>
  <c r="E6" i="15" s="1"/>
  <c r="J22" i="10"/>
  <c r="K3" i="11"/>
  <c r="K3" i="15" s="1"/>
  <c r="G15" i="11"/>
  <c r="G15" i="15" s="1"/>
  <c r="V11" i="10"/>
  <c r="C12" i="11"/>
  <c r="C12" i="15" s="1"/>
  <c r="S8" i="11"/>
  <c r="S8" i="15" s="1"/>
  <c r="F5" i="11"/>
  <c r="F5" i="15" s="1"/>
  <c r="I22" i="10"/>
  <c r="J3" i="11"/>
  <c r="J3" i="15" s="1"/>
  <c r="F14" i="11"/>
  <c r="F14" i="15" s="1"/>
  <c r="T8" i="11"/>
  <c r="T8" i="15" s="1"/>
  <c r="I4" i="11"/>
  <c r="I4" i="15" s="1"/>
  <c r="E19" i="11"/>
  <c r="E19" i="15" s="1"/>
  <c r="G4" i="11"/>
  <c r="G4" i="15" s="1"/>
  <c r="V2" i="10"/>
  <c r="V22" i="10" s="1"/>
  <c r="C3" i="11"/>
  <c r="C3" i="15" s="1"/>
  <c r="B22" i="10"/>
  <c r="T15" i="11"/>
  <c r="T15" i="15" s="1"/>
  <c r="O12" i="11"/>
  <c r="O12" i="15" s="1"/>
  <c r="N14" i="11"/>
  <c r="N14" i="15" s="1"/>
  <c r="E22" i="10"/>
  <c r="F3" i="11"/>
  <c r="F3" i="15" s="1"/>
  <c r="M15" i="11"/>
  <c r="M15" i="15" s="1"/>
  <c r="I12" i="11"/>
  <c r="I12" i="15" s="1"/>
  <c r="E9" i="11"/>
  <c r="E9" i="15" s="1"/>
  <c r="D18" i="11"/>
  <c r="D18" i="15" s="1"/>
  <c r="I16" i="11"/>
  <c r="I16" i="15" s="1"/>
  <c r="J17" i="11"/>
  <c r="J17" i="15" s="1"/>
  <c r="N12" i="11"/>
  <c r="N12" i="15" s="1"/>
  <c r="V19" i="10"/>
  <c r="C20" i="11"/>
  <c r="C20" i="15" s="1"/>
  <c r="K7" i="11"/>
  <c r="K7" i="15" s="1"/>
  <c r="H13" i="11"/>
  <c r="H13" i="15" s="1"/>
  <c r="N19" i="11"/>
  <c r="N19" i="15" s="1"/>
  <c r="K16" i="11"/>
  <c r="K16" i="15" s="1"/>
  <c r="F13" i="11"/>
  <c r="F13" i="15" s="1"/>
  <c r="C7" i="11"/>
  <c r="C7" i="15" s="1"/>
  <c r="V6" i="10"/>
  <c r="E14" i="11"/>
  <c r="E14" i="15" s="1"/>
  <c r="F6" i="11"/>
  <c r="F6" i="15" s="1"/>
  <c r="M3" i="11"/>
  <c r="M3" i="15" s="1"/>
  <c r="L22" i="10"/>
  <c r="J1" i="10"/>
  <c r="I1" i="10"/>
  <c r="A21" i="10"/>
  <c r="A1" i="10" s="1"/>
  <c r="A12" i="10"/>
  <c r="E1" i="10"/>
  <c r="Q20" i="11"/>
  <c r="Q20" i="15" s="1"/>
  <c r="N20" i="11"/>
  <c r="N20" i="15" s="1"/>
  <c r="J16" i="11"/>
  <c r="J16" i="15" s="1"/>
  <c r="E13" i="11"/>
  <c r="E13" i="15" s="1"/>
  <c r="D6" i="11"/>
  <c r="D6" i="15" s="1"/>
  <c r="A14" i="10"/>
  <c r="R1" i="10"/>
  <c r="A19" i="10"/>
  <c r="A2" i="10"/>
  <c r="A22" i="10" s="1"/>
  <c r="P1" i="10"/>
  <c r="K1" i="10"/>
  <c r="L9" i="11"/>
  <c r="L9" i="15" s="1"/>
  <c r="V14" i="10"/>
  <c r="C15" i="11"/>
  <c r="C15" i="15" s="1"/>
  <c r="L1" i="10"/>
  <c r="F1" i="10"/>
  <c r="A4" i="10"/>
  <c r="A16" i="10"/>
  <c r="M1" i="10"/>
  <c r="A8" i="10"/>
  <c r="I7" i="11"/>
  <c r="I7" i="15" s="1"/>
  <c r="Q15" i="11"/>
  <c r="Q15" i="15" s="1"/>
  <c r="I15" i="11"/>
  <c r="I15" i="15" s="1"/>
  <c r="G5" i="11"/>
  <c r="G5" i="15" s="1"/>
  <c r="A20" i="10"/>
  <c r="A18" i="10"/>
  <c r="D1" i="10"/>
  <c r="G1" i="10"/>
  <c r="R4" i="11"/>
  <c r="R4" i="15" s="1"/>
  <c r="J13" i="11"/>
  <c r="J13" i="15" s="1"/>
  <c r="Q10" i="11"/>
  <c r="Q10" i="15" s="1"/>
  <c r="O7" i="11"/>
  <c r="O7" i="15" s="1"/>
  <c r="H5" i="11"/>
  <c r="H5" i="15" s="1"/>
  <c r="A11" i="10"/>
  <c r="O1" i="10"/>
  <c r="A7" i="10"/>
  <c r="A17" i="10"/>
  <c r="B1" i="10"/>
  <c r="F20" i="11"/>
  <c r="F20" i="15" s="1"/>
  <c r="A3" i="10"/>
  <c r="C1" i="10"/>
  <c r="H1" i="10"/>
  <c r="K4" i="11"/>
  <c r="K4" i="15" s="1"/>
  <c r="A6" i="10"/>
  <c r="A5" i="10"/>
  <c r="A10" i="10"/>
  <c r="L8" i="11"/>
  <c r="L8" i="15" s="1"/>
  <c r="S1" i="10"/>
  <c r="Q1" i="10"/>
  <c r="A15" i="10"/>
  <c r="N1" i="10"/>
  <c r="T1" i="10"/>
  <c r="A13" i="10"/>
  <c r="A9" i="10"/>
  <c r="B11" i="11" l="1"/>
  <c r="D2" i="11"/>
  <c r="C2" i="11"/>
  <c r="U20" i="11"/>
  <c r="B6" i="11"/>
  <c r="F21" i="11"/>
  <c r="V1" i="10"/>
  <c r="R2" i="11"/>
  <c r="K21" i="11"/>
  <c r="U12" i="11"/>
  <c r="Q2" i="11"/>
  <c r="I2" i="11"/>
  <c r="O2" i="11"/>
  <c r="B3" i="11"/>
  <c r="H2" i="11"/>
  <c r="O21" i="11"/>
  <c r="U16" i="11"/>
  <c r="B16" i="11"/>
  <c r="E2" i="11"/>
  <c r="J21" i="11"/>
  <c r="U11" i="11"/>
  <c r="T21" i="11"/>
  <c r="U9" i="11"/>
  <c r="B9" i="11"/>
  <c r="B4" i="11"/>
  <c r="B17" i="11"/>
  <c r="B5" i="11"/>
  <c r="U4" i="11"/>
  <c r="U18" i="11"/>
  <c r="M2" i="11"/>
  <c r="U7" i="11"/>
  <c r="U3" i="11"/>
  <c r="N21" i="11"/>
  <c r="N2" i="11"/>
  <c r="B12" i="11"/>
  <c r="G2" i="11"/>
  <c r="S2" i="11"/>
  <c r="M21" i="11"/>
  <c r="C21" i="11"/>
  <c r="U13" i="11"/>
  <c r="P21" i="11"/>
  <c r="B21" i="11"/>
  <c r="U15" i="11"/>
  <c r="U10" i="11"/>
  <c r="H21" i="11"/>
  <c r="I21" i="11"/>
  <c r="U5" i="11"/>
  <c r="U6" i="11"/>
  <c r="B8" i="11"/>
  <c r="B7" i="11"/>
  <c r="B19" i="11"/>
  <c r="U8" i="11"/>
  <c r="U19" i="11"/>
  <c r="B2" i="11"/>
  <c r="B2" i="15" s="1"/>
  <c r="U2" i="11"/>
  <c r="U2" i="15" s="1"/>
  <c r="T2" i="11"/>
  <c r="D21" i="11"/>
  <c r="E21" i="11"/>
  <c r="P2" i="11"/>
  <c r="L2" i="11"/>
  <c r="J2" i="11"/>
  <c r="U17" i="11"/>
  <c r="S21" i="11"/>
  <c r="R21" i="11"/>
  <c r="L21" i="11"/>
  <c r="B15" i="11"/>
  <c r="B13" i="11"/>
  <c r="B20" i="11"/>
  <c r="K2" i="11"/>
  <c r="U21" i="11"/>
  <c r="U21" i="15" s="1"/>
  <c r="G21" i="11"/>
  <c r="B10" i="11"/>
  <c r="B18" i="11"/>
  <c r="Q21" i="11"/>
  <c r="B14" i="11"/>
  <c r="F2" i="11"/>
  <c r="U14" i="11"/>
  <c r="T2" i="15" l="1"/>
  <c r="T22" i="15" s="1"/>
  <c r="R2" i="15"/>
  <c r="R22" i="15" s="1"/>
  <c r="T21" i="15"/>
  <c r="T1" i="15" s="1"/>
  <c r="K2" i="15"/>
  <c r="K22" i="15" s="1"/>
  <c r="U19" i="15"/>
  <c r="A19" i="15" s="1"/>
  <c r="H21" i="15"/>
  <c r="H1" i="15" s="1"/>
  <c r="S2" i="15"/>
  <c r="S22" i="15" s="1"/>
  <c r="U18" i="15"/>
  <c r="A18" i="15" s="1"/>
  <c r="U11" i="15"/>
  <c r="A11" i="15" s="1"/>
  <c r="O2" i="15"/>
  <c r="O22" i="15" s="1"/>
  <c r="B6" i="15"/>
  <c r="V6" i="15" s="1"/>
  <c r="B10" i="15"/>
  <c r="V10" i="15" s="1"/>
  <c r="U6" i="15"/>
  <c r="A6" i="15" s="1"/>
  <c r="B9" i="15"/>
  <c r="V9" i="15" s="1"/>
  <c r="S21" i="15"/>
  <c r="S1" i="15" s="1"/>
  <c r="C21" i="15"/>
  <c r="C1" i="15" s="1"/>
  <c r="U9" i="15"/>
  <c r="A9" i="15" s="1"/>
  <c r="I21" i="15"/>
  <c r="I1" i="15" s="1"/>
  <c r="B3" i="15"/>
  <c r="V3" i="15" s="1"/>
  <c r="J2" i="15"/>
  <c r="J22" i="15" s="1"/>
  <c r="L2" i="15"/>
  <c r="L22" i="15" s="1"/>
  <c r="G2" i="15"/>
  <c r="G22" i="15" s="1"/>
  <c r="J21" i="15"/>
  <c r="J1" i="15" s="1"/>
  <c r="B14" i="15"/>
  <c r="V14" i="15" s="1"/>
  <c r="B13" i="15"/>
  <c r="V13" i="15" s="1"/>
  <c r="P2" i="15"/>
  <c r="P22" i="15" s="1"/>
  <c r="B19" i="15"/>
  <c r="V19" i="15" s="1"/>
  <c r="U15" i="15"/>
  <c r="A15" i="15" s="1"/>
  <c r="B12" i="15"/>
  <c r="V12" i="15" s="1"/>
  <c r="B5" i="15"/>
  <c r="V5" i="15" s="1"/>
  <c r="E2" i="15"/>
  <c r="E22" i="15" s="1"/>
  <c r="Q2" i="15"/>
  <c r="Q22" i="15" s="1"/>
  <c r="C2" i="15"/>
  <c r="C22" i="15" s="1"/>
  <c r="U13" i="15"/>
  <c r="A13" i="15" s="1"/>
  <c r="M2" i="15"/>
  <c r="M22" i="15" s="1"/>
  <c r="U14" i="15"/>
  <c r="A14" i="15" s="1"/>
  <c r="B20" i="15"/>
  <c r="V20" i="15" s="1"/>
  <c r="U8" i="15"/>
  <c r="A8" i="15" s="1"/>
  <c r="U4" i="15"/>
  <c r="A4" i="15" s="1"/>
  <c r="U20" i="15"/>
  <c r="A20" i="15" s="1"/>
  <c r="Q21" i="15"/>
  <c r="Q1" i="15" s="1"/>
  <c r="B15" i="15"/>
  <c r="V15" i="15" s="1"/>
  <c r="E21" i="15"/>
  <c r="E1" i="15" s="1"/>
  <c r="B7" i="15"/>
  <c r="V7" i="15" s="1"/>
  <c r="B21" i="15"/>
  <c r="B1" i="15" s="1"/>
  <c r="V1" i="15" s="1"/>
  <c r="N2" i="15"/>
  <c r="N22" i="15" s="1"/>
  <c r="B17" i="15"/>
  <c r="V17" i="15" s="1"/>
  <c r="B16" i="15"/>
  <c r="V16" i="15" s="1"/>
  <c r="U12" i="15"/>
  <c r="A12" i="15" s="1"/>
  <c r="D2" i="15"/>
  <c r="D22" i="15" s="1"/>
  <c r="R21" i="15"/>
  <c r="R1" i="15" s="1"/>
  <c r="U3" i="15"/>
  <c r="A3" i="15" s="1"/>
  <c r="O21" i="15"/>
  <c r="O1" i="15" s="1"/>
  <c r="G21" i="15"/>
  <c r="G1" i="15" s="1"/>
  <c r="U5" i="15"/>
  <c r="A5" i="15" s="1"/>
  <c r="U7" i="15"/>
  <c r="A7" i="15" s="1"/>
  <c r="H2" i="15"/>
  <c r="H22" i="15" s="1"/>
  <c r="U17" i="15"/>
  <c r="A17" i="15" s="1"/>
  <c r="M21" i="15"/>
  <c r="M1" i="15" s="1"/>
  <c r="F21" i="15"/>
  <c r="F1" i="15" s="1"/>
  <c r="F2" i="15"/>
  <c r="F22" i="15" s="1"/>
  <c r="U10" i="15"/>
  <c r="A10" i="15" s="1"/>
  <c r="I2" i="15"/>
  <c r="I22" i="15" s="1"/>
  <c r="B18" i="15"/>
  <c r="V18" i="15" s="1"/>
  <c r="L21" i="15"/>
  <c r="L1" i="15" s="1"/>
  <c r="D21" i="15"/>
  <c r="D1" i="15" s="1"/>
  <c r="B8" i="15"/>
  <c r="V8" i="15" s="1"/>
  <c r="P21" i="15"/>
  <c r="P1" i="15" s="1"/>
  <c r="N21" i="15"/>
  <c r="N1" i="15" s="1"/>
  <c r="B4" i="15"/>
  <c r="V4" i="15" s="1"/>
  <c r="U16" i="15"/>
  <c r="A16" i="15" s="1"/>
  <c r="K21" i="15"/>
  <c r="K1" i="15" s="1"/>
  <c r="B11" i="15"/>
  <c r="V11" i="15" s="1"/>
  <c r="A21" i="15"/>
  <c r="A1" i="15" s="1"/>
  <c r="U1" i="15"/>
  <c r="B22" i="15"/>
  <c r="V2" i="15"/>
  <c r="V22" i="15" s="1"/>
  <c r="U22" i="15"/>
  <c r="A2" i="15"/>
  <c r="A22" i="15" s="1"/>
  <c r="V21" i="15" l="1"/>
</calcChain>
</file>

<file path=xl/sharedStrings.xml><?xml version="1.0" encoding="utf-8"?>
<sst xmlns="http://schemas.openxmlformats.org/spreadsheetml/2006/main" count="53" uniqueCount="51">
  <si>
    <r>
      <t>y=ax</t>
    </r>
    <r>
      <rPr>
        <vertAlign val="superscript"/>
        <sz val="11"/>
        <color theme="1"/>
        <rFont val="ＭＳ Ｐゴシック"/>
        <family val="3"/>
        <charset val="128"/>
        <scheme val="minor"/>
      </rPr>
      <t>2</t>
    </r>
    <phoneticPr fontId="1"/>
  </si>
  <si>
    <t>a=</t>
    <phoneticPr fontId="1"/>
  </si>
  <si>
    <t>x</t>
    <phoneticPr fontId="1"/>
  </si>
  <si>
    <t>(0～100)</t>
    <phoneticPr fontId="1"/>
  </si>
  <si>
    <t>(-5～5)</t>
    <phoneticPr fontId="1"/>
  </si>
  <si>
    <r>
      <t>y=ax</t>
    </r>
    <r>
      <rPr>
        <vertAlign val="superscript"/>
        <sz val="11"/>
        <color theme="1"/>
        <rFont val="ＭＳ Ｐゴシック"/>
        <family val="3"/>
        <charset val="128"/>
        <scheme val="minor"/>
      </rPr>
      <t>2</t>
    </r>
    <r>
      <rPr>
        <sz val="11"/>
        <color theme="1"/>
        <rFont val="ＭＳ Ｐゴシック"/>
        <family val="3"/>
        <charset val="128"/>
        <scheme val="minor"/>
      </rPr>
      <t>+bx</t>
    </r>
    <phoneticPr fontId="1"/>
  </si>
  <si>
    <t>b=</t>
    <phoneticPr fontId="1"/>
  </si>
  <si>
    <t>a</t>
    <phoneticPr fontId="1"/>
  </si>
  <si>
    <t>b</t>
    <phoneticPr fontId="1"/>
  </si>
  <si>
    <t>Rabbit（匹）</t>
    <rPh sb="7" eb="8">
      <t>ヒキ</t>
    </rPh>
    <phoneticPr fontId="1"/>
  </si>
  <si>
    <t>Fox（匹）</t>
    <rPh sb="4" eb="5">
      <t>ヒキ</t>
    </rPh>
    <phoneticPr fontId="1"/>
  </si>
  <si>
    <t>Time（ステップ）</t>
    <phoneticPr fontId="1"/>
  </si>
  <si>
    <t>Br（ウサギの出生率）</t>
    <rPh sb="7" eb="9">
      <t>シュッセイ</t>
    </rPh>
    <rPh sb="9" eb="10">
      <t>リツ</t>
    </rPh>
    <phoneticPr fontId="1"/>
  </si>
  <si>
    <t>Df（キツネの死亡率）</t>
    <rPh sb="7" eb="10">
      <t>シボウリツ</t>
    </rPh>
    <phoneticPr fontId="1"/>
  </si>
  <si>
    <t>⊿t（時間間隔）</t>
    <rPh sb="3" eb="5">
      <t>ジカン</t>
    </rPh>
    <rPh sb="5" eb="7">
      <t>カンカク</t>
    </rPh>
    <phoneticPr fontId="1"/>
  </si>
  <si>
    <t>aのスクロールバーの値</t>
    <rPh sb="10" eb="11">
      <t>アタイ</t>
    </rPh>
    <phoneticPr fontId="1"/>
  </si>
  <si>
    <t>bのスクロールバーの値</t>
    <rPh sb="10" eb="11">
      <t>アタイ</t>
    </rPh>
    <phoneticPr fontId="1"/>
  </si>
  <si>
    <t>t（時間）</t>
    <rPh sb="2" eb="4">
      <t>ジカン</t>
    </rPh>
    <phoneticPr fontId="1"/>
  </si>
  <si>
    <t>S(t)；感受性人口</t>
    <rPh sb="5" eb="8">
      <t>カンジュセイ</t>
    </rPh>
    <rPh sb="8" eb="10">
      <t>ジンコウ</t>
    </rPh>
    <phoneticPr fontId="1"/>
  </si>
  <si>
    <t>I(t)；感染人口</t>
    <rPh sb="5" eb="7">
      <t>カンセン</t>
    </rPh>
    <rPh sb="7" eb="9">
      <t>ジンコウ</t>
    </rPh>
    <phoneticPr fontId="1"/>
  </si>
  <si>
    <t>R(t)；隔離人口</t>
    <rPh sb="5" eb="7">
      <t>カクリ</t>
    </rPh>
    <rPh sb="7" eb="9">
      <t>ジンコウ</t>
    </rPh>
    <phoneticPr fontId="1"/>
  </si>
  <si>
    <t>λ=</t>
    <phoneticPr fontId="1"/>
  </si>
  <si>
    <t>γ=</t>
    <phoneticPr fontId="1"/>
  </si>
  <si>
    <t>（1日に感染する確率）</t>
    <rPh sb="2" eb="3">
      <t>ニチ</t>
    </rPh>
    <rPh sb="4" eb="6">
      <t>カンセン</t>
    </rPh>
    <rPh sb="8" eb="10">
      <t>カクリツ</t>
    </rPh>
    <phoneticPr fontId="1"/>
  </si>
  <si>
    <t>（1日に回復する感染者の割合）</t>
    <rPh sb="2" eb="3">
      <t>ニチ</t>
    </rPh>
    <rPh sb="4" eb="6">
      <t>カイフク</t>
    </rPh>
    <rPh sb="8" eb="11">
      <t>カンセンシャ</t>
    </rPh>
    <rPh sb="12" eb="14">
      <t>ワリアイ</t>
    </rPh>
    <phoneticPr fontId="1"/>
  </si>
  <si>
    <t>λのスクロールバーの値</t>
    <rPh sb="10" eb="11">
      <t>アタイ</t>
    </rPh>
    <phoneticPr fontId="1"/>
  </si>
  <si>
    <t>γのスクロールバーの値</t>
    <rPh sb="10" eb="11">
      <t>アタイ</t>
    </rPh>
    <phoneticPr fontId="1"/>
  </si>
  <si>
    <t>ルール</t>
    <phoneticPr fontId="1"/>
  </si>
  <si>
    <t>最初</t>
    <rPh sb="0" eb="2">
      <t>サイショ</t>
    </rPh>
    <phoneticPr fontId="1"/>
  </si>
  <si>
    <t>演習9.2</t>
    <rPh sb="0" eb="2">
      <t>エンシュウ</t>
    </rPh>
    <phoneticPr fontId="1"/>
  </si>
  <si>
    <t>P142</t>
    <phoneticPr fontId="1"/>
  </si>
  <si>
    <t>演習9.3</t>
    <rPh sb="0" eb="2">
      <t>エンシュウ</t>
    </rPh>
    <phoneticPr fontId="1"/>
  </si>
  <si>
    <t>演習9.4</t>
    <rPh sb="0" eb="2">
      <t>エンシュウ</t>
    </rPh>
    <phoneticPr fontId="1"/>
  </si>
  <si>
    <t>演習9.5</t>
    <rPh sb="0" eb="2">
      <t>エンシュウ</t>
    </rPh>
    <phoneticPr fontId="1"/>
  </si>
  <si>
    <t>演習9.6</t>
    <rPh sb="0" eb="2">
      <t>エンシュウ</t>
    </rPh>
    <phoneticPr fontId="1"/>
  </si>
  <si>
    <t>隣接する8つのセル値の合計</t>
    <rPh sb="0" eb="2">
      <t>リンセツ</t>
    </rPh>
    <rPh sb="9" eb="10">
      <t>アタイ</t>
    </rPh>
    <rPh sb="11" eb="13">
      <t>ゴウケイ</t>
    </rPh>
    <phoneticPr fontId="1"/>
  </si>
  <si>
    <t>現在値が0の場合</t>
    <rPh sb="0" eb="3">
      <t>ゲンザイチ</t>
    </rPh>
    <rPh sb="6" eb="8">
      <t>バアイ</t>
    </rPh>
    <phoneticPr fontId="1"/>
  </si>
  <si>
    <t>現在値が1の場合</t>
    <rPh sb="0" eb="3">
      <t>ゲンザイチ</t>
    </rPh>
    <rPh sb="6" eb="8">
      <t>バアイ</t>
    </rPh>
    <phoneticPr fontId="1"/>
  </si>
  <si>
    <t>確率P=</t>
    <rPh sb="0" eb="2">
      <t>カクリツ</t>
    </rPh>
    <phoneticPr fontId="1"/>
  </si>
  <si>
    <t>ノイマン近傍の合計</t>
    <rPh sb="4" eb="6">
      <t>キンボウ</t>
    </rPh>
    <rPh sb="7" eb="9">
      <t>ゴウケイ</t>
    </rPh>
    <phoneticPr fontId="1"/>
  </si>
  <si>
    <t>媒質</t>
    <rPh sb="0" eb="2">
      <t>バイシツ</t>
    </rPh>
    <phoneticPr fontId="1"/>
  </si>
  <si>
    <t>確率(P)</t>
    <rPh sb="0" eb="2">
      <t>カクリツ</t>
    </rPh>
    <phoneticPr fontId="1"/>
  </si>
  <si>
    <t>実験回数</t>
    <rPh sb="0" eb="2">
      <t>ジッケン</t>
    </rPh>
    <rPh sb="2" eb="4">
      <t>カイスウ</t>
    </rPh>
    <phoneticPr fontId="1"/>
  </si>
  <si>
    <t>合計</t>
    <rPh sb="0" eb="2">
      <t>ゴウケイ</t>
    </rPh>
    <phoneticPr fontId="1"/>
  </si>
  <si>
    <t>近傍にある発火セルの合計数</t>
    <rPh sb="0" eb="2">
      <t>キンボウ</t>
    </rPh>
    <rPh sb="5" eb="7">
      <t>ハッカ</t>
    </rPh>
    <rPh sb="10" eb="13">
      <t>ゴウケイスウ</t>
    </rPh>
    <phoneticPr fontId="1"/>
  </si>
  <si>
    <t>注目セルの状態</t>
    <rPh sb="0" eb="2">
      <t>チュウモク</t>
    </rPh>
    <rPh sb="5" eb="7">
      <t>ジョウタイ</t>
    </rPh>
    <phoneticPr fontId="1"/>
  </si>
  <si>
    <t>空地</t>
    <rPh sb="0" eb="1">
      <t>ソラ</t>
    </rPh>
    <rPh sb="1" eb="2">
      <t>チ</t>
    </rPh>
    <phoneticPr fontId="1"/>
  </si>
  <si>
    <t>樹木</t>
    <rPh sb="0" eb="2">
      <t>ジュモク</t>
    </rPh>
    <phoneticPr fontId="1"/>
  </si>
  <si>
    <t>準備</t>
    <rPh sb="0" eb="2">
      <t>ジュンビ</t>
    </rPh>
    <phoneticPr fontId="1"/>
  </si>
  <si>
    <t>発火</t>
    <rPh sb="0" eb="2">
      <t>ハッカ</t>
    </rPh>
    <phoneticPr fontId="1"/>
  </si>
  <si>
    <t>木灰</t>
    <rPh sb="0" eb="1">
      <t>キ</t>
    </rPh>
    <rPh sb="1" eb="2">
      <t>ハイ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</si>
</sst>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vertAlign val="superscript"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0" fillId="7" borderId="4" xfId="0" applyFill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8" borderId="16" xfId="0" applyFill="1" applyBorder="1">
      <alignment vertical="center"/>
    </xf>
    <xf numFmtId="0" fontId="0" fillId="8" borderId="18" xfId="0" applyFill="1" applyBorder="1">
      <alignment vertical="center"/>
    </xf>
    <xf numFmtId="0" fontId="0" fillId="8" borderId="19" xfId="0" applyFill="1" applyBorder="1">
      <alignment vertical="center"/>
    </xf>
    <xf numFmtId="0" fontId="0" fillId="8" borderId="21" xfId="0" applyFill="1" applyBorder="1">
      <alignment vertical="center"/>
    </xf>
    <xf numFmtId="0" fontId="0" fillId="8" borderId="17" xfId="0" applyFill="1" applyBorder="1">
      <alignment vertical="center"/>
    </xf>
    <xf numFmtId="0" fontId="0" fillId="8" borderId="0" xfId="0" applyFill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8" borderId="19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0" fillId="0" borderId="0" xfId="0" applyAlignment="1">
      <alignment horizontal="center" vertical="center"/>
    </xf>
    <xf numFmtId="0" fontId="0" fillId="9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 textRotation="255"/>
    </xf>
    <xf numFmtId="0" fontId="0" fillId="0" borderId="17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7" xfId="0" applyBorder="1" applyAlignment="1">
      <alignment horizontal="center" vertical="center" textRotation="255"/>
    </xf>
    <xf numFmtId="0" fontId="0" fillId="0" borderId="38" xfId="0" applyBorder="1" applyAlignment="1">
      <alignment horizontal="center" vertical="center"/>
    </xf>
    <xf numFmtId="0" fontId="0" fillId="0" borderId="19" xfId="0" applyBorder="1" applyAlignment="1">
      <alignment horizontal="center" vertical="center" textRotation="255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</cellXfs>
  <cellStyles count="1">
    <cellStyle name="標準" xfId="0" builtinId="0"/>
  </cellStyles>
  <dxfs count="28"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二次関数!$B$1</c:f>
              <c:strCache>
                <c:ptCount val="1"/>
                <c:pt idx="0">
                  <c:v>y=ax2</c:v>
                </c:pt>
              </c:strCache>
            </c:strRef>
          </c:tx>
          <c:xVal>
            <c:numRef>
              <c:f>二次関数!$A$2:$A$82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-2.5999999999999996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-2.0999999999999996</c:v>
                </c:pt>
                <c:pt idx="20">
                  <c:v>-2</c:v>
                </c:pt>
                <c:pt idx="21">
                  <c:v>-1.9</c:v>
                </c:pt>
                <c:pt idx="22">
                  <c:v>-1.7999999999999998</c:v>
                </c:pt>
                <c:pt idx="23">
                  <c:v>-1.6999999999999997</c:v>
                </c:pt>
                <c:pt idx="24">
                  <c:v>-1.5999999999999996</c:v>
                </c:pt>
                <c:pt idx="25">
                  <c:v>-1.5</c:v>
                </c:pt>
                <c:pt idx="26">
                  <c:v>-1.4</c:v>
                </c:pt>
                <c:pt idx="27">
                  <c:v>-1.2999999999999998</c:v>
                </c:pt>
                <c:pt idx="28">
                  <c:v>-1.1999999999999997</c:v>
                </c:pt>
                <c:pt idx="29">
                  <c:v>-1.0999999999999996</c:v>
                </c:pt>
                <c:pt idx="30">
                  <c:v>-1</c:v>
                </c:pt>
                <c:pt idx="31">
                  <c:v>-0.89999999999999991</c:v>
                </c:pt>
                <c:pt idx="32">
                  <c:v>-0.79999999999999982</c:v>
                </c:pt>
                <c:pt idx="33">
                  <c:v>-0.69999999999999973</c:v>
                </c:pt>
                <c:pt idx="34">
                  <c:v>-0.59999999999999964</c:v>
                </c:pt>
                <c:pt idx="35">
                  <c:v>-0.5</c:v>
                </c:pt>
                <c:pt idx="36">
                  <c:v>-0.39999999999999991</c:v>
                </c:pt>
                <c:pt idx="37">
                  <c:v>-0.29999999999999982</c:v>
                </c:pt>
                <c:pt idx="38">
                  <c:v>-0.19999999999999973</c:v>
                </c:pt>
                <c:pt idx="39">
                  <c:v>-9.9999999999999645E-2</c:v>
                </c:pt>
                <c:pt idx="40">
                  <c:v>0</c:v>
                </c:pt>
                <c:pt idx="41">
                  <c:v>0.10000000000000053</c:v>
                </c:pt>
                <c:pt idx="42">
                  <c:v>0.20000000000000018</c:v>
                </c:pt>
                <c:pt idx="43">
                  <c:v>0.29999999999999982</c:v>
                </c:pt>
                <c:pt idx="44">
                  <c:v>0.40000000000000036</c:v>
                </c:pt>
                <c:pt idx="45">
                  <c:v>0.5</c:v>
                </c:pt>
                <c:pt idx="46">
                  <c:v>0.60000000000000053</c:v>
                </c:pt>
                <c:pt idx="47">
                  <c:v>0.70000000000000018</c:v>
                </c:pt>
                <c:pt idx="48">
                  <c:v>0.80000000000000071</c:v>
                </c:pt>
                <c:pt idx="49">
                  <c:v>0.90000000000000036</c:v>
                </c:pt>
                <c:pt idx="50">
                  <c:v>1</c:v>
                </c:pt>
                <c:pt idx="51">
                  <c:v>1.1000000000000005</c:v>
                </c:pt>
                <c:pt idx="52">
                  <c:v>1.2000000000000002</c:v>
                </c:pt>
                <c:pt idx="53">
                  <c:v>1.3000000000000007</c:v>
                </c:pt>
                <c:pt idx="54">
                  <c:v>1.4000000000000004</c:v>
                </c:pt>
                <c:pt idx="55">
                  <c:v>1.5</c:v>
                </c:pt>
                <c:pt idx="56">
                  <c:v>1.6000000000000005</c:v>
                </c:pt>
                <c:pt idx="57">
                  <c:v>1.7000000000000002</c:v>
                </c:pt>
                <c:pt idx="58">
                  <c:v>1.8000000000000007</c:v>
                </c:pt>
                <c:pt idx="59">
                  <c:v>1.9000000000000004</c:v>
                </c:pt>
                <c:pt idx="60">
                  <c:v>2</c:v>
                </c:pt>
                <c:pt idx="61">
                  <c:v>2.1000000000000005</c:v>
                </c:pt>
                <c:pt idx="62">
                  <c:v>2.2000000000000002</c:v>
                </c:pt>
                <c:pt idx="63">
                  <c:v>2.3000000000000007</c:v>
                </c:pt>
                <c:pt idx="64">
                  <c:v>2.4000000000000004</c:v>
                </c:pt>
                <c:pt idx="65">
                  <c:v>2.5</c:v>
                </c:pt>
                <c:pt idx="66">
                  <c:v>2.6000000000000005</c:v>
                </c:pt>
                <c:pt idx="67">
                  <c:v>2.7</c:v>
                </c:pt>
                <c:pt idx="68">
                  <c:v>2.8000000000000007</c:v>
                </c:pt>
                <c:pt idx="69">
                  <c:v>2.9000000000000004</c:v>
                </c:pt>
                <c:pt idx="70">
                  <c:v>3</c:v>
                </c:pt>
                <c:pt idx="71">
                  <c:v>3.1000000000000005</c:v>
                </c:pt>
                <c:pt idx="72">
                  <c:v>3.2</c:v>
                </c:pt>
                <c:pt idx="73">
                  <c:v>3.3000000000000007</c:v>
                </c:pt>
                <c:pt idx="74">
                  <c:v>3.4000000000000004</c:v>
                </c:pt>
                <c:pt idx="75">
                  <c:v>3.5</c:v>
                </c:pt>
                <c:pt idx="76">
                  <c:v>3.6000000000000005</c:v>
                </c:pt>
                <c:pt idx="77">
                  <c:v>3.7</c:v>
                </c:pt>
                <c:pt idx="78">
                  <c:v>3.8000000000000007</c:v>
                </c:pt>
                <c:pt idx="79">
                  <c:v>3.9000000000000004</c:v>
                </c:pt>
                <c:pt idx="80">
                  <c:v>4</c:v>
                </c:pt>
              </c:numCache>
            </c:numRef>
          </c:xVal>
          <c:yVal>
            <c:numRef>
              <c:f>二次関数!$B$2:$B$82</c:f>
              <c:numCache>
                <c:formatCode>General</c:formatCode>
                <c:ptCount val="81"/>
                <c:pt idx="0">
                  <c:v>16</c:v>
                </c:pt>
                <c:pt idx="1">
                  <c:v>15.209999999999999</c:v>
                </c:pt>
                <c:pt idx="2">
                  <c:v>14.44</c:v>
                </c:pt>
                <c:pt idx="3">
                  <c:v>13.690000000000001</c:v>
                </c:pt>
                <c:pt idx="4">
                  <c:v>12.96</c:v>
                </c:pt>
                <c:pt idx="5">
                  <c:v>12.25</c:v>
                </c:pt>
                <c:pt idx="6">
                  <c:v>11.559999999999999</c:v>
                </c:pt>
                <c:pt idx="7">
                  <c:v>10.889999999999999</c:v>
                </c:pt>
                <c:pt idx="8">
                  <c:v>10.240000000000002</c:v>
                </c:pt>
                <c:pt idx="9">
                  <c:v>9.6100000000000012</c:v>
                </c:pt>
                <c:pt idx="10">
                  <c:v>9</c:v>
                </c:pt>
                <c:pt idx="11">
                  <c:v>8.41</c:v>
                </c:pt>
                <c:pt idx="12">
                  <c:v>7.839999999999999</c:v>
                </c:pt>
                <c:pt idx="13">
                  <c:v>7.2900000000000009</c:v>
                </c:pt>
                <c:pt idx="14">
                  <c:v>6.759999999999998</c:v>
                </c:pt>
                <c:pt idx="15">
                  <c:v>6.25</c:v>
                </c:pt>
                <c:pt idx="16">
                  <c:v>5.76</c:v>
                </c:pt>
                <c:pt idx="17">
                  <c:v>5.2899999999999991</c:v>
                </c:pt>
                <c:pt idx="18">
                  <c:v>4.8400000000000007</c:v>
                </c:pt>
                <c:pt idx="19">
                  <c:v>4.4099999999999984</c:v>
                </c:pt>
                <c:pt idx="20">
                  <c:v>4</c:v>
                </c:pt>
                <c:pt idx="21">
                  <c:v>3.61</c:v>
                </c:pt>
                <c:pt idx="22">
                  <c:v>3.2399999999999993</c:v>
                </c:pt>
                <c:pt idx="23">
                  <c:v>2.8899999999999992</c:v>
                </c:pt>
                <c:pt idx="24">
                  <c:v>2.5599999999999987</c:v>
                </c:pt>
                <c:pt idx="25">
                  <c:v>2.25</c:v>
                </c:pt>
                <c:pt idx="26">
                  <c:v>1.9599999999999997</c:v>
                </c:pt>
                <c:pt idx="27">
                  <c:v>1.6899999999999995</c:v>
                </c:pt>
                <c:pt idx="28">
                  <c:v>1.4399999999999993</c:v>
                </c:pt>
                <c:pt idx="29">
                  <c:v>1.2099999999999993</c:v>
                </c:pt>
                <c:pt idx="30">
                  <c:v>1</c:v>
                </c:pt>
                <c:pt idx="31">
                  <c:v>0.80999999999999983</c:v>
                </c:pt>
                <c:pt idx="32">
                  <c:v>0.63999999999999968</c:v>
                </c:pt>
                <c:pt idx="33">
                  <c:v>0.4899999999999996</c:v>
                </c:pt>
                <c:pt idx="34">
                  <c:v>0.3599999999999996</c:v>
                </c:pt>
                <c:pt idx="35">
                  <c:v>0.25</c:v>
                </c:pt>
                <c:pt idx="36">
                  <c:v>0.15999999999999992</c:v>
                </c:pt>
                <c:pt idx="37">
                  <c:v>8.99999999999999E-2</c:v>
                </c:pt>
                <c:pt idx="38">
                  <c:v>3.9999999999999897E-2</c:v>
                </c:pt>
                <c:pt idx="39">
                  <c:v>9.9999999999999291E-3</c:v>
                </c:pt>
                <c:pt idx="40">
                  <c:v>0</c:v>
                </c:pt>
                <c:pt idx="41">
                  <c:v>1.0000000000000106E-2</c:v>
                </c:pt>
                <c:pt idx="42">
                  <c:v>4.000000000000007E-2</c:v>
                </c:pt>
                <c:pt idx="43">
                  <c:v>8.99999999999999E-2</c:v>
                </c:pt>
                <c:pt idx="44">
                  <c:v>0.16000000000000028</c:v>
                </c:pt>
                <c:pt idx="45">
                  <c:v>0.25</c:v>
                </c:pt>
                <c:pt idx="46">
                  <c:v>0.36000000000000065</c:v>
                </c:pt>
                <c:pt idx="47">
                  <c:v>0.49000000000000027</c:v>
                </c:pt>
                <c:pt idx="48">
                  <c:v>0.64000000000000112</c:v>
                </c:pt>
                <c:pt idx="49">
                  <c:v>0.81000000000000061</c:v>
                </c:pt>
                <c:pt idx="50">
                  <c:v>1</c:v>
                </c:pt>
                <c:pt idx="51">
                  <c:v>1.2100000000000011</c:v>
                </c:pt>
                <c:pt idx="52">
                  <c:v>1.4400000000000004</c:v>
                </c:pt>
                <c:pt idx="53">
                  <c:v>1.6900000000000019</c:v>
                </c:pt>
                <c:pt idx="54">
                  <c:v>1.9600000000000011</c:v>
                </c:pt>
                <c:pt idx="55">
                  <c:v>2.25</c:v>
                </c:pt>
                <c:pt idx="56">
                  <c:v>2.5600000000000018</c:v>
                </c:pt>
                <c:pt idx="57">
                  <c:v>2.8900000000000006</c:v>
                </c:pt>
                <c:pt idx="58">
                  <c:v>3.2400000000000024</c:v>
                </c:pt>
                <c:pt idx="59">
                  <c:v>3.6100000000000012</c:v>
                </c:pt>
                <c:pt idx="60">
                  <c:v>4</c:v>
                </c:pt>
                <c:pt idx="61">
                  <c:v>4.4100000000000019</c:v>
                </c:pt>
                <c:pt idx="62">
                  <c:v>4.8400000000000007</c:v>
                </c:pt>
                <c:pt idx="63">
                  <c:v>5.2900000000000036</c:v>
                </c:pt>
                <c:pt idx="64">
                  <c:v>5.7600000000000016</c:v>
                </c:pt>
                <c:pt idx="65">
                  <c:v>6.25</c:v>
                </c:pt>
                <c:pt idx="66">
                  <c:v>6.7600000000000025</c:v>
                </c:pt>
                <c:pt idx="67">
                  <c:v>7.2900000000000009</c:v>
                </c:pt>
                <c:pt idx="68">
                  <c:v>7.8400000000000043</c:v>
                </c:pt>
                <c:pt idx="69">
                  <c:v>8.4100000000000019</c:v>
                </c:pt>
                <c:pt idx="70">
                  <c:v>9</c:v>
                </c:pt>
                <c:pt idx="71">
                  <c:v>9.610000000000003</c:v>
                </c:pt>
                <c:pt idx="72">
                  <c:v>10.240000000000002</c:v>
                </c:pt>
                <c:pt idx="73">
                  <c:v>10.890000000000004</c:v>
                </c:pt>
                <c:pt idx="74">
                  <c:v>11.560000000000002</c:v>
                </c:pt>
                <c:pt idx="75">
                  <c:v>12.25</c:v>
                </c:pt>
                <c:pt idx="76">
                  <c:v>12.960000000000004</c:v>
                </c:pt>
                <c:pt idx="77">
                  <c:v>13.690000000000001</c:v>
                </c:pt>
                <c:pt idx="78">
                  <c:v>14.440000000000005</c:v>
                </c:pt>
                <c:pt idx="79">
                  <c:v>15.210000000000003</c:v>
                </c:pt>
                <c:pt idx="80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09568"/>
        <c:axId val="127711104"/>
      </c:scatterChart>
      <c:valAx>
        <c:axId val="127709568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27711104"/>
        <c:crosses val="autoZero"/>
        <c:crossBetween val="midCat"/>
      </c:valAx>
      <c:valAx>
        <c:axId val="127711104"/>
        <c:scaling>
          <c:orientation val="minMax"/>
        </c:scaling>
        <c:delete val="0"/>
        <c:axPos val="l"/>
        <c:majorGridlines/>
        <c:minorGridlines/>
        <c:numFmt formatCode="#,##0.0_ " sourceLinked="0"/>
        <c:majorTickMark val="out"/>
        <c:minorTickMark val="none"/>
        <c:tickLblPos val="nextTo"/>
        <c:crossAx val="12770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演習問題1!$B$1</c:f>
              <c:strCache>
                <c:ptCount val="1"/>
                <c:pt idx="0">
                  <c:v>y=ax2+bx</c:v>
                </c:pt>
              </c:strCache>
            </c:strRef>
          </c:tx>
          <c:xVal>
            <c:numRef>
              <c:f>演習問題1!$A$2:$A$102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-3.5999999999999996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-3.0999999999999996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-2.6999999999999997</c:v>
                </c:pt>
                <c:pt idx="24">
                  <c:v>-2.5999999999999996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-2.1999999999999997</c:v>
                </c:pt>
                <c:pt idx="29">
                  <c:v>-2.0999999999999996</c:v>
                </c:pt>
                <c:pt idx="30">
                  <c:v>-2</c:v>
                </c:pt>
                <c:pt idx="31">
                  <c:v>-1.9</c:v>
                </c:pt>
                <c:pt idx="32">
                  <c:v>-1.7999999999999998</c:v>
                </c:pt>
                <c:pt idx="33">
                  <c:v>-1.6999999999999997</c:v>
                </c:pt>
                <c:pt idx="34">
                  <c:v>-1.5999999999999996</c:v>
                </c:pt>
                <c:pt idx="35">
                  <c:v>-1.5</c:v>
                </c:pt>
                <c:pt idx="36">
                  <c:v>-1.4</c:v>
                </c:pt>
                <c:pt idx="37">
                  <c:v>-1.2999999999999998</c:v>
                </c:pt>
                <c:pt idx="38">
                  <c:v>-1.1999999999999997</c:v>
                </c:pt>
                <c:pt idx="39">
                  <c:v>-1.0999999999999996</c:v>
                </c:pt>
                <c:pt idx="40">
                  <c:v>-1</c:v>
                </c:pt>
                <c:pt idx="41">
                  <c:v>-0.89999999999999947</c:v>
                </c:pt>
                <c:pt idx="42">
                  <c:v>-0.79999999999999982</c:v>
                </c:pt>
                <c:pt idx="43">
                  <c:v>-0.70000000000000018</c:v>
                </c:pt>
                <c:pt idx="44">
                  <c:v>-0.59999999999999964</c:v>
                </c:pt>
                <c:pt idx="45">
                  <c:v>-0.5</c:v>
                </c:pt>
                <c:pt idx="46">
                  <c:v>-0.39999999999999947</c:v>
                </c:pt>
                <c:pt idx="47">
                  <c:v>-0.29999999999999982</c:v>
                </c:pt>
                <c:pt idx="48">
                  <c:v>-0.19999999999999929</c:v>
                </c:pt>
                <c:pt idx="49">
                  <c:v>-9.9999999999999645E-2</c:v>
                </c:pt>
                <c:pt idx="50">
                  <c:v>0</c:v>
                </c:pt>
                <c:pt idx="51">
                  <c:v>0.10000000000000053</c:v>
                </c:pt>
                <c:pt idx="52">
                  <c:v>0.20000000000000018</c:v>
                </c:pt>
                <c:pt idx="53">
                  <c:v>0.30000000000000071</c:v>
                </c:pt>
                <c:pt idx="54">
                  <c:v>0.40000000000000036</c:v>
                </c:pt>
                <c:pt idx="55">
                  <c:v>0.5</c:v>
                </c:pt>
                <c:pt idx="56">
                  <c:v>0.60000000000000053</c:v>
                </c:pt>
                <c:pt idx="57">
                  <c:v>0.70000000000000018</c:v>
                </c:pt>
                <c:pt idx="58">
                  <c:v>0.80000000000000071</c:v>
                </c:pt>
                <c:pt idx="59">
                  <c:v>0.90000000000000036</c:v>
                </c:pt>
                <c:pt idx="60">
                  <c:v>1</c:v>
                </c:pt>
                <c:pt idx="61">
                  <c:v>1.1000000000000005</c:v>
                </c:pt>
                <c:pt idx="62">
                  <c:v>1.2000000000000002</c:v>
                </c:pt>
                <c:pt idx="63">
                  <c:v>1.3000000000000007</c:v>
                </c:pt>
                <c:pt idx="64">
                  <c:v>1.4000000000000004</c:v>
                </c:pt>
                <c:pt idx="65">
                  <c:v>1.5</c:v>
                </c:pt>
                <c:pt idx="66">
                  <c:v>1.6000000000000005</c:v>
                </c:pt>
                <c:pt idx="67">
                  <c:v>1.7000000000000002</c:v>
                </c:pt>
                <c:pt idx="68">
                  <c:v>1.8000000000000007</c:v>
                </c:pt>
                <c:pt idx="69">
                  <c:v>1.9000000000000004</c:v>
                </c:pt>
                <c:pt idx="70">
                  <c:v>2</c:v>
                </c:pt>
                <c:pt idx="71">
                  <c:v>2.1000000000000005</c:v>
                </c:pt>
                <c:pt idx="72">
                  <c:v>2.2000000000000002</c:v>
                </c:pt>
                <c:pt idx="73">
                  <c:v>2.3000000000000007</c:v>
                </c:pt>
                <c:pt idx="74">
                  <c:v>2.4000000000000004</c:v>
                </c:pt>
                <c:pt idx="75">
                  <c:v>2.5</c:v>
                </c:pt>
                <c:pt idx="76">
                  <c:v>2.6000000000000005</c:v>
                </c:pt>
                <c:pt idx="77">
                  <c:v>2.7</c:v>
                </c:pt>
                <c:pt idx="78">
                  <c:v>2.8000000000000007</c:v>
                </c:pt>
                <c:pt idx="79">
                  <c:v>2.9000000000000004</c:v>
                </c:pt>
                <c:pt idx="80">
                  <c:v>3</c:v>
                </c:pt>
                <c:pt idx="81">
                  <c:v>3.0999999999999996</c:v>
                </c:pt>
                <c:pt idx="82">
                  <c:v>3.2000000000000011</c:v>
                </c:pt>
                <c:pt idx="83">
                  <c:v>3.3000000000000007</c:v>
                </c:pt>
                <c:pt idx="84">
                  <c:v>3.4000000000000004</c:v>
                </c:pt>
                <c:pt idx="85">
                  <c:v>3.5</c:v>
                </c:pt>
                <c:pt idx="86">
                  <c:v>3.5999999999999996</c:v>
                </c:pt>
                <c:pt idx="87">
                  <c:v>3.7000000000000011</c:v>
                </c:pt>
                <c:pt idx="88">
                  <c:v>3.8000000000000007</c:v>
                </c:pt>
                <c:pt idx="89">
                  <c:v>3.9000000000000004</c:v>
                </c:pt>
                <c:pt idx="90">
                  <c:v>4</c:v>
                </c:pt>
                <c:pt idx="91">
                  <c:v>4.0999999999999996</c:v>
                </c:pt>
                <c:pt idx="92">
                  <c:v>4.2000000000000011</c:v>
                </c:pt>
                <c:pt idx="93">
                  <c:v>4.3000000000000007</c:v>
                </c:pt>
                <c:pt idx="94">
                  <c:v>4.4000000000000004</c:v>
                </c:pt>
                <c:pt idx="95">
                  <c:v>4.5</c:v>
                </c:pt>
                <c:pt idx="96">
                  <c:v>4.6000000000000014</c:v>
                </c:pt>
                <c:pt idx="97">
                  <c:v>4.7000000000000011</c:v>
                </c:pt>
                <c:pt idx="98">
                  <c:v>4.8000000000000007</c:v>
                </c:pt>
                <c:pt idx="99">
                  <c:v>4.9000000000000004</c:v>
                </c:pt>
                <c:pt idx="100">
                  <c:v>5</c:v>
                </c:pt>
              </c:numCache>
            </c:numRef>
          </c:xVal>
          <c:yVal>
            <c:numRef>
              <c:f>演習問題1!$B$2:$B$102</c:f>
              <c:numCache>
                <c:formatCode>General</c:formatCode>
                <c:ptCount val="101"/>
                <c:pt idx="0">
                  <c:v>50</c:v>
                </c:pt>
                <c:pt idx="1">
                  <c:v>48.510000000000005</c:v>
                </c:pt>
                <c:pt idx="2">
                  <c:v>47.04</c:v>
                </c:pt>
                <c:pt idx="3">
                  <c:v>45.59</c:v>
                </c:pt>
                <c:pt idx="4">
                  <c:v>44.16</c:v>
                </c:pt>
                <c:pt idx="5">
                  <c:v>42.75</c:v>
                </c:pt>
                <c:pt idx="6">
                  <c:v>41.36</c:v>
                </c:pt>
                <c:pt idx="7">
                  <c:v>39.989999999999995</c:v>
                </c:pt>
                <c:pt idx="8">
                  <c:v>38.64</c:v>
                </c:pt>
                <c:pt idx="9">
                  <c:v>37.31</c:v>
                </c:pt>
                <c:pt idx="10">
                  <c:v>36</c:v>
                </c:pt>
                <c:pt idx="11">
                  <c:v>34.71</c:v>
                </c:pt>
                <c:pt idx="12">
                  <c:v>33.44</c:v>
                </c:pt>
                <c:pt idx="13">
                  <c:v>32.19</c:v>
                </c:pt>
                <c:pt idx="14">
                  <c:v>30.959999999999997</c:v>
                </c:pt>
                <c:pt idx="15">
                  <c:v>29.75</c:v>
                </c:pt>
                <c:pt idx="16">
                  <c:v>28.56</c:v>
                </c:pt>
                <c:pt idx="17">
                  <c:v>27.39</c:v>
                </c:pt>
                <c:pt idx="18">
                  <c:v>26.240000000000002</c:v>
                </c:pt>
                <c:pt idx="19">
                  <c:v>25.109999999999996</c:v>
                </c:pt>
                <c:pt idx="20">
                  <c:v>24</c:v>
                </c:pt>
                <c:pt idx="21">
                  <c:v>22.91</c:v>
                </c:pt>
                <c:pt idx="22">
                  <c:v>21.84</c:v>
                </c:pt>
                <c:pt idx="23">
                  <c:v>20.789999999999996</c:v>
                </c:pt>
                <c:pt idx="24">
                  <c:v>19.759999999999998</c:v>
                </c:pt>
                <c:pt idx="25">
                  <c:v>18.75</c:v>
                </c:pt>
                <c:pt idx="26">
                  <c:v>17.759999999999998</c:v>
                </c:pt>
                <c:pt idx="27">
                  <c:v>16.79</c:v>
                </c:pt>
                <c:pt idx="28">
                  <c:v>15.839999999999996</c:v>
                </c:pt>
                <c:pt idx="29">
                  <c:v>14.909999999999997</c:v>
                </c:pt>
                <c:pt idx="30">
                  <c:v>14</c:v>
                </c:pt>
                <c:pt idx="31">
                  <c:v>13.11</c:v>
                </c:pt>
                <c:pt idx="32">
                  <c:v>12.239999999999998</c:v>
                </c:pt>
                <c:pt idx="33">
                  <c:v>11.389999999999997</c:v>
                </c:pt>
                <c:pt idx="34">
                  <c:v>10.559999999999997</c:v>
                </c:pt>
                <c:pt idx="35">
                  <c:v>9.75</c:v>
                </c:pt>
                <c:pt idx="36">
                  <c:v>8.9599999999999991</c:v>
                </c:pt>
                <c:pt idx="37">
                  <c:v>8.1899999999999977</c:v>
                </c:pt>
                <c:pt idx="38">
                  <c:v>7.4399999999999977</c:v>
                </c:pt>
                <c:pt idx="39">
                  <c:v>6.7099999999999973</c:v>
                </c:pt>
                <c:pt idx="40">
                  <c:v>6</c:v>
                </c:pt>
                <c:pt idx="41">
                  <c:v>5.3099999999999961</c:v>
                </c:pt>
                <c:pt idx="42">
                  <c:v>4.6399999999999988</c:v>
                </c:pt>
                <c:pt idx="43">
                  <c:v>3.9900000000000011</c:v>
                </c:pt>
                <c:pt idx="44">
                  <c:v>3.3599999999999977</c:v>
                </c:pt>
                <c:pt idx="45">
                  <c:v>2.75</c:v>
                </c:pt>
                <c:pt idx="46">
                  <c:v>2.159999999999997</c:v>
                </c:pt>
                <c:pt idx="47">
                  <c:v>1.589999999999999</c:v>
                </c:pt>
                <c:pt idx="48">
                  <c:v>1.0399999999999963</c:v>
                </c:pt>
                <c:pt idx="49">
                  <c:v>0.50999999999999812</c:v>
                </c:pt>
                <c:pt idx="50">
                  <c:v>0</c:v>
                </c:pt>
                <c:pt idx="51">
                  <c:v>-0.49000000000000254</c:v>
                </c:pt>
                <c:pt idx="52">
                  <c:v>-0.96000000000000085</c:v>
                </c:pt>
                <c:pt idx="53">
                  <c:v>-1.410000000000003</c:v>
                </c:pt>
                <c:pt idx="54">
                  <c:v>-1.8400000000000014</c:v>
                </c:pt>
                <c:pt idx="55">
                  <c:v>-2.25</c:v>
                </c:pt>
                <c:pt idx="56">
                  <c:v>-2.6400000000000019</c:v>
                </c:pt>
                <c:pt idx="57">
                  <c:v>-3.0100000000000007</c:v>
                </c:pt>
                <c:pt idx="58">
                  <c:v>-3.3600000000000025</c:v>
                </c:pt>
                <c:pt idx="59">
                  <c:v>-3.6900000000000013</c:v>
                </c:pt>
                <c:pt idx="60">
                  <c:v>-4</c:v>
                </c:pt>
                <c:pt idx="61">
                  <c:v>-4.2900000000000018</c:v>
                </c:pt>
                <c:pt idx="62">
                  <c:v>-4.5600000000000005</c:v>
                </c:pt>
                <c:pt idx="63">
                  <c:v>-4.8100000000000014</c:v>
                </c:pt>
                <c:pt idx="64">
                  <c:v>-5.0400000000000009</c:v>
                </c:pt>
                <c:pt idx="65">
                  <c:v>-5.25</c:v>
                </c:pt>
                <c:pt idx="66">
                  <c:v>-5.4400000000000013</c:v>
                </c:pt>
                <c:pt idx="67">
                  <c:v>-5.6099999999999994</c:v>
                </c:pt>
                <c:pt idx="68">
                  <c:v>-5.7600000000000016</c:v>
                </c:pt>
                <c:pt idx="69">
                  <c:v>-5.8900000000000006</c:v>
                </c:pt>
                <c:pt idx="70">
                  <c:v>-6</c:v>
                </c:pt>
                <c:pt idx="71">
                  <c:v>-6.0900000000000016</c:v>
                </c:pt>
                <c:pt idx="72">
                  <c:v>-6.1599999999999993</c:v>
                </c:pt>
                <c:pt idx="73">
                  <c:v>-6.21</c:v>
                </c:pt>
                <c:pt idx="74">
                  <c:v>-6.24</c:v>
                </c:pt>
                <c:pt idx="75">
                  <c:v>-6.25</c:v>
                </c:pt>
                <c:pt idx="76">
                  <c:v>-6.2400000000000011</c:v>
                </c:pt>
                <c:pt idx="77">
                  <c:v>-6.2099999999999991</c:v>
                </c:pt>
                <c:pt idx="78">
                  <c:v>-6.1599999999999993</c:v>
                </c:pt>
                <c:pt idx="79">
                  <c:v>-6.09</c:v>
                </c:pt>
                <c:pt idx="80">
                  <c:v>-6</c:v>
                </c:pt>
                <c:pt idx="81">
                  <c:v>-5.8900000000000006</c:v>
                </c:pt>
                <c:pt idx="82">
                  <c:v>-5.76</c:v>
                </c:pt>
                <c:pt idx="83">
                  <c:v>-5.6099999999999994</c:v>
                </c:pt>
                <c:pt idx="84">
                  <c:v>-5.4399999999999977</c:v>
                </c:pt>
                <c:pt idx="85">
                  <c:v>-5.25</c:v>
                </c:pt>
                <c:pt idx="86">
                  <c:v>-5.0400000000000027</c:v>
                </c:pt>
                <c:pt idx="87">
                  <c:v>-4.8099999999999987</c:v>
                </c:pt>
                <c:pt idx="88">
                  <c:v>-4.5599999999999987</c:v>
                </c:pt>
                <c:pt idx="89">
                  <c:v>-4.2899999999999974</c:v>
                </c:pt>
                <c:pt idx="90">
                  <c:v>-4</c:v>
                </c:pt>
                <c:pt idx="91">
                  <c:v>-3.6900000000000013</c:v>
                </c:pt>
                <c:pt idx="92">
                  <c:v>-3.3599999999999994</c:v>
                </c:pt>
                <c:pt idx="93">
                  <c:v>-3.009999999999998</c:v>
                </c:pt>
                <c:pt idx="94">
                  <c:v>-2.639999999999997</c:v>
                </c:pt>
                <c:pt idx="95">
                  <c:v>-2.25</c:v>
                </c:pt>
                <c:pt idx="96">
                  <c:v>-1.8399999999999928</c:v>
                </c:pt>
                <c:pt idx="97">
                  <c:v>-1.4099999999999966</c:v>
                </c:pt>
                <c:pt idx="98">
                  <c:v>-0.9599999999999973</c:v>
                </c:pt>
                <c:pt idx="99">
                  <c:v>-0.48999999999999488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88608"/>
        <c:axId val="128221184"/>
      </c:scatterChart>
      <c:valAx>
        <c:axId val="127588608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28221184"/>
        <c:crosses val="autoZero"/>
        <c:crossBetween val="midCat"/>
      </c:valAx>
      <c:valAx>
        <c:axId val="128221184"/>
        <c:scaling>
          <c:orientation val="minMax"/>
        </c:scaling>
        <c:delete val="0"/>
        <c:axPos val="l"/>
        <c:majorGridlines/>
        <c:minorGridlines/>
        <c:numFmt formatCode="#,##0.0_ " sourceLinked="0"/>
        <c:majorTickMark val="out"/>
        <c:minorTickMark val="none"/>
        <c:tickLblPos val="nextTo"/>
        <c:crossAx val="12758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ウサギとキツネの生態系!$B$1:$B$3</c:f>
              <c:strCache>
                <c:ptCount val="1"/>
                <c:pt idx="0">
                  <c:v>a 0.1 Rabbit（匹）</c:v>
                </c:pt>
              </c:strCache>
            </c:strRef>
          </c:tx>
          <c:marker>
            <c:symbol val="none"/>
          </c:marker>
          <c:xVal>
            <c:numRef>
              <c:f>ウサギとキツネの生態系!$A$4:$A$2504</c:f>
              <c:numCache>
                <c:formatCode>General</c:formatCode>
                <c:ptCount val="2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6.9999999999999993E-2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2.0599999999999996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2.09</c:v>
                </c:pt>
                <c:pt idx="210">
                  <c:v>2.0999999999999996</c:v>
                </c:pt>
                <c:pt idx="211">
                  <c:v>2.11</c:v>
                </c:pt>
                <c:pt idx="212">
                  <c:v>2.1199999999999997</c:v>
                </c:pt>
                <c:pt idx="213">
                  <c:v>2.13</c:v>
                </c:pt>
                <c:pt idx="214">
                  <c:v>2.1399999999999997</c:v>
                </c:pt>
                <c:pt idx="215">
                  <c:v>2.15</c:v>
                </c:pt>
                <c:pt idx="216">
                  <c:v>2.1599999999999997</c:v>
                </c:pt>
                <c:pt idx="217">
                  <c:v>2.17</c:v>
                </c:pt>
                <c:pt idx="218">
                  <c:v>2.1799999999999997</c:v>
                </c:pt>
                <c:pt idx="219">
                  <c:v>2.19</c:v>
                </c:pt>
                <c:pt idx="220">
                  <c:v>2.1999999999999997</c:v>
                </c:pt>
                <c:pt idx="221">
                  <c:v>2.21</c:v>
                </c:pt>
                <c:pt idx="222">
                  <c:v>2.2199999999999998</c:v>
                </c:pt>
                <c:pt idx="223">
                  <c:v>2.23</c:v>
                </c:pt>
                <c:pt idx="224">
                  <c:v>2.2399999999999998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2.3299999999999996</c:v>
                </c:pt>
                <c:pt idx="234">
                  <c:v>2.34</c:v>
                </c:pt>
                <c:pt idx="235">
                  <c:v>2.3499999999999996</c:v>
                </c:pt>
                <c:pt idx="236">
                  <c:v>2.36</c:v>
                </c:pt>
                <c:pt idx="237">
                  <c:v>2.3699999999999997</c:v>
                </c:pt>
                <c:pt idx="238">
                  <c:v>2.38</c:v>
                </c:pt>
                <c:pt idx="239">
                  <c:v>2.3899999999999997</c:v>
                </c:pt>
                <c:pt idx="240">
                  <c:v>2.4</c:v>
                </c:pt>
                <c:pt idx="241">
                  <c:v>2.4099999999999997</c:v>
                </c:pt>
                <c:pt idx="242">
                  <c:v>2.42</c:v>
                </c:pt>
                <c:pt idx="243">
                  <c:v>2.4299999999999997</c:v>
                </c:pt>
                <c:pt idx="244">
                  <c:v>2.44</c:v>
                </c:pt>
                <c:pt idx="245">
                  <c:v>2.4499999999999997</c:v>
                </c:pt>
                <c:pt idx="246">
                  <c:v>2.46</c:v>
                </c:pt>
                <c:pt idx="247">
                  <c:v>2.4699999999999998</c:v>
                </c:pt>
                <c:pt idx="248">
                  <c:v>2.48</c:v>
                </c:pt>
                <c:pt idx="249">
                  <c:v>2.4899999999999998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2.5799999999999996</c:v>
                </c:pt>
                <c:pt idx="259">
                  <c:v>2.59</c:v>
                </c:pt>
                <c:pt idx="260">
                  <c:v>2.5999999999999996</c:v>
                </c:pt>
                <c:pt idx="261">
                  <c:v>2.61</c:v>
                </c:pt>
                <c:pt idx="262">
                  <c:v>2.6199999999999997</c:v>
                </c:pt>
                <c:pt idx="263">
                  <c:v>2.63</c:v>
                </c:pt>
                <c:pt idx="264">
                  <c:v>2.6399999999999997</c:v>
                </c:pt>
                <c:pt idx="265">
                  <c:v>2.65</c:v>
                </c:pt>
                <c:pt idx="266">
                  <c:v>2.6599999999999997</c:v>
                </c:pt>
                <c:pt idx="267">
                  <c:v>2.67</c:v>
                </c:pt>
                <c:pt idx="268">
                  <c:v>2.6799999999999997</c:v>
                </c:pt>
                <c:pt idx="269">
                  <c:v>2.69</c:v>
                </c:pt>
                <c:pt idx="270">
                  <c:v>2.6999999999999997</c:v>
                </c:pt>
                <c:pt idx="271">
                  <c:v>2.71</c:v>
                </c:pt>
                <c:pt idx="272">
                  <c:v>2.7199999999999998</c:v>
                </c:pt>
                <c:pt idx="273">
                  <c:v>2.73</c:v>
                </c:pt>
                <c:pt idx="274">
                  <c:v>2.7399999999999998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2.8299999999999996</c:v>
                </c:pt>
                <c:pt idx="284">
                  <c:v>2.84</c:v>
                </c:pt>
                <c:pt idx="285">
                  <c:v>2.8499999999999996</c:v>
                </c:pt>
                <c:pt idx="286">
                  <c:v>2.86</c:v>
                </c:pt>
                <c:pt idx="287">
                  <c:v>2.8699999999999997</c:v>
                </c:pt>
                <c:pt idx="288">
                  <c:v>2.88</c:v>
                </c:pt>
                <c:pt idx="289">
                  <c:v>2.8899999999999997</c:v>
                </c:pt>
                <c:pt idx="290">
                  <c:v>2.9</c:v>
                </c:pt>
                <c:pt idx="291">
                  <c:v>2.9099999999999997</c:v>
                </c:pt>
                <c:pt idx="292">
                  <c:v>2.92</c:v>
                </c:pt>
                <c:pt idx="293">
                  <c:v>2.9299999999999997</c:v>
                </c:pt>
                <c:pt idx="294">
                  <c:v>2.94</c:v>
                </c:pt>
                <c:pt idx="295">
                  <c:v>2.9499999999999997</c:v>
                </c:pt>
                <c:pt idx="296">
                  <c:v>2.96</c:v>
                </c:pt>
                <c:pt idx="297">
                  <c:v>2.9699999999999998</c:v>
                </c:pt>
                <c:pt idx="298">
                  <c:v>2.98</c:v>
                </c:pt>
                <c:pt idx="299">
                  <c:v>2.9899999999999998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3.0999999999999996</c:v>
                </c:pt>
                <c:pt idx="311">
                  <c:v>3.11</c:v>
                </c:pt>
                <c:pt idx="312">
                  <c:v>3.1199999999999997</c:v>
                </c:pt>
                <c:pt idx="313">
                  <c:v>3.13</c:v>
                </c:pt>
                <c:pt idx="314">
                  <c:v>3.1399999999999997</c:v>
                </c:pt>
                <c:pt idx="315">
                  <c:v>3.15</c:v>
                </c:pt>
                <c:pt idx="316">
                  <c:v>3.1599999999999997</c:v>
                </c:pt>
                <c:pt idx="317">
                  <c:v>3.17</c:v>
                </c:pt>
                <c:pt idx="318">
                  <c:v>3.1799999999999997</c:v>
                </c:pt>
                <c:pt idx="319">
                  <c:v>3.19</c:v>
                </c:pt>
                <c:pt idx="320">
                  <c:v>3.1999999999999997</c:v>
                </c:pt>
                <c:pt idx="321">
                  <c:v>3.21</c:v>
                </c:pt>
                <c:pt idx="322">
                  <c:v>3.2199999999999998</c:v>
                </c:pt>
                <c:pt idx="323">
                  <c:v>3.23</c:v>
                </c:pt>
                <c:pt idx="324">
                  <c:v>3.2399999999999998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3.3499999999999996</c:v>
                </c:pt>
                <c:pt idx="336">
                  <c:v>3.36</c:v>
                </c:pt>
                <c:pt idx="337">
                  <c:v>3.3699999999999997</c:v>
                </c:pt>
                <c:pt idx="338">
                  <c:v>3.38</c:v>
                </c:pt>
                <c:pt idx="339">
                  <c:v>3.3899999999999997</c:v>
                </c:pt>
                <c:pt idx="340">
                  <c:v>3.4</c:v>
                </c:pt>
                <c:pt idx="341">
                  <c:v>3.4099999999999997</c:v>
                </c:pt>
                <c:pt idx="342">
                  <c:v>3.42</c:v>
                </c:pt>
                <c:pt idx="343">
                  <c:v>3.4299999999999997</c:v>
                </c:pt>
                <c:pt idx="344">
                  <c:v>3.44</c:v>
                </c:pt>
                <c:pt idx="345">
                  <c:v>3.4499999999999997</c:v>
                </c:pt>
                <c:pt idx="346">
                  <c:v>3.46</c:v>
                </c:pt>
                <c:pt idx="347">
                  <c:v>3.4699999999999998</c:v>
                </c:pt>
                <c:pt idx="348">
                  <c:v>3.48</c:v>
                </c:pt>
                <c:pt idx="349">
                  <c:v>3.4899999999999998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3.5999999999999996</c:v>
                </c:pt>
                <c:pt idx="361">
                  <c:v>3.61</c:v>
                </c:pt>
                <c:pt idx="362">
                  <c:v>3.6199999999999997</c:v>
                </c:pt>
                <c:pt idx="363">
                  <c:v>3.63</c:v>
                </c:pt>
                <c:pt idx="364">
                  <c:v>3.6399999999999997</c:v>
                </c:pt>
                <c:pt idx="365">
                  <c:v>3.65</c:v>
                </c:pt>
                <c:pt idx="366">
                  <c:v>3.6599999999999997</c:v>
                </c:pt>
                <c:pt idx="367">
                  <c:v>3.67</c:v>
                </c:pt>
                <c:pt idx="368">
                  <c:v>3.6799999999999997</c:v>
                </c:pt>
                <c:pt idx="369">
                  <c:v>3.69</c:v>
                </c:pt>
                <c:pt idx="370">
                  <c:v>3.6999999999999997</c:v>
                </c:pt>
                <c:pt idx="371">
                  <c:v>3.71</c:v>
                </c:pt>
                <c:pt idx="372">
                  <c:v>3.7199999999999998</c:v>
                </c:pt>
                <c:pt idx="373">
                  <c:v>3.73</c:v>
                </c:pt>
                <c:pt idx="374">
                  <c:v>3.7399999999999998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3.8499999999999996</c:v>
                </c:pt>
                <c:pt idx="386">
                  <c:v>3.86</c:v>
                </c:pt>
                <c:pt idx="387">
                  <c:v>3.8699999999999997</c:v>
                </c:pt>
                <c:pt idx="388">
                  <c:v>3.88</c:v>
                </c:pt>
                <c:pt idx="389">
                  <c:v>3.8899999999999997</c:v>
                </c:pt>
                <c:pt idx="390">
                  <c:v>3.9</c:v>
                </c:pt>
                <c:pt idx="391">
                  <c:v>3.9099999999999997</c:v>
                </c:pt>
                <c:pt idx="392">
                  <c:v>3.92</c:v>
                </c:pt>
                <c:pt idx="393">
                  <c:v>3.9299999999999997</c:v>
                </c:pt>
                <c:pt idx="394">
                  <c:v>3.94</c:v>
                </c:pt>
                <c:pt idx="395">
                  <c:v>3.9499999999999997</c:v>
                </c:pt>
                <c:pt idx="396">
                  <c:v>3.96</c:v>
                </c:pt>
                <c:pt idx="397">
                  <c:v>3.9699999999999998</c:v>
                </c:pt>
                <c:pt idx="398">
                  <c:v>3.98</c:v>
                </c:pt>
                <c:pt idx="399">
                  <c:v>3.9899999999999998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4.1099999999999994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4.1499999999999995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4.1899999999999995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4.2299999999999995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4.3999999999999995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4.4399999999999995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4.4799999999999995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4.6499999999999995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4.6899999999999995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4.7299999999999995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4.8999999999999995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4.9399999999999995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4.9799999999999995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5.1499999999999995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5.1899999999999995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5.2299999999999995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5.3999999999999995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5.4399999999999995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5.4799999999999995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5.6499999999999995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5.6899999999999995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5.7299999999999995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5.8999999999999995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5.9399999999999995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5.9799999999999995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6.1899999999999995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6.2299999999999995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6.4399999999999995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6.4799999999999995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6.6899999999999995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6.7299999999999995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6.9399999999999995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6.9799999999999995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7.1899999999999995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7.2299999999999995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7.4399999999999995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7.4799999999999995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7.6899999999999995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7.7299999999999995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7.9799999999999995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8.2099999999999991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8.4599999999999991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  <c:pt idx="1001">
                  <c:v>10.01</c:v>
                </c:pt>
                <c:pt idx="1002">
                  <c:v>10.02</c:v>
                </c:pt>
                <c:pt idx="1003">
                  <c:v>10.029999999999999</c:v>
                </c:pt>
                <c:pt idx="1004">
                  <c:v>10.039999999999999</c:v>
                </c:pt>
                <c:pt idx="1005">
                  <c:v>10.050000000000001</c:v>
                </c:pt>
                <c:pt idx="1006">
                  <c:v>10.06</c:v>
                </c:pt>
                <c:pt idx="1007">
                  <c:v>10.07</c:v>
                </c:pt>
                <c:pt idx="1008">
                  <c:v>10.08</c:v>
                </c:pt>
                <c:pt idx="1009">
                  <c:v>10.09</c:v>
                </c:pt>
                <c:pt idx="1010">
                  <c:v>10.1</c:v>
                </c:pt>
                <c:pt idx="1011">
                  <c:v>10.11</c:v>
                </c:pt>
                <c:pt idx="1012">
                  <c:v>10.119999999999999</c:v>
                </c:pt>
                <c:pt idx="1013">
                  <c:v>10.130000000000001</c:v>
                </c:pt>
                <c:pt idx="1014">
                  <c:v>10.14</c:v>
                </c:pt>
                <c:pt idx="1015">
                  <c:v>10.15</c:v>
                </c:pt>
                <c:pt idx="1016">
                  <c:v>10.16</c:v>
                </c:pt>
                <c:pt idx="1017">
                  <c:v>10.17</c:v>
                </c:pt>
                <c:pt idx="1018">
                  <c:v>10.18</c:v>
                </c:pt>
                <c:pt idx="1019">
                  <c:v>10.19</c:v>
                </c:pt>
                <c:pt idx="1020">
                  <c:v>10.199999999999999</c:v>
                </c:pt>
                <c:pt idx="1021">
                  <c:v>10.210000000000001</c:v>
                </c:pt>
                <c:pt idx="1022">
                  <c:v>10.220000000000001</c:v>
                </c:pt>
                <c:pt idx="1023">
                  <c:v>10.23</c:v>
                </c:pt>
                <c:pt idx="1024">
                  <c:v>10.24</c:v>
                </c:pt>
                <c:pt idx="1025">
                  <c:v>10.25</c:v>
                </c:pt>
                <c:pt idx="1026">
                  <c:v>10.26</c:v>
                </c:pt>
                <c:pt idx="1027">
                  <c:v>10.27</c:v>
                </c:pt>
                <c:pt idx="1028">
                  <c:v>10.28</c:v>
                </c:pt>
                <c:pt idx="1029">
                  <c:v>10.29</c:v>
                </c:pt>
                <c:pt idx="1030">
                  <c:v>10.3</c:v>
                </c:pt>
                <c:pt idx="1031">
                  <c:v>10.31</c:v>
                </c:pt>
                <c:pt idx="1032">
                  <c:v>10.32</c:v>
                </c:pt>
                <c:pt idx="1033">
                  <c:v>10.33</c:v>
                </c:pt>
                <c:pt idx="1034">
                  <c:v>10.34</c:v>
                </c:pt>
                <c:pt idx="1035">
                  <c:v>10.35</c:v>
                </c:pt>
                <c:pt idx="1036">
                  <c:v>10.36</c:v>
                </c:pt>
                <c:pt idx="1037">
                  <c:v>10.37</c:v>
                </c:pt>
                <c:pt idx="1038">
                  <c:v>10.38</c:v>
                </c:pt>
                <c:pt idx="1039">
                  <c:v>10.39</c:v>
                </c:pt>
                <c:pt idx="1040">
                  <c:v>10.4</c:v>
                </c:pt>
                <c:pt idx="1041">
                  <c:v>10.41</c:v>
                </c:pt>
                <c:pt idx="1042">
                  <c:v>10.42</c:v>
                </c:pt>
                <c:pt idx="1043">
                  <c:v>10.43</c:v>
                </c:pt>
                <c:pt idx="1044">
                  <c:v>10.44</c:v>
                </c:pt>
                <c:pt idx="1045">
                  <c:v>10.45</c:v>
                </c:pt>
                <c:pt idx="1046">
                  <c:v>10.46</c:v>
                </c:pt>
                <c:pt idx="1047">
                  <c:v>10.47</c:v>
                </c:pt>
                <c:pt idx="1048">
                  <c:v>10.48</c:v>
                </c:pt>
                <c:pt idx="1049">
                  <c:v>10.49</c:v>
                </c:pt>
                <c:pt idx="1050">
                  <c:v>10.5</c:v>
                </c:pt>
                <c:pt idx="1051">
                  <c:v>10.51</c:v>
                </c:pt>
                <c:pt idx="1052">
                  <c:v>10.52</c:v>
                </c:pt>
                <c:pt idx="1053">
                  <c:v>10.53</c:v>
                </c:pt>
                <c:pt idx="1054">
                  <c:v>10.54</c:v>
                </c:pt>
                <c:pt idx="1055">
                  <c:v>10.55</c:v>
                </c:pt>
                <c:pt idx="1056">
                  <c:v>10.56</c:v>
                </c:pt>
                <c:pt idx="1057">
                  <c:v>10.57</c:v>
                </c:pt>
                <c:pt idx="1058">
                  <c:v>10.58</c:v>
                </c:pt>
                <c:pt idx="1059">
                  <c:v>10.59</c:v>
                </c:pt>
                <c:pt idx="1060">
                  <c:v>10.6</c:v>
                </c:pt>
                <c:pt idx="1061">
                  <c:v>10.61</c:v>
                </c:pt>
                <c:pt idx="1062">
                  <c:v>10.62</c:v>
                </c:pt>
                <c:pt idx="1063">
                  <c:v>10.63</c:v>
                </c:pt>
                <c:pt idx="1064">
                  <c:v>10.64</c:v>
                </c:pt>
                <c:pt idx="1065">
                  <c:v>10.65</c:v>
                </c:pt>
                <c:pt idx="1066">
                  <c:v>10.66</c:v>
                </c:pt>
                <c:pt idx="1067">
                  <c:v>10.67</c:v>
                </c:pt>
                <c:pt idx="1068">
                  <c:v>10.68</c:v>
                </c:pt>
                <c:pt idx="1069">
                  <c:v>10.69</c:v>
                </c:pt>
                <c:pt idx="1070">
                  <c:v>10.7</c:v>
                </c:pt>
                <c:pt idx="1071">
                  <c:v>10.71</c:v>
                </c:pt>
                <c:pt idx="1072">
                  <c:v>10.72</c:v>
                </c:pt>
                <c:pt idx="1073">
                  <c:v>10.73</c:v>
                </c:pt>
                <c:pt idx="1074">
                  <c:v>10.74</c:v>
                </c:pt>
                <c:pt idx="1075">
                  <c:v>10.75</c:v>
                </c:pt>
                <c:pt idx="1076">
                  <c:v>10.76</c:v>
                </c:pt>
                <c:pt idx="1077">
                  <c:v>10.77</c:v>
                </c:pt>
                <c:pt idx="1078">
                  <c:v>10.78</c:v>
                </c:pt>
                <c:pt idx="1079">
                  <c:v>10.79</c:v>
                </c:pt>
                <c:pt idx="1080">
                  <c:v>10.8</c:v>
                </c:pt>
                <c:pt idx="1081">
                  <c:v>10.81</c:v>
                </c:pt>
                <c:pt idx="1082">
                  <c:v>10.82</c:v>
                </c:pt>
                <c:pt idx="1083">
                  <c:v>10.83</c:v>
                </c:pt>
                <c:pt idx="1084">
                  <c:v>10.84</c:v>
                </c:pt>
                <c:pt idx="1085">
                  <c:v>10.85</c:v>
                </c:pt>
                <c:pt idx="1086">
                  <c:v>10.86</c:v>
                </c:pt>
                <c:pt idx="1087">
                  <c:v>10.87</c:v>
                </c:pt>
                <c:pt idx="1088">
                  <c:v>10.88</c:v>
                </c:pt>
                <c:pt idx="1089">
                  <c:v>10.89</c:v>
                </c:pt>
                <c:pt idx="1090">
                  <c:v>10.9</c:v>
                </c:pt>
                <c:pt idx="1091">
                  <c:v>10.91</c:v>
                </c:pt>
                <c:pt idx="1092">
                  <c:v>10.92</c:v>
                </c:pt>
                <c:pt idx="1093">
                  <c:v>10.93</c:v>
                </c:pt>
                <c:pt idx="1094">
                  <c:v>10.94</c:v>
                </c:pt>
                <c:pt idx="1095">
                  <c:v>10.95</c:v>
                </c:pt>
                <c:pt idx="1096">
                  <c:v>10.96</c:v>
                </c:pt>
                <c:pt idx="1097">
                  <c:v>10.97</c:v>
                </c:pt>
                <c:pt idx="1098">
                  <c:v>10.98</c:v>
                </c:pt>
                <c:pt idx="1099">
                  <c:v>10.99</c:v>
                </c:pt>
                <c:pt idx="1100">
                  <c:v>11</c:v>
                </c:pt>
                <c:pt idx="1101">
                  <c:v>11.01</c:v>
                </c:pt>
                <c:pt idx="1102">
                  <c:v>11.02</c:v>
                </c:pt>
                <c:pt idx="1103">
                  <c:v>11.03</c:v>
                </c:pt>
                <c:pt idx="1104">
                  <c:v>11.04</c:v>
                </c:pt>
                <c:pt idx="1105">
                  <c:v>11.05</c:v>
                </c:pt>
                <c:pt idx="1106">
                  <c:v>11.06</c:v>
                </c:pt>
                <c:pt idx="1107">
                  <c:v>11.07</c:v>
                </c:pt>
                <c:pt idx="1108">
                  <c:v>11.08</c:v>
                </c:pt>
                <c:pt idx="1109">
                  <c:v>11.09</c:v>
                </c:pt>
                <c:pt idx="1110">
                  <c:v>11.1</c:v>
                </c:pt>
                <c:pt idx="1111">
                  <c:v>11.11</c:v>
                </c:pt>
                <c:pt idx="1112">
                  <c:v>11.12</c:v>
                </c:pt>
                <c:pt idx="1113">
                  <c:v>11.13</c:v>
                </c:pt>
                <c:pt idx="1114">
                  <c:v>11.14</c:v>
                </c:pt>
                <c:pt idx="1115">
                  <c:v>11.15</c:v>
                </c:pt>
                <c:pt idx="1116">
                  <c:v>11.16</c:v>
                </c:pt>
                <c:pt idx="1117">
                  <c:v>11.17</c:v>
                </c:pt>
                <c:pt idx="1118">
                  <c:v>11.18</c:v>
                </c:pt>
                <c:pt idx="1119">
                  <c:v>11.19</c:v>
                </c:pt>
                <c:pt idx="1120">
                  <c:v>11.2</c:v>
                </c:pt>
                <c:pt idx="1121">
                  <c:v>11.21</c:v>
                </c:pt>
                <c:pt idx="1122">
                  <c:v>11.22</c:v>
                </c:pt>
                <c:pt idx="1123">
                  <c:v>11.23</c:v>
                </c:pt>
                <c:pt idx="1124">
                  <c:v>11.24</c:v>
                </c:pt>
                <c:pt idx="1125">
                  <c:v>11.25</c:v>
                </c:pt>
                <c:pt idx="1126">
                  <c:v>11.26</c:v>
                </c:pt>
                <c:pt idx="1127">
                  <c:v>11.27</c:v>
                </c:pt>
                <c:pt idx="1128">
                  <c:v>11.28</c:v>
                </c:pt>
                <c:pt idx="1129">
                  <c:v>11.29</c:v>
                </c:pt>
                <c:pt idx="1130">
                  <c:v>11.3</c:v>
                </c:pt>
                <c:pt idx="1131">
                  <c:v>11.31</c:v>
                </c:pt>
                <c:pt idx="1132">
                  <c:v>11.32</c:v>
                </c:pt>
                <c:pt idx="1133">
                  <c:v>11.33</c:v>
                </c:pt>
                <c:pt idx="1134">
                  <c:v>11.34</c:v>
                </c:pt>
                <c:pt idx="1135">
                  <c:v>11.35</c:v>
                </c:pt>
                <c:pt idx="1136">
                  <c:v>11.36</c:v>
                </c:pt>
                <c:pt idx="1137">
                  <c:v>11.37</c:v>
                </c:pt>
                <c:pt idx="1138">
                  <c:v>11.38</c:v>
                </c:pt>
                <c:pt idx="1139">
                  <c:v>11.39</c:v>
                </c:pt>
                <c:pt idx="1140">
                  <c:v>11.4</c:v>
                </c:pt>
                <c:pt idx="1141">
                  <c:v>11.41</c:v>
                </c:pt>
                <c:pt idx="1142">
                  <c:v>11.42</c:v>
                </c:pt>
                <c:pt idx="1143">
                  <c:v>11.43</c:v>
                </c:pt>
                <c:pt idx="1144">
                  <c:v>11.44</c:v>
                </c:pt>
                <c:pt idx="1145">
                  <c:v>11.45</c:v>
                </c:pt>
                <c:pt idx="1146">
                  <c:v>11.46</c:v>
                </c:pt>
                <c:pt idx="1147">
                  <c:v>11.47</c:v>
                </c:pt>
                <c:pt idx="1148">
                  <c:v>11.48</c:v>
                </c:pt>
                <c:pt idx="1149">
                  <c:v>11.49</c:v>
                </c:pt>
                <c:pt idx="1150">
                  <c:v>11.5</c:v>
                </c:pt>
                <c:pt idx="1151">
                  <c:v>11.51</c:v>
                </c:pt>
                <c:pt idx="1152">
                  <c:v>11.52</c:v>
                </c:pt>
                <c:pt idx="1153">
                  <c:v>11.53</c:v>
                </c:pt>
                <c:pt idx="1154">
                  <c:v>11.54</c:v>
                </c:pt>
                <c:pt idx="1155">
                  <c:v>11.55</c:v>
                </c:pt>
                <c:pt idx="1156">
                  <c:v>11.56</c:v>
                </c:pt>
                <c:pt idx="1157">
                  <c:v>11.57</c:v>
                </c:pt>
                <c:pt idx="1158">
                  <c:v>11.58</c:v>
                </c:pt>
                <c:pt idx="1159">
                  <c:v>11.59</c:v>
                </c:pt>
                <c:pt idx="1160">
                  <c:v>11.6</c:v>
                </c:pt>
                <c:pt idx="1161">
                  <c:v>11.61</c:v>
                </c:pt>
                <c:pt idx="1162">
                  <c:v>11.62</c:v>
                </c:pt>
                <c:pt idx="1163">
                  <c:v>11.63</c:v>
                </c:pt>
                <c:pt idx="1164">
                  <c:v>11.64</c:v>
                </c:pt>
                <c:pt idx="1165">
                  <c:v>11.65</c:v>
                </c:pt>
                <c:pt idx="1166">
                  <c:v>11.66</c:v>
                </c:pt>
                <c:pt idx="1167">
                  <c:v>11.67</c:v>
                </c:pt>
                <c:pt idx="1168">
                  <c:v>11.68</c:v>
                </c:pt>
                <c:pt idx="1169">
                  <c:v>11.69</c:v>
                </c:pt>
                <c:pt idx="1170">
                  <c:v>11.7</c:v>
                </c:pt>
                <c:pt idx="1171">
                  <c:v>11.71</c:v>
                </c:pt>
                <c:pt idx="1172">
                  <c:v>11.72</c:v>
                </c:pt>
                <c:pt idx="1173">
                  <c:v>11.73</c:v>
                </c:pt>
                <c:pt idx="1174">
                  <c:v>11.74</c:v>
                </c:pt>
                <c:pt idx="1175">
                  <c:v>11.75</c:v>
                </c:pt>
                <c:pt idx="1176">
                  <c:v>11.76</c:v>
                </c:pt>
                <c:pt idx="1177">
                  <c:v>11.77</c:v>
                </c:pt>
                <c:pt idx="1178">
                  <c:v>11.78</c:v>
                </c:pt>
                <c:pt idx="1179">
                  <c:v>11.79</c:v>
                </c:pt>
                <c:pt idx="1180">
                  <c:v>11.8</c:v>
                </c:pt>
                <c:pt idx="1181">
                  <c:v>11.81</c:v>
                </c:pt>
                <c:pt idx="1182">
                  <c:v>11.82</c:v>
                </c:pt>
                <c:pt idx="1183">
                  <c:v>11.83</c:v>
                </c:pt>
                <c:pt idx="1184">
                  <c:v>11.84</c:v>
                </c:pt>
                <c:pt idx="1185">
                  <c:v>11.85</c:v>
                </c:pt>
                <c:pt idx="1186">
                  <c:v>11.86</c:v>
                </c:pt>
                <c:pt idx="1187">
                  <c:v>11.87</c:v>
                </c:pt>
                <c:pt idx="1188">
                  <c:v>11.88</c:v>
                </c:pt>
                <c:pt idx="1189">
                  <c:v>11.89</c:v>
                </c:pt>
                <c:pt idx="1190">
                  <c:v>11.9</c:v>
                </c:pt>
                <c:pt idx="1191">
                  <c:v>11.91</c:v>
                </c:pt>
                <c:pt idx="1192">
                  <c:v>11.92</c:v>
                </c:pt>
                <c:pt idx="1193">
                  <c:v>11.93</c:v>
                </c:pt>
                <c:pt idx="1194">
                  <c:v>11.94</c:v>
                </c:pt>
                <c:pt idx="1195">
                  <c:v>11.95</c:v>
                </c:pt>
                <c:pt idx="1196">
                  <c:v>11.96</c:v>
                </c:pt>
                <c:pt idx="1197">
                  <c:v>11.97</c:v>
                </c:pt>
                <c:pt idx="1198">
                  <c:v>11.98</c:v>
                </c:pt>
                <c:pt idx="1199">
                  <c:v>11.99</c:v>
                </c:pt>
                <c:pt idx="1200">
                  <c:v>12</c:v>
                </c:pt>
                <c:pt idx="1201">
                  <c:v>12.01</c:v>
                </c:pt>
                <c:pt idx="1202">
                  <c:v>12.02</c:v>
                </c:pt>
                <c:pt idx="1203">
                  <c:v>12.03</c:v>
                </c:pt>
                <c:pt idx="1204">
                  <c:v>12.040000000000001</c:v>
                </c:pt>
                <c:pt idx="1205">
                  <c:v>12.05</c:v>
                </c:pt>
                <c:pt idx="1206">
                  <c:v>12.06</c:v>
                </c:pt>
                <c:pt idx="1207">
                  <c:v>12.07</c:v>
                </c:pt>
                <c:pt idx="1208">
                  <c:v>12.08</c:v>
                </c:pt>
                <c:pt idx="1209">
                  <c:v>12.09</c:v>
                </c:pt>
                <c:pt idx="1210">
                  <c:v>12.1</c:v>
                </c:pt>
                <c:pt idx="1211">
                  <c:v>12.11</c:v>
                </c:pt>
                <c:pt idx="1212">
                  <c:v>12.12</c:v>
                </c:pt>
                <c:pt idx="1213">
                  <c:v>12.13</c:v>
                </c:pt>
                <c:pt idx="1214">
                  <c:v>12.14</c:v>
                </c:pt>
                <c:pt idx="1215">
                  <c:v>12.15</c:v>
                </c:pt>
                <c:pt idx="1216">
                  <c:v>12.16</c:v>
                </c:pt>
                <c:pt idx="1217">
                  <c:v>12.17</c:v>
                </c:pt>
                <c:pt idx="1218">
                  <c:v>12.18</c:v>
                </c:pt>
                <c:pt idx="1219">
                  <c:v>12.19</c:v>
                </c:pt>
                <c:pt idx="1220">
                  <c:v>12.2</c:v>
                </c:pt>
                <c:pt idx="1221">
                  <c:v>12.21</c:v>
                </c:pt>
                <c:pt idx="1222">
                  <c:v>12.22</c:v>
                </c:pt>
                <c:pt idx="1223">
                  <c:v>12.23</c:v>
                </c:pt>
                <c:pt idx="1224">
                  <c:v>12.24</c:v>
                </c:pt>
                <c:pt idx="1225">
                  <c:v>12.25</c:v>
                </c:pt>
                <c:pt idx="1226">
                  <c:v>12.26</c:v>
                </c:pt>
                <c:pt idx="1227">
                  <c:v>12.27</c:v>
                </c:pt>
                <c:pt idx="1228">
                  <c:v>12.28</c:v>
                </c:pt>
                <c:pt idx="1229">
                  <c:v>12.290000000000001</c:v>
                </c:pt>
                <c:pt idx="1230">
                  <c:v>12.3</c:v>
                </c:pt>
                <c:pt idx="1231">
                  <c:v>12.31</c:v>
                </c:pt>
                <c:pt idx="1232">
                  <c:v>12.32</c:v>
                </c:pt>
                <c:pt idx="1233">
                  <c:v>12.33</c:v>
                </c:pt>
                <c:pt idx="1234">
                  <c:v>12.34</c:v>
                </c:pt>
                <c:pt idx="1235">
                  <c:v>12.35</c:v>
                </c:pt>
                <c:pt idx="1236">
                  <c:v>12.36</c:v>
                </c:pt>
                <c:pt idx="1237">
                  <c:v>12.37</c:v>
                </c:pt>
                <c:pt idx="1238">
                  <c:v>12.38</c:v>
                </c:pt>
                <c:pt idx="1239">
                  <c:v>12.39</c:v>
                </c:pt>
                <c:pt idx="1240">
                  <c:v>12.4</c:v>
                </c:pt>
                <c:pt idx="1241">
                  <c:v>12.41</c:v>
                </c:pt>
                <c:pt idx="1242">
                  <c:v>12.42</c:v>
                </c:pt>
                <c:pt idx="1243">
                  <c:v>12.43</c:v>
                </c:pt>
                <c:pt idx="1244">
                  <c:v>12.44</c:v>
                </c:pt>
                <c:pt idx="1245">
                  <c:v>12.45</c:v>
                </c:pt>
                <c:pt idx="1246">
                  <c:v>12.46</c:v>
                </c:pt>
                <c:pt idx="1247">
                  <c:v>12.47</c:v>
                </c:pt>
                <c:pt idx="1248">
                  <c:v>12.48</c:v>
                </c:pt>
                <c:pt idx="1249">
                  <c:v>12.49</c:v>
                </c:pt>
                <c:pt idx="1250">
                  <c:v>12.5</c:v>
                </c:pt>
                <c:pt idx="1251">
                  <c:v>12.51</c:v>
                </c:pt>
                <c:pt idx="1252">
                  <c:v>12.52</c:v>
                </c:pt>
                <c:pt idx="1253">
                  <c:v>12.53</c:v>
                </c:pt>
                <c:pt idx="1254">
                  <c:v>12.540000000000001</c:v>
                </c:pt>
                <c:pt idx="1255">
                  <c:v>12.55</c:v>
                </c:pt>
                <c:pt idx="1256">
                  <c:v>12.56</c:v>
                </c:pt>
                <c:pt idx="1257">
                  <c:v>12.57</c:v>
                </c:pt>
                <c:pt idx="1258">
                  <c:v>12.58</c:v>
                </c:pt>
                <c:pt idx="1259">
                  <c:v>12.59</c:v>
                </c:pt>
                <c:pt idx="1260">
                  <c:v>12.6</c:v>
                </c:pt>
                <c:pt idx="1261">
                  <c:v>12.61</c:v>
                </c:pt>
                <c:pt idx="1262">
                  <c:v>12.62</c:v>
                </c:pt>
                <c:pt idx="1263">
                  <c:v>12.63</c:v>
                </c:pt>
                <c:pt idx="1264">
                  <c:v>12.64</c:v>
                </c:pt>
                <c:pt idx="1265">
                  <c:v>12.65</c:v>
                </c:pt>
                <c:pt idx="1266">
                  <c:v>12.66</c:v>
                </c:pt>
                <c:pt idx="1267">
                  <c:v>12.67</c:v>
                </c:pt>
                <c:pt idx="1268">
                  <c:v>12.68</c:v>
                </c:pt>
                <c:pt idx="1269">
                  <c:v>12.69</c:v>
                </c:pt>
                <c:pt idx="1270">
                  <c:v>12.7</c:v>
                </c:pt>
                <c:pt idx="1271">
                  <c:v>12.71</c:v>
                </c:pt>
                <c:pt idx="1272">
                  <c:v>12.72</c:v>
                </c:pt>
                <c:pt idx="1273">
                  <c:v>12.73</c:v>
                </c:pt>
                <c:pt idx="1274">
                  <c:v>12.74</c:v>
                </c:pt>
                <c:pt idx="1275">
                  <c:v>12.75</c:v>
                </c:pt>
                <c:pt idx="1276">
                  <c:v>12.76</c:v>
                </c:pt>
                <c:pt idx="1277">
                  <c:v>12.77</c:v>
                </c:pt>
                <c:pt idx="1278">
                  <c:v>12.78</c:v>
                </c:pt>
                <c:pt idx="1279">
                  <c:v>12.790000000000001</c:v>
                </c:pt>
                <c:pt idx="1280">
                  <c:v>12.8</c:v>
                </c:pt>
                <c:pt idx="1281">
                  <c:v>12.81</c:v>
                </c:pt>
                <c:pt idx="1282">
                  <c:v>12.82</c:v>
                </c:pt>
                <c:pt idx="1283">
                  <c:v>12.83</c:v>
                </c:pt>
                <c:pt idx="1284">
                  <c:v>12.84</c:v>
                </c:pt>
                <c:pt idx="1285">
                  <c:v>12.85</c:v>
                </c:pt>
                <c:pt idx="1286">
                  <c:v>12.86</c:v>
                </c:pt>
                <c:pt idx="1287">
                  <c:v>12.87</c:v>
                </c:pt>
                <c:pt idx="1288">
                  <c:v>12.88</c:v>
                </c:pt>
                <c:pt idx="1289">
                  <c:v>12.89</c:v>
                </c:pt>
                <c:pt idx="1290">
                  <c:v>12.9</c:v>
                </c:pt>
                <c:pt idx="1291">
                  <c:v>12.91</c:v>
                </c:pt>
                <c:pt idx="1292">
                  <c:v>12.92</c:v>
                </c:pt>
                <c:pt idx="1293">
                  <c:v>12.93</c:v>
                </c:pt>
                <c:pt idx="1294">
                  <c:v>12.94</c:v>
                </c:pt>
                <c:pt idx="1295">
                  <c:v>12.95</c:v>
                </c:pt>
                <c:pt idx="1296">
                  <c:v>12.96</c:v>
                </c:pt>
                <c:pt idx="1297">
                  <c:v>12.97</c:v>
                </c:pt>
                <c:pt idx="1298">
                  <c:v>12.98</c:v>
                </c:pt>
                <c:pt idx="1299">
                  <c:v>12.99</c:v>
                </c:pt>
                <c:pt idx="1300">
                  <c:v>13</c:v>
                </c:pt>
                <c:pt idx="1301">
                  <c:v>13.01</c:v>
                </c:pt>
                <c:pt idx="1302">
                  <c:v>13.02</c:v>
                </c:pt>
                <c:pt idx="1303">
                  <c:v>13.03</c:v>
                </c:pt>
                <c:pt idx="1304">
                  <c:v>13.040000000000001</c:v>
                </c:pt>
                <c:pt idx="1305">
                  <c:v>13.05</c:v>
                </c:pt>
                <c:pt idx="1306">
                  <c:v>13.06</c:v>
                </c:pt>
                <c:pt idx="1307">
                  <c:v>13.07</c:v>
                </c:pt>
                <c:pt idx="1308">
                  <c:v>13.08</c:v>
                </c:pt>
                <c:pt idx="1309">
                  <c:v>13.09</c:v>
                </c:pt>
                <c:pt idx="1310">
                  <c:v>13.1</c:v>
                </c:pt>
                <c:pt idx="1311">
                  <c:v>13.11</c:v>
                </c:pt>
                <c:pt idx="1312">
                  <c:v>13.12</c:v>
                </c:pt>
                <c:pt idx="1313">
                  <c:v>13.13</c:v>
                </c:pt>
                <c:pt idx="1314">
                  <c:v>13.14</c:v>
                </c:pt>
                <c:pt idx="1315">
                  <c:v>13.15</c:v>
                </c:pt>
                <c:pt idx="1316">
                  <c:v>13.16</c:v>
                </c:pt>
                <c:pt idx="1317">
                  <c:v>13.17</c:v>
                </c:pt>
                <c:pt idx="1318">
                  <c:v>13.18</c:v>
                </c:pt>
                <c:pt idx="1319">
                  <c:v>13.19</c:v>
                </c:pt>
                <c:pt idx="1320">
                  <c:v>13.2</c:v>
                </c:pt>
                <c:pt idx="1321">
                  <c:v>13.21</c:v>
                </c:pt>
                <c:pt idx="1322">
                  <c:v>13.22</c:v>
                </c:pt>
                <c:pt idx="1323">
                  <c:v>13.23</c:v>
                </c:pt>
                <c:pt idx="1324">
                  <c:v>13.24</c:v>
                </c:pt>
                <c:pt idx="1325">
                  <c:v>13.25</c:v>
                </c:pt>
                <c:pt idx="1326">
                  <c:v>13.26</c:v>
                </c:pt>
                <c:pt idx="1327">
                  <c:v>13.27</c:v>
                </c:pt>
                <c:pt idx="1328">
                  <c:v>13.28</c:v>
                </c:pt>
                <c:pt idx="1329">
                  <c:v>13.290000000000001</c:v>
                </c:pt>
                <c:pt idx="1330">
                  <c:v>13.3</c:v>
                </c:pt>
                <c:pt idx="1331">
                  <c:v>13.31</c:v>
                </c:pt>
                <c:pt idx="1332">
                  <c:v>13.32</c:v>
                </c:pt>
                <c:pt idx="1333">
                  <c:v>13.33</c:v>
                </c:pt>
                <c:pt idx="1334">
                  <c:v>13.34</c:v>
                </c:pt>
                <c:pt idx="1335">
                  <c:v>13.35</c:v>
                </c:pt>
                <c:pt idx="1336">
                  <c:v>13.36</c:v>
                </c:pt>
                <c:pt idx="1337">
                  <c:v>13.37</c:v>
                </c:pt>
                <c:pt idx="1338">
                  <c:v>13.38</c:v>
                </c:pt>
                <c:pt idx="1339">
                  <c:v>13.39</c:v>
                </c:pt>
                <c:pt idx="1340">
                  <c:v>13.4</c:v>
                </c:pt>
                <c:pt idx="1341">
                  <c:v>13.41</c:v>
                </c:pt>
                <c:pt idx="1342">
                  <c:v>13.42</c:v>
                </c:pt>
                <c:pt idx="1343">
                  <c:v>13.43</c:v>
                </c:pt>
                <c:pt idx="1344">
                  <c:v>13.44</c:v>
                </c:pt>
                <c:pt idx="1345">
                  <c:v>13.45</c:v>
                </c:pt>
                <c:pt idx="1346">
                  <c:v>13.46</c:v>
                </c:pt>
                <c:pt idx="1347">
                  <c:v>13.47</c:v>
                </c:pt>
                <c:pt idx="1348">
                  <c:v>13.48</c:v>
                </c:pt>
                <c:pt idx="1349">
                  <c:v>13.49</c:v>
                </c:pt>
                <c:pt idx="1350">
                  <c:v>13.5</c:v>
                </c:pt>
                <c:pt idx="1351">
                  <c:v>13.51</c:v>
                </c:pt>
                <c:pt idx="1352">
                  <c:v>13.52</c:v>
                </c:pt>
                <c:pt idx="1353">
                  <c:v>13.53</c:v>
                </c:pt>
                <c:pt idx="1354">
                  <c:v>13.540000000000001</c:v>
                </c:pt>
                <c:pt idx="1355">
                  <c:v>13.55</c:v>
                </c:pt>
                <c:pt idx="1356">
                  <c:v>13.56</c:v>
                </c:pt>
                <c:pt idx="1357">
                  <c:v>13.57</c:v>
                </c:pt>
                <c:pt idx="1358">
                  <c:v>13.58</c:v>
                </c:pt>
                <c:pt idx="1359">
                  <c:v>13.59</c:v>
                </c:pt>
                <c:pt idx="1360">
                  <c:v>13.6</c:v>
                </c:pt>
                <c:pt idx="1361">
                  <c:v>13.61</c:v>
                </c:pt>
                <c:pt idx="1362">
                  <c:v>13.62</c:v>
                </c:pt>
                <c:pt idx="1363">
                  <c:v>13.63</c:v>
                </c:pt>
                <c:pt idx="1364">
                  <c:v>13.64</c:v>
                </c:pt>
                <c:pt idx="1365">
                  <c:v>13.65</c:v>
                </c:pt>
                <c:pt idx="1366">
                  <c:v>13.66</c:v>
                </c:pt>
                <c:pt idx="1367">
                  <c:v>13.67</c:v>
                </c:pt>
                <c:pt idx="1368">
                  <c:v>13.68</c:v>
                </c:pt>
                <c:pt idx="1369">
                  <c:v>13.69</c:v>
                </c:pt>
                <c:pt idx="1370">
                  <c:v>13.7</c:v>
                </c:pt>
                <c:pt idx="1371">
                  <c:v>13.71</c:v>
                </c:pt>
                <c:pt idx="1372">
                  <c:v>13.72</c:v>
                </c:pt>
                <c:pt idx="1373">
                  <c:v>13.73</c:v>
                </c:pt>
                <c:pt idx="1374">
                  <c:v>13.74</c:v>
                </c:pt>
                <c:pt idx="1375">
                  <c:v>13.75</c:v>
                </c:pt>
                <c:pt idx="1376">
                  <c:v>13.76</c:v>
                </c:pt>
                <c:pt idx="1377">
                  <c:v>13.77</c:v>
                </c:pt>
                <c:pt idx="1378">
                  <c:v>13.78</c:v>
                </c:pt>
                <c:pt idx="1379">
                  <c:v>13.790000000000001</c:v>
                </c:pt>
                <c:pt idx="1380">
                  <c:v>13.8</c:v>
                </c:pt>
                <c:pt idx="1381">
                  <c:v>13.81</c:v>
                </c:pt>
                <c:pt idx="1382">
                  <c:v>13.82</c:v>
                </c:pt>
                <c:pt idx="1383">
                  <c:v>13.83</c:v>
                </c:pt>
                <c:pt idx="1384">
                  <c:v>13.84</c:v>
                </c:pt>
                <c:pt idx="1385">
                  <c:v>13.85</c:v>
                </c:pt>
                <c:pt idx="1386">
                  <c:v>13.86</c:v>
                </c:pt>
                <c:pt idx="1387">
                  <c:v>13.87</c:v>
                </c:pt>
                <c:pt idx="1388">
                  <c:v>13.88</c:v>
                </c:pt>
                <c:pt idx="1389">
                  <c:v>13.89</c:v>
                </c:pt>
                <c:pt idx="1390">
                  <c:v>13.9</c:v>
                </c:pt>
                <c:pt idx="1391">
                  <c:v>13.91</c:v>
                </c:pt>
                <c:pt idx="1392">
                  <c:v>13.92</c:v>
                </c:pt>
                <c:pt idx="1393">
                  <c:v>13.93</c:v>
                </c:pt>
                <c:pt idx="1394">
                  <c:v>13.94</c:v>
                </c:pt>
                <c:pt idx="1395">
                  <c:v>13.95</c:v>
                </c:pt>
                <c:pt idx="1396">
                  <c:v>13.96</c:v>
                </c:pt>
                <c:pt idx="1397">
                  <c:v>13.97</c:v>
                </c:pt>
                <c:pt idx="1398">
                  <c:v>13.98</c:v>
                </c:pt>
                <c:pt idx="1399">
                  <c:v>13.99</c:v>
                </c:pt>
                <c:pt idx="1400">
                  <c:v>14</c:v>
                </c:pt>
                <c:pt idx="1401">
                  <c:v>14.01</c:v>
                </c:pt>
                <c:pt idx="1402">
                  <c:v>14.02</c:v>
                </c:pt>
                <c:pt idx="1403">
                  <c:v>14.03</c:v>
                </c:pt>
                <c:pt idx="1404">
                  <c:v>14.040000000000001</c:v>
                </c:pt>
                <c:pt idx="1405">
                  <c:v>14.05</c:v>
                </c:pt>
                <c:pt idx="1406">
                  <c:v>14.06</c:v>
                </c:pt>
                <c:pt idx="1407">
                  <c:v>14.07</c:v>
                </c:pt>
                <c:pt idx="1408">
                  <c:v>14.08</c:v>
                </c:pt>
                <c:pt idx="1409">
                  <c:v>14.09</c:v>
                </c:pt>
                <c:pt idx="1410">
                  <c:v>14.1</c:v>
                </c:pt>
                <c:pt idx="1411">
                  <c:v>14.11</c:v>
                </c:pt>
                <c:pt idx="1412">
                  <c:v>14.12</c:v>
                </c:pt>
                <c:pt idx="1413">
                  <c:v>14.13</c:v>
                </c:pt>
                <c:pt idx="1414">
                  <c:v>14.14</c:v>
                </c:pt>
                <c:pt idx="1415">
                  <c:v>14.15</c:v>
                </c:pt>
                <c:pt idx="1416">
                  <c:v>14.16</c:v>
                </c:pt>
                <c:pt idx="1417">
                  <c:v>14.17</c:v>
                </c:pt>
                <c:pt idx="1418">
                  <c:v>14.18</c:v>
                </c:pt>
                <c:pt idx="1419">
                  <c:v>14.19</c:v>
                </c:pt>
                <c:pt idx="1420">
                  <c:v>14.2</c:v>
                </c:pt>
                <c:pt idx="1421">
                  <c:v>14.21</c:v>
                </c:pt>
                <c:pt idx="1422">
                  <c:v>14.22</c:v>
                </c:pt>
                <c:pt idx="1423">
                  <c:v>14.23</c:v>
                </c:pt>
                <c:pt idx="1424">
                  <c:v>14.24</c:v>
                </c:pt>
                <c:pt idx="1425">
                  <c:v>14.25</c:v>
                </c:pt>
                <c:pt idx="1426">
                  <c:v>14.26</c:v>
                </c:pt>
                <c:pt idx="1427">
                  <c:v>14.27</c:v>
                </c:pt>
                <c:pt idx="1428">
                  <c:v>14.28</c:v>
                </c:pt>
                <c:pt idx="1429">
                  <c:v>14.290000000000001</c:v>
                </c:pt>
                <c:pt idx="1430">
                  <c:v>14.3</c:v>
                </c:pt>
                <c:pt idx="1431">
                  <c:v>14.31</c:v>
                </c:pt>
                <c:pt idx="1432">
                  <c:v>14.32</c:v>
                </c:pt>
                <c:pt idx="1433">
                  <c:v>14.33</c:v>
                </c:pt>
                <c:pt idx="1434">
                  <c:v>14.34</c:v>
                </c:pt>
                <c:pt idx="1435">
                  <c:v>14.35</c:v>
                </c:pt>
                <c:pt idx="1436">
                  <c:v>14.36</c:v>
                </c:pt>
                <c:pt idx="1437">
                  <c:v>14.37</c:v>
                </c:pt>
                <c:pt idx="1438">
                  <c:v>14.38</c:v>
                </c:pt>
                <c:pt idx="1439">
                  <c:v>14.39</c:v>
                </c:pt>
                <c:pt idx="1440">
                  <c:v>14.4</c:v>
                </c:pt>
                <c:pt idx="1441">
                  <c:v>14.41</c:v>
                </c:pt>
                <c:pt idx="1442">
                  <c:v>14.42</c:v>
                </c:pt>
                <c:pt idx="1443">
                  <c:v>14.43</c:v>
                </c:pt>
                <c:pt idx="1444">
                  <c:v>14.44</c:v>
                </c:pt>
                <c:pt idx="1445">
                  <c:v>14.45</c:v>
                </c:pt>
                <c:pt idx="1446">
                  <c:v>14.46</c:v>
                </c:pt>
                <c:pt idx="1447">
                  <c:v>14.47</c:v>
                </c:pt>
                <c:pt idx="1448">
                  <c:v>14.48</c:v>
                </c:pt>
                <c:pt idx="1449">
                  <c:v>14.49</c:v>
                </c:pt>
                <c:pt idx="1450">
                  <c:v>14.5</c:v>
                </c:pt>
                <c:pt idx="1451">
                  <c:v>14.51</c:v>
                </c:pt>
                <c:pt idx="1452">
                  <c:v>14.52</c:v>
                </c:pt>
                <c:pt idx="1453">
                  <c:v>14.53</c:v>
                </c:pt>
                <c:pt idx="1454">
                  <c:v>14.540000000000001</c:v>
                </c:pt>
                <c:pt idx="1455">
                  <c:v>14.55</c:v>
                </c:pt>
                <c:pt idx="1456">
                  <c:v>14.56</c:v>
                </c:pt>
                <c:pt idx="1457">
                  <c:v>14.57</c:v>
                </c:pt>
                <c:pt idx="1458">
                  <c:v>14.58</c:v>
                </c:pt>
                <c:pt idx="1459">
                  <c:v>14.59</c:v>
                </c:pt>
                <c:pt idx="1460">
                  <c:v>14.6</c:v>
                </c:pt>
                <c:pt idx="1461">
                  <c:v>14.61</c:v>
                </c:pt>
                <c:pt idx="1462">
                  <c:v>14.62</c:v>
                </c:pt>
                <c:pt idx="1463">
                  <c:v>14.63</c:v>
                </c:pt>
                <c:pt idx="1464">
                  <c:v>14.64</c:v>
                </c:pt>
                <c:pt idx="1465">
                  <c:v>14.65</c:v>
                </c:pt>
                <c:pt idx="1466">
                  <c:v>14.66</c:v>
                </c:pt>
                <c:pt idx="1467">
                  <c:v>14.67</c:v>
                </c:pt>
                <c:pt idx="1468">
                  <c:v>14.68</c:v>
                </c:pt>
                <c:pt idx="1469">
                  <c:v>14.69</c:v>
                </c:pt>
                <c:pt idx="1470">
                  <c:v>14.7</c:v>
                </c:pt>
                <c:pt idx="1471">
                  <c:v>14.71</c:v>
                </c:pt>
                <c:pt idx="1472">
                  <c:v>14.72</c:v>
                </c:pt>
                <c:pt idx="1473">
                  <c:v>14.73</c:v>
                </c:pt>
                <c:pt idx="1474">
                  <c:v>14.74</c:v>
                </c:pt>
                <c:pt idx="1475">
                  <c:v>14.75</c:v>
                </c:pt>
                <c:pt idx="1476">
                  <c:v>14.76</c:v>
                </c:pt>
                <c:pt idx="1477">
                  <c:v>14.77</c:v>
                </c:pt>
                <c:pt idx="1478">
                  <c:v>14.78</c:v>
                </c:pt>
                <c:pt idx="1479">
                  <c:v>14.790000000000001</c:v>
                </c:pt>
                <c:pt idx="1480">
                  <c:v>14.8</c:v>
                </c:pt>
                <c:pt idx="1481">
                  <c:v>14.81</c:v>
                </c:pt>
                <c:pt idx="1482">
                  <c:v>14.82</c:v>
                </c:pt>
                <c:pt idx="1483">
                  <c:v>14.83</c:v>
                </c:pt>
                <c:pt idx="1484">
                  <c:v>14.84</c:v>
                </c:pt>
                <c:pt idx="1485">
                  <c:v>14.85</c:v>
                </c:pt>
                <c:pt idx="1486">
                  <c:v>14.86</c:v>
                </c:pt>
                <c:pt idx="1487">
                  <c:v>14.87</c:v>
                </c:pt>
                <c:pt idx="1488">
                  <c:v>14.88</c:v>
                </c:pt>
                <c:pt idx="1489">
                  <c:v>14.89</c:v>
                </c:pt>
                <c:pt idx="1490">
                  <c:v>14.9</c:v>
                </c:pt>
                <c:pt idx="1491">
                  <c:v>14.91</c:v>
                </c:pt>
                <c:pt idx="1492">
                  <c:v>14.92</c:v>
                </c:pt>
                <c:pt idx="1493">
                  <c:v>14.93</c:v>
                </c:pt>
                <c:pt idx="1494">
                  <c:v>14.94</c:v>
                </c:pt>
                <c:pt idx="1495">
                  <c:v>14.95</c:v>
                </c:pt>
                <c:pt idx="1496">
                  <c:v>14.96</c:v>
                </c:pt>
                <c:pt idx="1497">
                  <c:v>14.97</c:v>
                </c:pt>
                <c:pt idx="1498">
                  <c:v>14.98</c:v>
                </c:pt>
                <c:pt idx="1499">
                  <c:v>14.99</c:v>
                </c:pt>
                <c:pt idx="1500">
                  <c:v>15</c:v>
                </c:pt>
                <c:pt idx="1501">
                  <c:v>15.01</c:v>
                </c:pt>
                <c:pt idx="1502">
                  <c:v>15.02</c:v>
                </c:pt>
                <c:pt idx="1503">
                  <c:v>15.03</c:v>
                </c:pt>
                <c:pt idx="1504">
                  <c:v>15.040000000000001</c:v>
                </c:pt>
                <c:pt idx="1505">
                  <c:v>15.05</c:v>
                </c:pt>
                <c:pt idx="1506">
                  <c:v>15.06</c:v>
                </c:pt>
                <c:pt idx="1507">
                  <c:v>15.07</c:v>
                </c:pt>
                <c:pt idx="1508">
                  <c:v>15.08</c:v>
                </c:pt>
                <c:pt idx="1509">
                  <c:v>15.09</c:v>
                </c:pt>
                <c:pt idx="1510">
                  <c:v>15.1</c:v>
                </c:pt>
                <c:pt idx="1511">
                  <c:v>15.11</c:v>
                </c:pt>
                <c:pt idx="1512">
                  <c:v>15.12</c:v>
                </c:pt>
                <c:pt idx="1513">
                  <c:v>15.13</c:v>
                </c:pt>
                <c:pt idx="1514">
                  <c:v>15.14</c:v>
                </c:pt>
                <c:pt idx="1515">
                  <c:v>15.15</c:v>
                </c:pt>
                <c:pt idx="1516">
                  <c:v>15.16</c:v>
                </c:pt>
                <c:pt idx="1517">
                  <c:v>15.17</c:v>
                </c:pt>
                <c:pt idx="1518">
                  <c:v>15.18</c:v>
                </c:pt>
                <c:pt idx="1519">
                  <c:v>15.19</c:v>
                </c:pt>
                <c:pt idx="1520">
                  <c:v>15.2</c:v>
                </c:pt>
                <c:pt idx="1521">
                  <c:v>15.21</c:v>
                </c:pt>
                <c:pt idx="1522">
                  <c:v>15.22</c:v>
                </c:pt>
                <c:pt idx="1523">
                  <c:v>15.23</c:v>
                </c:pt>
                <c:pt idx="1524">
                  <c:v>15.24</c:v>
                </c:pt>
                <c:pt idx="1525">
                  <c:v>15.25</c:v>
                </c:pt>
                <c:pt idx="1526">
                  <c:v>15.26</c:v>
                </c:pt>
                <c:pt idx="1527">
                  <c:v>15.27</c:v>
                </c:pt>
                <c:pt idx="1528">
                  <c:v>15.28</c:v>
                </c:pt>
                <c:pt idx="1529">
                  <c:v>15.290000000000001</c:v>
                </c:pt>
                <c:pt idx="1530">
                  <c:v>15.3</c:v>
                </c:pt>
                <c:pt idx="1531">
                  <c:v>15.31</c:v>
                </c:pt>
                <c:pt idx="1532">
                  <c:v>15.32</c:v>
                </c:pt>
                <c:pt idx="1533">
                  <c:v>15.33</c:v>
                </c:pt>
                <c:pt idx="1534">
                  <c:v>15.34</c:v>
                </c:pt>
                <c:pt idx="1535">
                  <c:v>15.35</c:v>
                </c:pt>
                <c:pt idx="1536">
                  <c:v>15.36</c:v>
                </c:pt>
                <c:pt idx="1537">
                  <c:v>15.37</c:v>
                </c:pt>
                <c:pt idx="1538">
                  <c:v>15.38</c:v>
                </c:pt>
                <c:pt idx="1539">
                  <c:v>15.39</c:v>
                </c:pt>
                <c:pt idx="1540">
                  <c:v>15.4</c:v>
                </c:pt>
                <c:pt idx="1541">
                  <c:v>15.41</c:v>
                </c:pt>
                <c:pt idx="1542">
                  <c:v>15.42</c:v>
                </c:pt>
                <c:pt idx="1543">
                  <c:v>15.43</c:v>
                </c:pt>
                <c:pt idx="1544">
                  <c:v>15.44</c:v>
                </c:pt>
                <c:pt idx="1545">
                  <c:v>15.45</c:v>
                </c:pt>
                <c:pt idx="1546">
                  <c:v>15.46</c:v>
                </c:pt>
                <c:pt idx="1547">
                  <c:v>15.47</c:v>
                </c:pt>
                <c:pt idx="1548">
                  <c:v>15.48</c:v>
                </c:pt>
                <c:pt idx="1549">
                  <c:v>15.49</c:v>
                </c:pt>
                <c:pt idx="1550">
                  <c:v>15.5</c:v>
                </c:pt>
                <c:pt idx="1551">
                  <c:v>15.51</c:v>
                </c:pt>
                <c:pt idx="1552">
                  <c:v>15.52</c:v>
                </c:pt>
                <c:pt idx="1553">
                  <c:v>15.53</c:v>
                </c:pt>
                <c:pt idx="1554">
                  <c:v>15.540000000000001</c:v>
                </c:pt>
                <c:pt idx="1555">
                  <c:v>15.55</c:v>
                </c:pt>
                <c:pt idx="1556">
                  <c:v>15.56</c:v>
                </c:pt>
                <c:pt idx="1557">
                  <c:v>15.57</c:v>
                </c:pt>
                <c:pt idx="1558">
                  <c:v>15.58</c:v>
                </c:pt>
                <c:pt idx="1559">
                  <c:v>15.59</c:v>
                </c:pt>
                <c:pt idx="1560">
                  <c:v>15.6</c:v>
                </c:pt>
                <c:pt idx="1561">
                  <c:v>15.61</c:v>
                </c:pt>
                <c:pt idx="1562">
                  <c:v>15.620000000000001</c:v>
                </c:pt>
                <c:pt idx="1563">
                  <c:v>15.63</c:v>
                </c:pt>
                <c:pt idx="1564">
                  <c:v>15.64</c:v>
                </c:pt>
                <c:pt idx="1565">
                  <c:v>15.65</c:v>
                </c:pt>
                <c:pt idx="1566">
                  <c:v>15.66</c:v>
                </c:pt>
                <c:pt idx="1567">
                  <c:v>15.67</c:v>
                </c:pt>
                <c:pt idx="1568">
                  <c:v>15.68</c:v>
                </c:pt>
                <c:pt idx="1569">
                  <c:v>15.69</c:v>
                </c:pt>
                <c:pt idx="1570">
                  <c:v>15.7</c:v>
                </c:pt>
                <c:pt idx="1571">
                  <c:v>15.71</c:v>
                </c:pt>
                <c:pt idx="1572">
                  <c:v>15.72</c:v>
                </c:pt>
                <c:pt idx="1573">
                  <c:v>15.73</c:v>
                </c:pt>
                <c:pt idx="1574">
                  <c:v>15.74</c:v>
                </c:pt>
                <c:pt idx="1575">
                  <c:v>15.75</c:v>
                </c:pt>
                <c:pt idx="1576">
                  <c:v>15.76</c:v>
                </c:pt>
                <c:pt idx="1577">
                  <c:v>15.77</c:v>
                </c:pt>
                <c:pt idx="1578">
                  <c:v>15.78</c:v>
                </c:pt>
                <c:pt idx="1579">
                  <c:v>15.790000000000001</c:v>
                </c:pt>
                <c:pt idx="1580">
                  <c:v>15.8</c:v>
                </c:pt>
                <c:pt idx="1581">
                  <c:v>15.81</c:v>
                </c:pt>
                <c:pt idx="1582">
                  <c:v>15.82</c:v>
                </c:pt>
                <c:pt idx="1583">
                  <c:v>15.83</c:v>
                </c:pt>
                <c:pt idx="1584">
                  <c:v>15.84</c:v>
                </c:pt>
                <c:pt idx="1585">
                  <c:v>15.85</c:v>
                </c:pt>
                <c:pt idx="1586">
                  <c:v>15.86</c:v>
                </c:pt>
                <c:pt idx="1587">
                  <c:v>15.870000000000001</c:v>
                </c:pt>
                <c:pt idx="1588">
                  <c:v>15.88</c:v>
                </c:pt>
                <c:pt idx="1589">
                  <c:v>15.89</c:v>
                </c:pt>
                <c:pt idx="1590">
                  <c:v>15.9</c:v>
                </c:pt>
                <c:pt idx="1591">
                  <c:v>15.91</c:v>
                </c:pt>
                <c:pt idx="1592">
                  <c:v>15.92</c:v>
                </c:pt>
                <c:pt idx="1593">
                  <c:v>15.93</c:v>
                </c:pt>
                <c:pt idx="1594">
                  <c:v>15.94</c:v>
                </c:pt>
                <c:pt idx="1595">
                  <c:v>15.95</c:v>
                </c:pt>
                <c:pt idx="1596">
                  <c:v>15.96</c:v>
                </c:pt>
                <c:pt idx="1597">
                  <c:v>15.97</c:v>
                </c:pt>
                <c:pt idx="1598">
                  <c:v>15.98</c:v>
                </c:pt>
                <c:pt idx="1599">
                  <c:v>15.99</c:v>
                </c:pt>
                <c:pt idx="1600">
                  <c:v>16</c:v>
                </c:pt>
                <c:pt idx="1601">
                  <c:v>16.010000000000002</c:v>
                </c:pt>
                <c:pt idx="1602">
                  <c:v>16.020000000000003</c:v>
                </c:pt>
                <c:pt idx="1603">
                  <c:v>16.03</c:v>
                </c:pt>
                <c:pt idx="1604">
                  <c:v>16.040000000000003</c:v>
                </c:pt>
                <c:pt idx="1605">
                  <c:v>16.05</c:v>
                </c:pt>
                <c:pt idx="1606">
                  <c:v>16.060000000000002</c:v>
                </c:pt>
                <c:pt idx="1607">
                  <c:v>16.07</c:v>
                </c:pt>
                <c:pt idx="1608">
                  <c:v>16.080000000000002</c:v>
                </c:pt>
                <c:pt idx="1609">
                  <c:v>16.090000000000003</c:v>
                </c:pt>
                <c:pt idx="1610">
                  <c:v>16.100000000000001</c:v>
                </c:pt>
                <c:pt idx="1611">
                  <c:v>16.110000000000003</c:v>
                </c:pt>
                <c:pt idx="1612">
                  <c:v>16.12</c:v>
                </c:pt>
                <c:pt idx="1613">
                  <c:v>16.130000000000003</c:v>
                </c:pt>
                <c:pt idx="1614">
                  <c:v>16.14</c:v>
                </c:pt>
                <c:pt idx="1615">
                  <c:v>16.150000000000002</c:v>
                </c:pt>
                <c:pt idx="1616">
                  <c:v>16.16</c:v>
                </c:pt>
                <c:pt idx="1617">
                  <c:v>16.170000000000002</c:v>
                </c:pt>
                <c:pt idx="1618">
                  <c:v>16.180000000000003</c:v>
                </c:pt>
                <c:pt idx="1619">
                  <c:v>16.190000000000001</c:v>
                </c:pt>
                <c:pt idx="1620">
                  <c:v>16.200000000000003</c:v>
                </c:pt>
                <c:pt idx="1621">
                  <c:v>16.21</c:v>
                </c:pt>
                <c:pt idx="1622">
                  <c:v>16.220000000000002</c:v>
                </c:pt>
                <c:pt idx="1623">
                  <c:v>16.23</c:v>
                </c:pt>
                <c:pt idx="1624">
                  <c:v>16.240000000000002</c:v>
                </c:pt>
                <c:pt idx="1625">
                  <c:v>16.250000000000004</c:v>
                </c:pt>
                <c:pt idx="1626">
                  <c:v>16.260000000000002</c:v>
                </c:pt>
                <c:pt idx="1627">
                  <c:v>16.270000000000003</c:v>
                </c:pt>
                <c:pt idx="1628">
                  <c:v>16.28</c:v>
                </c:pt>
                <c:pt idx="1629">
                  <c:v>16.290000000000003</c:v>
                </c:pt>
                <c:pt idx="1630">
                  <c:v>16.3</c:v>
                </c:pt>
                <c:pt idx="1631">
                  <c:v>16.310000000000002</c:v>
                </c:pt>
                <c:pt idx="1632">
                  <c:v>16.32</c:v>
                </c:pt>
                <c:pt idx="1633">
                  <c:v>16.330000000000002</c:v>
                </c:pt>
                <c:pt idx="1634">
                  <c:v>16.340000000000003</c:v>
                </c:pt>
                <c:pt idx="1635">
                  <c:v>16.350000000000001</c:v>
                </c:pt>
                <c:pt idx="1636">
                  <c:v>16.360000000000003</c:v>
                </c:pt>
                <c:pt idx="1637">
                  <c:v>16.37</c:v>
                </c:pt>
                <c:pt idx="1638">
                  <c:v>16.380000000000003</c:v>
                </c:pt>
                <c:pt idx="1639">
                  <c:v>16.39</c:v>
                </c:pt>
                <c:pt idx="1640">
                  <c:v>16.400000000000002</c:v>
                </c:pt>
                <c:pt idx="1641">
                  <c:v>16.41</c:v>
                </c:pt>
                <c:pt idx="1642">
                  <c:v>16.420000000000002</c:v>
                </c:pt>
                <c:pt idx="1643">
                  <c:v>16.430000000000003</c:v>
                </c:pt>
                <c:pt idx="1644">
                  <c:v>16.440000000000001</c:v>
                </c:pt>
                <c:pt idx="1645">
                  <c:v>16.450000000000003</c:v>
                </c:pt>
                <c:pt idx="1646">
                  <c:v>16.46</c:v>
                </c:pt>
                <c:pt idx="1647">
                  <c:v>16.470000000000002</c:v>
                </c:pt>
                <c:pt idx="1648">
                  <c:v>16.48</c:v>
                </c:pt>
                <c:pt idx="1649">
                  <c:v>16.490000000000002</c:v>
                </c:pt>
                <c:pt idx="1650">
                  <c:v>16.500000000000004</c:v>
                </c:pt>
                <c:pt idx="1651">
                  <c:v>16.510000000000002</c:v>
                </c:pt>
                <c:pt idx="1652">
                  <c:v>16.520000000000003</c:v>
                </c:pt>
                <c:pt idx="1653">
                  <c:v>16.53</c:v>
                </c:pt>
                <c:pt idx="1654">
                  <c:v>16.540000000000003</c:v>
                </c:pt>
                <c:pt idx="1655">
                  <c:v>16.55</c:v>
                </c:pt>
                <c:pt idx="1656">
                  <c:v>16.560000000000002</c:v>
                </c:pt>
                <c:pt idx="1657">
                  <c:v>16.57</c:v>
                </c:pt>
                <c:pt idx="1658">
                  <c:v>16.580000000000002</c:v>
                </c:pt>
                <c:pt idx="1659">
                  <c:v>16.590000000000003</c:v>
                </c:pt>
                <c:pt idx="1660">
                  <c:v>16.600000000000001</c:v>
                </c:pt>
                <c:pt idx="1661">
                  <c:v>16.610000000000003</c:v>
                </c:pt>
                <c:pt idx="1662">
                  <c:v>16.62</c:v>
                </c:pt>
                <c:pt idx="1663">
                  <c:v>16.630000000000003</c:v>
                </c:pt>
                <c:pt idx="1664">
                  <c:v>16.64</c:v>
                </c:pt>
                <c:pt idx="1665">
                  <c:v>16.650000000000002</c:v>
                </c:pt>
                <c:pt idx="1666">
                  <c:v>16.66</c:v>
                </c:pt>
                <c:pt idx="1667">
                  <c:v>16.670000000000002</c:v>
                </c:pt>
                <c:pt idx="1668">
                  <c:v>16.680000000000003</c:v>
                </c:pt>
                <c:pt idx="1669">
                  <c:v>16.690000000000001</c:v>
                </c:pt>
                <c:pt idx="1670">
                  <c:v>16.700000000000003</c:v>
                </c:pt>
                <c:pt idx="1671">
                  <c:v>16.71</c:v>
                </c:pt>
                <c:pt idx="1672">
                  <c:v>16.720000000000002</c:v>
                </c:pt>
                <c:pt idx="1673">
                  <c:v>16.73</c:v>
                </c:pt>
                <c:pt idx="1674">
                  <c:v>16.740000000000002</c:v>
                </c:pt>
                <c:pt idx="1675">
                  <c:v>16.750000000000004</c:v>
                </c:pt>
                <c:pt idx="1676">
                  <c:v>16.760000000000002</c:v>
                </c:pt>
                <c:pt idx="1677">
                  <c:v>16.770000000000003</c:v>
                </c:pt>
                <c:pt idx="1678">
                  <c:v>16.78</c:v>
                </c:pt>
                <c:pt idx="1679">
                  <c:v>16.790000000000003</c:v>
                </c:pt>
                <c:pt idx="1680">
                  <c:v>16.8</c:v>
                </c:pt>
                <c:pt idx="1681">
                  <c:v>16.810000000000002</c:v>
                </c:pt>
                <c:pt idx="1682">
                  <c:v>16.82</c:v>
                </c:pt>
                <c:pt idx="1683">
                  <c:v>16.830000000000002</c:v>
                </c:pt>
                <c:pt idx="1684">
                  <c:v>16.840000000000003</c:v>
                </c:pt>
                <c:pt idx="1685">
                  <c:v>16.850000000000001</c:v>
                </c:pt>
                <c:pt idx="1686">
                  <c:v>16.860000000000003</c:v>
                </c:pt>
                <c:pt idx="1687">
                  <c:v>16.87</c:v>
                </c:pt>
                <c:pt idx="1688">
                  <c:v>16.880000000000003</c:v>
                </c:pt>
                <c:pt idx="1689">
                  <c:v>16.89</c:v>
                </c:pt>
                <c:pt idx="1690">
                  <c:v>16.900000000000002</c:v>
                </c:pt>
                <c:pt idx="1691">
                  <c:v>16.91</c:v>
                </c:pt>
                <c:pt idx="1692">
                  <c:v>16.920000000000002</c:v>
                </c:pt>
                <c:pt idx="1693">
                  <c:v>16.930000000000003</c:v>
                </c:pt>
                <c:pt idx="1694">
                  <c:v>16.940000000000001</c:v>
                </c:pt>
                <c:pt idx="1695">
                  <c:v>16.950000000000003</c:v>
                </c:pt>
                <c:pt idx="1696">
                  <c:v>16.96</c:v>
                </c:pt>
                <c:pt idx="1697">
                  <c:v>16.970000000000002</c:v>
                </c:pt>
                <c:pt idx="1698">
                  <c:v>16.98</c:v>
                </c:pt>
                <c:pt idx="1699">
                  <c:v>16.990000000000002</c:v>
                </c:pt>
                <c:pt idx="1700">
                  <c:v>17.000000000000004</c:v>
                </c:pt>
                <c:pt idx="1701">
                  <c:v>17.010000000000002</c:v>
                </c:pt>
                <c:pt idx="1702">
                  <c:v>17.020000000000003</c:v>
                </c:pt>
                <c:pt idx="1703">
                  <c:v>17.03</c:v>
                </c:pt>
                <c:pt idx="1704">
                  <c:v>17.040000000000003</c:v>
                </c:pt>
                <c:pt idx="1705">
                  <c:v>17.05</c:v>
                </c:pt>
                <c:pt idx="1706">
                  <c:v>17.060000000000002</c:v>
                </c:pt>
                <c:pt idx="1707">
                  <c:v>17.07</c:v>
                </c:pt>
                <c:pt idx="1708">
                  <c:v>17.080000000000002</c:v>
                </c:pt>
                <c:pt idx="1709">
                  <c:v>17.090000000000003</c:v>
                </c:pt>
                <c:pt idx="1710">
                  <c:v>17.100000000000001</c:v>
                </c:pt>
                <c:pt idx="1711">
                  <c:v>17.110000000000003</c:v>
                </c:pt>
                <c:pt idx="1712">
                  <c:v>17.12</c:v>
                </c:pt>
                <c:pt idx="1713">
                  <c:v>17.130000000000003</c:v>
                </c:pt>
                <c:pt idx="1714">
                  <c:v>17.14</c:v>
                </c:pt>
                <c:pt idx="1715">
                  <c:v>17.150000000000002</c:v>
                </c:pt>
                <c:pt idx="1716">
                  <c:v>17.160000000000004</c:v>
                </c:pt>
                <c:pt idx="1717">
                  <c:v>17.170000000000002</c:v>
                </c:pt>
                <c:pt idx="1718">
                  <c:v>17.180000000000003</c:v>
                </c:pt>
                <c:pt idx="1719">
                  <c:v>17.190000000000001</c:v>
                </c:pt>
                <c:pt idx="1720">
                  <c:v>17.200000000000003</c:v>
                </c:pt>
                <c:pt idx="1721">
                  <c:v>17.21</c:v>
                </c:pt>
                <c:pt idx="1722">
                  <c:v>17.220000000000002</c:v>
                </c:pt>
                <c:pt idx="1723">
                  <c:v>17.23</c:v>
                </c:pt>
                <c:pt idx="1724">
                  <c:v>17.240000000000002</c:v>
                </c:pt>
                <c:pt idx="1725">
                  <c:v>17.250000000000004</c:v>
                </c:pt>
                <c:pt idx="1726">
                  <c:v>17.260000000000002</c:v>
                </c:pt>
                <c:pt idx="1727">
                  <c:v>17.270000000000003</c:v>
                </c:pt>
                <c:pt idx="1728">
                  <c:v>17.28</c:v>
                </c:pt>
                <c:pt idx="1729">
                  <c:v>17.290000000000003</c:v>
                </c:pt>
                <c:pt idx="1730">
                  <c:v>17.3</c:v>
                </c:pt>
                <c:pt idx="1731">
                  <c:v>17.310000000000002</c:v>
                </c:pt>
                <c:pt idx="1732">
                  <c:v>17.32</c:v>
                </c:pt>
                <c:pt idx="1733">
                  <c:v>17.330000000000002</c:v>
                </c:pt>
                <c:pt idx="1734">
                  <c:v>17.340000000000003</c:v>
                </c:pt>
                <c:pt idx="1735">
                  <c:v>17.350000000000001</c:v>
                </c:pt>
                <c:pt idx="1736">
                  <c:v>17.360000000000003</c:v>
                </c:pt>
                <c:pt idx="1737">
                  <c:v>17.37</c:v>
                </c:pt>
                <c:pt idx="1738">
                  <c:v>17.380000000000003</c:v>
                </c:pt>
                <c:pt idx="1739">
                  <c:v>17.39</c:v>
                </c:pt>
                <c:pt idx="1740">
                  <c:v>17.400000000000002</c:v>
                </c:pt>
                <c:pt idx="1741">
                  <c:v>17.410000000000004</c:v>
                </c:pt>
                <c:pt idx="1742">
                  <c:v>17.420000000000002</c:v>
                </c:pt>
                <c:pt idx="1743">
                  <c:v>17.430000000000003</c:v>
                </c:pt>
                <c:pt idx="1744">
                  <c:v>17.440000000000001</c:v>
                </c:pt>
                <c:pt idx="1745">
                  <c:v>17.450000000000003</c:v>
                </c:pt>
                <c:pt idx="1746">
                  <c:v>17.46</c:v>
                </c:pt>
                <c:pt idx="1747">
                  <c:v>17.470000000000002</c:v>
                </c:pt>
                <c:pt idx="1748">
                  <c:v>17.48</c:v>
                </c:pt>
                <c:pt idx="1749">
                  <c:v>17.490000000000002</c:v>
                </c:pt>
                <c:pt idx="1750">
                  <c:v>17.500000000000004</c:v>
                </c:pt>
                <c:pt idx="1751">
                  <c:v>17.510000000000002</c:v>
                </c:pt>
                <c:pt idx="1752">
                  <c:v>17.520000000000003</c:v>
                </c:pt>
                <c:pt idx="1753">
                  <c:v>17.53</c:v>
                </c:pt>
                <c:pt idx="1754">
                  <c:v>17.540000000000003</c:v>
                </c:pt>
                <c:pt idx="1755">
                  <c:v>17.55</c:v>
                </c:pt>
                <c:pt idx="1756">
                  <c:v>17.560000000000002</c:v>
                </c:pt>
                <c:pt idx="1757">
                  <c:v>17.57</c:v>
                </c:pt>
                <c:pt idx="1758">
                  <c:v>17.580000000000002</c:v>
                </c:pt>
                <c:pt idx="1759">
                  <c:v>17.590000000000003</c:v>
                </c:pt>
                <c:pt idx="1760">
                  <c:v>17.600000000000001</c:v>
                </c:pt>
                <c:pt idx="1761">
                  <c:v>17.610000000000003</c:v>
                </c:pt>
                <c:pt idx="1762">
                  <c:v>17.62</c:v>
                </c:pt>
                <c:pt idx="1763">
                  <c:v>17.630000000000003</c:v>
                </c:pt>
                <c:pt idx="1764">
                  <c:v>17.64</c:v>
                </c:pt>
                <c:pt idx="1765">
                  <c:v>17.650000000000002</c:v>
                </c:pt>
                <c:pt idx="1766">
                  <c:v>17.660000000000004</c:v>
                </c:pt>
                <c:pt idx="1767">
                  <c:v>17.670000000000002</c:v>
                </c:pt>
                <c:pt idx="1768">
                  <c:v>17.680000000000003</c:v>
                </c:pt>
                <c:pt idx="1769">
                  <c:v>17.690000000000001</c:v>
                </c:pt>
                <c:pt idx="1770">
                  <c:v>17.700000000000003</c:v>
                </c:pt>
                <c:pt idx="1771">
                  <c:v>17.71</c:v>
                </c:pt>
                <c:pt idx="1772">
                  <c:v>17.720000000000002</c:v>
                </c:pt>
                <c:pt idx="1773">
                  <c:v>17.73</c:v>
                </c:pt>
                <c:pt idx="1774">
                  <c:v>17.740000000000002</c:v>
                </c:pt>
                <c:pt idx="1775">
                  <c:v>17.750000000000004</c:v>
                </c:pt>
                <c:pt idx="1776">
                  <c:v>17.760000000000002</c:v>
                </c:pt>
                <c:pt idx="1777">
                  <c:v>17.770000000000003</c:v>
                </c:pt>
                <c:pt idx="1778">
                  <c:v>17.78</c:v>
                </c:pt>
                <c:pt idx="1779">
                  <c:v>17.790000000000003</c:v>
                </c:pt>
                <c:pt idx="1780">
                  <c:v>17.8</c:v>
                </c:pt>
                <c:pt idx="1781">
                  <c:v>17.810000000000002</c:v>
                </c:pt>
                <c:pt idx="1782">
                  <c:v>17.82</c:v>
                </c:pt>
                <c:pt idx="1783">
                  <c:v>17.830000000000002</c:v>
                </c:pt>
                <c:pt idx="1784">
                  <c:v>17.840000000000003</c:v>
                </c:pt>
                <c:pt idx="1785">
                  <c:v>17.850000000000001</c:v>
                </c:pt>
                <c:pt idx="1786">
                  <c:v>17.860000000000003</c:v>
                </c:pt>
                <c:pt idx="1787">
                  <c:v>17.87</c:v>
                </c:pt>
                <c:pt idx="1788">
                  <c:v>17.880000000000003</c:v>
                </c:pt>
                <c:pt idx="1789">
                  <c:v>17.89</c:v>
                </c:pt>
                <c:pt idx="1790">
                  <c:v>17.900000000000002</c:v>
                </c:pt>
                <c:pt idx="1791">
                  <c:v>17.910000000000004</c:v>
                </c:pt>
                <c:pt idx="1792">
                  <c:v>17.920000000000002</c:v>
                </c:pt>
                <c:pt idx="1793">
                  <c:v>17.930000000000003</c:v>
                </c:pt>
                <c:pt idx="1794">
                  <c:v>17.940000000000001</c:v>
                </c:pt>
                <c:pt idx="1795">
                  <c:v>17.950000000000003</c:v>
                </c:pt>
                <c:pt idx="1796">
                  <c:v>17.96</c:v>
                </c:pt>
                <c:pt idx="1797">
                  <c:v>17.970000000000002</c:v>
                </c:pt>
                <c:pt idx="1798">
                  <c:v>17.98</c:v>
                </c:pt>
                <c:pt idx="1799">
                  <c:v>17.990000000000002</c:v>
                </c:pt>
                <c:pt idx="1800">
                  <c:v>18.000000000000004</c:v>
                </c:pt>
                <c:pt idx="1801">
                  <c:v>18.010000000000002</c:v>
                </c:pt>
                <c:pt idx="1802">
                  <c:v>18.020000000000003</c:v>
                </c:pt>
                <c:pt idx="1803">
                  <c:v>18.03</c:v>
                </c:pt>
                <c:pt idx="1804">
                  <c:v>18.040000000000003</c:v>
                </c:pt>
                <c:pt idx="1805">
                  <c:v>18.05</c:v>
                </c:pt>
                <c:pt idx="1806">
                  <c:v>18.060000000000002</c:v>
                </c:pt>
                <c:pt idx="1807">
                  <c:v>18.07</c:v>
                </c:pt>
                <c:pt idx="1808">
                  <c:v>18.080000000000002</c:v>
                </c:pt>
                <c:pt idx="1809">
                  <c:v>18.090000000000003</c:v>
                </c:pt>
                <c:pt idx="1810">
                  <c:v>18.100000000000001</c:v>
                </c:pt>
                <c:pt idx="1811">
                  <c:v>18.110000000000003</c:v>
                </c:pt>
                <c:pt idx="1812">
                  <c:v>18.12</c:v>
                </c:pt>
                <c:pt idx="1813">
                  <c:v>18.130000000000003</c:v>
                </c:pt>
                <c:pt idx="1814">
                  <c:v>18.14</c:v>
                </c:pt>
                <c:pt idx="1815">
                  <c:v>18.150000000000002</c:v>
                </c:pt>
                <c:pt idx="1816">
                  <c:v>18.160000000000004</c:v>
                </c:pt>
                <c:pt idx="1817">
                  <c:v>18.170000000000002</c:v>
                </c:pt>
                <c:pt idx="1818">
                  <c:v>18.180000000000003</c:v>
                </c:pt>
                <c:pt idx="1819">
                  <c:v>18.190000000000001</c:v>
                </c:pt>
                <c:pt idx="1820">
                  <c:v>18.200000000000003</c:v>
                </c:pt>
                <c:pt idx="1821">
                  <c:v>18.21</c:v>
                </c:pt>
                <c:pt idx="1822">
                  <c:v>18.220000000000002</c:v>
                </c:pt>
                <c:pt idx="1823">
                  <c:v>18.23</c:v>
                </c:pt>
                <c:pt idx="1824">
                  <c:v>18.240000000000002</c:v>
                </c:pt>
                <c:pt idx="1825">
                  <c:v>18.250000000000004</c:v>
                </c:pt>
                <c:pt idx="1826">
                  <c:v>18.260000000000002</c:v>
                </c:pt>
                <c:pt idx="1827">
                  <c:v>18.270000000000003</c:v>
                </c:pt>
                <c:pt idx="1828">
                  <c:v>18.28</c:v>
                </c:pt>
                <c:pt idx="1829">
                  <c:v>18.290000000000003</c:v>
                </c:pt>
                <c:pt idx="1830">
                  <c:v>18.3</c:v>
                </c:pt>
                <c:pt idx="1831">
                  <c:v>18.310000000000002</c:v>
                </c:pt>
                <c:pt idx="1832">
                  <c:v>18.32</c:v>
                </c:pt>
                <c:pt idx="1833">
                  <c:v>18.330000000000002</c:v>
                </c:pt>
                <c:pt idx="1834">
                  <c:v>18.340000000000003</c:v>
                </c:pt>
                <c:pt idx="1835">
                  <c:v>18.350000000000001</c:v>
                </c:pt>
                <c:pt idx="1836">
                  <c:v>18.360000000000003</c:v>
                </c:pt>
                <c:pt idx="1837">
                  <c:v>18.37</c:v>
                </c:pt>
                <c:pt idx="1838">
                  <c:v>18.380000000000003</c:v>
                </c:pt>
                <c:pt idx="1839">
                  <c:v>18.39</c:v>
                </c:pt>
                <c:pt idx="1840">
                  <c:v>18.400000000000002</c:v>
                </c:pt>
                <c:pt idx="1841">
                  <c:v>18.410000000000004</c:v>
                </c:pt>
                <c:pt idx="1842">
                  <c:v>18.420000000000002</c:v>
                </c:pt>
                <c:pt idx="1843">
                  <c:v>18.430000000000003</c:v>
                </c:pt>
                <c:pt idx="1844">
                  <c:v>18.440000000000001</c:v>
                </c:pt>
                <c:pt idx="1845">
                  <c:v>18.450000000000003</c:v>
                </c:pt>
                <c:pt idx="1846">
                  <c:v>18.46</c:v>
                </c:pt>
                <c:pt idx="1847">
                  <c:v>18.470000000000002</c:v>
                </c:pt>
                <c:pt idx="1848">
                  <c:v>18.48</c:v>
                </c:pt>
                <c:pt idx="1849">
                  <c:v>18.490000000000002</c:v>
                </c:pt>
                <c:pt idx="1850">
                  <c:v>18.500000000000004</c:v>
                </c:pt>
                <c:pt idx="1851">
                  <c:v>18.510000000000002</c:v>
                </c:pt>
                <c:pt idx="1852">
                  <c:v>18.520000000000003</c:v>
                </c:pt>
                <c:pt idx="1853">
                  <c:v>18.53</c:v>
                </c:pt>
                <c:pt idx="1854">
                  <c:v>18.540000000000003</c:v>
                </c:pt>
                <c:pt idx="1855">
                  <c:v>18.55</c:v>
                </c:pt>
                <c:pt idx="1856">
                  <c:v>18.560000000000002</c:v>
                </c:pt>
                <c:pt idx="1857">
                  <c:v>18.57</c:v>
                </c:pt>
                <c:pt idx="1858">
                  <c:v>18.580000000000002</c:v>
                </c:pt>
                <c:pt idx="1859">
                  <c:v>18.590000000000003</c:v>
                </c:pt>
                <c:pt idx="1860">
                  <c:v>18.600000000000001</c:v>
                </c:pt>
                <c:pt idx="1861">
                  <c:v>18.610000000000003</c:v>
                </c:pt>
                <c:pt idx="1862">
                  <c:v>18.62</c:v>
                </c:pt>
                <c:pt idx="1863">
                  <c:v>18.630000000000003</c:v>
                </c:pt>
                <c:pt idx="1864">
                  <c:v>18.64</c:v>
                </c:pt>
                <c:pt idx="1865">
                  <c:v>18.650000000000002</c:v>
                </c:pt>
                <c:pt idx="1866">
                  <c:v>18.660000000000004</c:v>
                </c:pt>
                <c:pt idx="1867">
                  <c:v>18.670000000000002</c:v>
                </c:pt>
                <c:pt idx="1868">
                  <c:v>18.680000000000003</c:v>
                </c:pt>
                <c:pt idx="1869">
                  <c:v>18.690000000000001</c:v>
                </c:pt>
                <c:pt idx="1870">
                  <c:v>18.700000000000003</c:v>
                </c:pt>
                <c:pt idx="1871">
                  <c:v>18.71</c:v>
                </c:pt>
                <c:pt idx="1872">
                  <c:v>18.720000000000002</c:v>
                </c:pt>
                <c:pt idx="1873">
                  <c:v>18.73</c:v>
                </c:pt>
                <c:pt idx="1874">
                  <c:v>18.740000000000002</c:v>
                </c:pt>
                <c:pt idx="1875">
                  <c:v>18.750000000000004</c:v>
                </c:pt>
                <c:pt idx="1876">
                  <c:v>18.760000000000002</c:v>
                </c:pt>
                <c:pt idx="1877">
                  <c:v>18.770000000000003</c:v>
                </c:pt>
                <c:pt idx="1878">
                  <c:v>18.78</c:v>
                </c:pt>
                <c:pt idx="1879">
                  <c:v>18.790000000000003</c:v>
                </c:pt>
                <c:pt idx="1880">
                  <c:v>18.8</c:v>
                </c:pt>
                <c:pt idx="1881">
                  <c:v>18.810000000000002</c:v>
                </c:pt>
                <c:pt idx="1882">
                  <c:v>18.82</c:v>
                </c:pt>
                <c:pt idx="1883">
                  <c:v>18.830000000000002</c:v>
                </c:pt>
                <c:pt idx="1884">
                  <c:v>18.840000000000003</c:v>
                </c:pt>
                <c:pt idx="1885">
                  <c:v>18.850000000000001</c:v>
                </c:pt>
                <c:pt idx="1886">
                  <c:v>18.860000000000003</c:v>
                </c:pt>
                <c:pt idx="1887">
                  <c:v>18.87</c:v>
                </c:pt>
                <c:pt idx="1888">
                  <c:v>18.880000000000003</c:v>
                </c:pt>
                <c:pt idx="1889">
                  <c:v>18.89</c:v>
                </c:pt>
                <c:pt idx="1890">
                  <c:v>18.900000000000002</c:v>
                </c:pt>
                <c:pt idx="1891">
                  <c:v>18.910000000000004</c:v>
                </c:pt>
                <c:pt idx="1892">
                  <c:v>18.920000000000002</c:v>
                </c:pt>
                <c:pt idx="1893">
                  <c:v>18.930000000000003</c:v>
                </c:pt>
                <c:pt idx="1894">
                  <c:v>18.940000000000001</c:v>
                </c:pt>
                <c:pt idx="1895">
                  <c:v>18.950000000000003</c:v>
                </c:pt>
                <c:pt idx="1896">
                  <c:v>18.96</c:v>
                </c:pt>
                <c:pt idx="1897">
                  <c:v>18.970000000000002</c:v>
                </c:pt>
                <c:pt idx="1898">
                  <c:v>18.98</c:v>
                </c:pt>
                <c:pt idx="1899">
                  <c:v>18.990000000000002</c:v>
                </c:pt>
                <c:pt idx="1900">
                  <c:v>19.000000000000004</c:v>
                </c:pt>
                <c:pt idx="1901">
                  <c:v>19.010000000000002</c:v>
                </c:pt>
                <c:pt idx="1902">
                  <c:v>19.020000000000003</c:v>
                </c:pt>
                <c:pt idx="1903">
                  <c:v>19.03</c:v>
                </c:pt>
                <c:pt idx="1904">
                  <c:v>19.040000000000003</c:v>
                </c:pt>
                <c:pt idx="1905">
                  <c:v>19.05</c:v>
                </c:pt>
                <c:pt idx="1906">
                  <c:v>19.060000000000002</c:v>
                </c:pt>
                <c:pt idx="1907">
                  <c:v>19.07</c:v>
                </c:pt>
                <c:pt idx="1908">
                  <c:v>19.080000000000002</c:v>
                </c:pt>
                <c:pt idx="1909">
                  <c:v>19.090000000000003</c:v>
                </c:pt>
                <c:pt idx="1910">
                  <c:v>19.100000000000001</c:v>
                </c:pt>
                <c:pt idx="1911">
                  <c:v>19.110000000000003</c:v>
                </c:pt>
                <c:pt idx="1912">
                  <c:v>19.12</c:v>
                </c:pt>
                <c:pt idx="1913">
                  <c:v>19.130000000000003</c:v>
                </c:pt>
                <c:pt idx="1914">
                  <c:v>19.14</c:v>
                </c:pt>
                <c:pt idx="1915">
                  <c:v>19.150000000000002</c:v>
                </c:pt>
                <c:pt idx="1916">
                  <c:v>19.160000000000004</c:v>
                </c:pt>
                <c:pt idx="1917">
                  <c:v>19.170000000000002</c:v>
                </c:pt>
                <c:pt idx="1918">
                  <c:v>19.180000000000003</c:v>
                </c:pt>
                <c:pt idx="1919">
                  <c:v>19.190000000000001</c:v>
                </c:pt>
                <c:pt idx="1920">
                  <c:v>19.200000000000003</c:v>
                </c:pt>
                <c:pt idx="1921">
                  <c:v>19.21</c:v>
                </c:pt>
                <c:pt idx="1922">
                  <c:v>19.220000000000002</c:v>
                </c:pt>
                <c:pt idx="1923">
                  <c:v>19.23</c:v>
                </c:pt>
                <c:pt idx="1924">
                  <c:v>19.240000000000002</c:v>
                </c:pt>
                <c:pt idx="1925">
                  <c:v>19.250000000000004</c:v>
                </c:pt>
                <c:pt idx="1926">
                  <c:v>19.260000000000002</c:v>
                </c:pt>
                <c:pt idx="1927">
                  <c:v>19.270000000000003</c:v>
                </c:pt>
                <c:pt idx="1928">
                  <c:v>19.28</c:v>
                </c:pt>
                <c:pt idx="1929">
                  <c:v>19.290000000000003</c:v>
                </c:pt>
                <c:pt idx="1930">
                  <c:v>19.3</c:v>
                </c:pt>
                <c:pt idx="1931">
                  <c:v>19.310000000000002</c:v>
                </c:pt>
                <c:pt idx="1932">
                  <c:v>19.32</c:v>
                </c:pt>
                <c:pt idx="1933">
                  <c:v>19.330000000000002</c:v>
                </c:pt>
                <c:pt idx="1934">
                  <c:v>19.340000000000003</c:v>
                </c:pt>
                <c:pt idx="1935">
                  <c:v>19.350000000000001</c:v>
                </c:pt>
                <c:pt idx="1936">
                  <c:v>19.360000000000003</c:v>
                </c:pt>
                <c:pt idx="1937">
                  <c:v>19.37</c:v>
                </c:pt>
                <c:pt idx="1938">
                  <c:v>19.380000000000003</c:v>
                </c:pt>
                <c:pt idx="1939">
                  <c:v>19.39</c:v>
                </c:pt>
                <c:pt idx="1940">
                  <c:v>19.400000000000002</c:v>
                </c:pt>
                <c:pt idx="1941">
                  <c:v>19.410000000000004</c:v>
                </c:pt>
                <c:pt idx="1942">
                  <c:v>19.420000000000002</c:v>
                </c:pt>
                <c:pt idx="1943">
                  <c:v>19.430000000000003</c:v>
                </c:pt>
                <c:pt idx="1944">
                  <c:v>19.440000000000001</c:v>
                </c:pt>
                <c:pt idx="1945">
                  <c:v>19.450000000000003</c:v>
                </c:pt>
                <c:pt idx="1946">
                  <c:v>19.46</c:v>
                </c:pt>
                <c:pt idx="1947">
                  <c:v>19.470000000000002</c:v>
                </c:pt>
                <c:pt idx="1948">
                  <c:v>19.48</c:v>
                </c:pt>
                <c:pt idx="1949">
                  <c:v>19.490000000000002</c:v>
                </c:pt>
                <c:pt idx="1950">
                  <c:v>19.500000000000004</c:v>
                </c:pt>
                <c:pt idx="1951">
                  <c:v>19.510000000000002</c:v>
                </c:pt>
                <c:pt idx="1952">
                  <c:v>19.520000000000003</c:v>
                </c:pt>
                <c:pt idx="1953">
                  <c:v>19.53</c:v>
                </c:pt>
                <c:pt idx="1954">
                  <c:v>19.540000000000003</c:v>
                </c:pt>
                <c:pt idx="1955">
                  <c:v>19.55</c:v>
                </c:pt>
                <c:pt idx="1956">
                  <c:v>19.560000000000002</c:v>
                </c:pt>
                <c:pt idx="1957">
                  <c:v>19.57</c:v>
                </c:pt>
                <c:pt idx="1958">
                  <c:v>19.580000000000002</c:v>
                </c:pt>
                <c:pt idx="1959">
                  <c:v>19.590000000000003</c:v>
                </c:pt>
                <c:pt idx="1960">
                  <c:v>19.600000000000001</c:v>
                </c:pt>
                <c:pt idx="1961">
                  <c:v>19.610000000000003</c:v>
                </c:pt>
                <c:pt idx="1962">
                  <c:v>19.62</c:v>
                </c:pt>
                <c:pt idx="1963">
                  <c:v>19.630000000000003</c:v>
                </c:pt>
                <c:pt idx="1964">
                  <c:v>19.64</c:v>
                </c:pt>
                <c:pt idx="1965">
                  <c:v>19.650000000000002</c:v>
                </c:pt>
                <c:pt idx="1966">
                  <c:v>19.660000000000004</c:v>
                </c:pt>
                <c:pt idx="1967">
                  <c:v>19.670000000000002</c:v>
                </c:pt>
                <c:pt idx="1968">
                  <c:v>19.680000000000003</c:v>
                </c:pt>
                <c:pt idx="1969">
                  <c:v>19.690000000000001</c:v>
                </c:pt>
                <c:pt idx="1970">
                  <c:v>19.700000000000003</c:v>
                </c:pt>
                <c:pt idx="1971">
                  <c:v>19.71</c:v>
                </c:pt>
                <c:pt idx="1972">
                  <c:v>19.720000000000002</c:v>
                </c:pt>
                <c:pt idx="1973">
                  <c:v>19.73</c:v>
                </c:pt>
                <c:pt idx="1974">
                  <c:v>19.740000000000002</c:v>
                </c:pt>
                <c:pt idx="1975">
                  <c:v>19.750000000000004</c:v>
                </c:pt>
                <c:pt idx="1976">
                  <c:v>19.760000000000002</c:v>
                </c:pt>
                <c:pt idx="1977">
                  <c:v>19.770000000000003</c:v>
                </c:pt>
                <c:pt idx="1978">
                  <c:v>19.78</c:v>
                </c:pt>
                <c:pt idx="1979">
                  <c:v>19.790000000000003</c:v>
                </c:pt>
                <c:pt idx="1980">
                  <c:v>19.8</c:v>
                </c:pt>
                <c:pt idx="1981">
                  <c:v>19.810000000000002</c:v>
                </c:pt>
                <c:pt idx="1982">
                  <c:v>19.82</c:v>
                </c:pt>
                <c:pt idx="1983">
                  <c:v>19.830000000000002</c:v>
                </c:pt>
                <c:pt idx="1984">
                  <c:v>19.840000000000003</c:v>
                </c:pt>
                <c:pt idx="1985">
                  <c:v>19.850000000000001</c:v>
                </c:pt>
                <c:pt idx="1986">
                  <c:v>19.860000000000003</c:v>
                </c:pt>
                <c:pt idx="1987">
                  <c:v>19.87</c:v>
                </c:pt>
                <c:pt idx="1988">
                  <c:v>19.880000000000003</c:v>
                </c:pt>
                <c:pt idx="1989">
                  <c:v>19.89</c:v>
                </c:pt>
                <c:pt idx="1990">
                  <c:v>19.900000000000002</c:v>
                </c:pt>
                <c:pt idx="1991">
                  <c:v>19.910000000000004</c:v>
                </c:pt>
                <c:pt idx="1992">
                  <c:v>19.920000000000002</c:v>
                </c:pt>
                <c:pt idx="1993">
                  <c:v>19.930000000000003</c:v>
                </c:pt>
                <c:pt idx="1994">
                  <c:v>19.940000000000001</c:v>
                </c:pt>
                <c:pt idx="1995">
                  <c:v>19.950000000000003</c:v>
                </c:pt>
                <c:pt idx="1996">
                  <c:v>19.96</c:v>
                </c:pt>
                <c:pt idx="1997">
                  <c:v>19.970000000000002</c:v>
                </c:pt>
                <c:pt idx="1998">
                  <c:v>19.98</c:v>
                </c:pt>
                <c:pt idx="1999">
                  <c:v>19.990000000000002</c:v>
                </c:pt>
                <c:pt idx="2000">
                  <c:v>20.000000000000004</c:v>
                </c:pt>
                <c:pt idx="2001">
                  <c:v>20.010000000000002</c:v>
                </c:pt>
                <c:pt idx="2002">
                  <c:v>20.020000000000003</c:v>
                </c:pt>
                <c:pt idx="2003">
                  <c:v>20.03</c:v>
                </c:pt>
                <c:pt idx="2004">
                  <c:v>20.040000000000003</c:v>
                </c:pt>
                <c:pt idx="2005">
                  <c:v>20.05</c:v>
                </c:pt>
                <c:pt idx="2006">
                  <c:v>20.060000000000002</c:v>
                </c:pt>
                <c:pt idx="2007">
                  <c:v>20.07</c:v>
                </c:pt>
                <c:pt idx="2008">
                  <c:v>20.080000000000002</c:v>
                </c:pt>
                <c:pt idx="2009">
                  <c:v>20.090000000000003</c:v>
                </c:pt>
                <c:pt idx="2010">
                  <c:v>20.100000000000001</c:v>
                </c:pt>
                <c:pt idx="2011">
                  <c:v>20.110000000000003</c:v>
                </c:pt>
                <c:pt idx="2012">
                  <c:v>20.12</c:v>
                </c:pt>
                <c:pt idx="2013">
                  <c:v>20.130000000000003</c:v>
                </c:pt>
                <c:pt idx="2014">
                  <c:v>20.14</c:v>
                </c:pt>
                <c:pt idx="2015">
                  <c:v>20.150000000000002</c:v>
                </c:pt>
                <c:pt idx="2016">
                  <c:v>20.160000000000004</c:v>
                </c:pt>
                <c:pt idx="2017">
                  <c:v>20.170000000000002</c:v>
                </c:pt>
                <c:pt idx="2018">
                  <c:v>20.180000000000003</c:v>
                </c:pt>
                <c:pt idx="2019">
                  <c:v>20.190000000000001</c:v>
                </c:pt>
                <c:pt idx="2020">
                  <c:v>20.200000000000003</c:v>
                </c:pt>
                <c:pt idx="2021">
                  <c:v>20.21</c:v>
                </c:pt>
                <c:pt idx="2022">
                  <c:v>20.220000000000002</c:v>
                </c:pt>
                <c:pt idx="2023">
                  <c:v>20.23</c:v>
                </c:pt>
                <c:pt idx="2024">
                  <c:v>20.240000000000002</c:v>
                </c:pt>
                <c:pt idx="2025">
                  <c:v>20.250000000000004</c:v>
                </c:pt>
                <c:pt idx="2026">
                  <c:v>20.260000000000002</c:v>
                </c:pt>
                <c:pt idx="2027">
                  <c:v>20.270000000000003</c:v>
                </c:pt>
                <c:pt idx="2028">
                  <c:v>20.28</c:v>
                </c:pt>
                <c:pt idx="2029">
                  <c:v>20.290000000000003</c:v>
                </c:pt>
                <c:pt idx="2030">
                  <c:v>20.3</c:v>
                </c:pt>
                <c:pt idx="2031">
                  <c:v>20.310000000000002</c:v>
                </c:pt>
                <c:pt idx="2032">
                  <c:v>20.32</c:v>
                </c:pt>
                <c:pt idx="2033">
                  <c:v>20.330000000000002</c:v>
                </c:pt>
                <c:pt idx="2034">
                  <c:v>20.340000000000003</c:v>
                </c:pt>
                <c:pt idx="2035">
                  <c:v>20.350000000000001</c:v>
                </c:pt>
                <c:pt idx="2036">
                  <c:v>20.360000000000003</c:v>
                </c:pt>
                <c:pt idx="2037">
                  <c:v>20.37</c:v>
                </c:pt>
                <c:pt idx="2038">
                  <c:v>20.380000000000003</c:v>
                </c:pt>
                <c:pt idx="2039">
                  <c:v>20.39</c:v>
                </c:pt>
                <c:pt idx="2040">
                  <c:v>20.400000000000002</c:v>
                </c:pt>
                <c:pt idx="2041">
                  <c:v>20.410000000000004</c:v>
                </c:pt>
                <c:pt idx="2042">
                  <c:v>20.420000000000002</c:v>
                </c:pt>
                <c:pt idx="2043">
                  <c:v>20.430000000000003</c:v>
                </c:pt>
                <c:pt idx="2044">
                  <c:v>20.440000000000001</c:v>
                </c:pt>
                <c:pt idx="2045">
                  <c:v>20.450000000000003</c:v>
                </c:pt>
                <c:pt idx="2046">
                  <c:v>20.46</c:v>
                </c:pt>
                <c:pt idx="2047">
                  <c:v>20.470000000000002</c:v>
                </c:pt>
                <c:pt idx="2048">
                  <c:v>20.48</c:v>
                </c:pt>
                <c:pt idx="2049">
                  <c:v>20.490000000000002</c:v>
                </c:pt>
                <c:pt idx="2050">
                  <c:v>20.500000000000004</c:v>
                </c:pt>
                <c:pt idx="2051">
                  <c:v>20.51</c:v>
                </c:pt>
                <c:pt idx="2052">
                  <c:v>20.520000000000003</c:v>
                </c:pt>
                <c:pt idx="2053">
                  <c:v>20.53</c:v>
                </c:pt>
                <c:pt idx="2054">
                  <c:v>20.540000000000003</c:v>
                </c:pt>
                <c:pt idx="2055">
                  <c:v>20.55</c:v>
                </c:pt>
                <c:pt idx="2056">
                  <c:v>20.560000000000002</c:v>
                </c:pt>
                <c:pt idx="2057">
                  <c:v>20.57</c:v>
                </c:pt>
                <c:pt idx="2058">
                  <c:v>20.580000000000002</c:v>
                </c:pt>
                <c:pt idx="2059">
                  <c:v>20.590000000000003</c:v>
                </c:pt>
                <c:pt idx="2060">
                  <c:v>20.6</c:v>
                </c:pt>
                <c:pt idx="2061">
                  <c:v>20.610000000000003</c:v>
                </c:pt>
                <c:pt idx="2062">
                  <c:v>20.62</c:v>
                </c:pt>
                <c:pt idx="2063">
                  <c:v>20.630000000000003</c:v>
                </c:pt>
                <c:pt idx="2064">
                  <c:v>20.64</c:v>
                </c:pt>
                <c:pt idx="2065">
                  <c:v>20.650000000000002</c:v>
                </c:pt>
                <c:pt idx="2066">
                  <c:v>20.660000000000004</c:v>
                </c:pt>
                <c:pt idx="2067">
                  <c:v>20.67</c:v>
                </c:pt>
                <c:pt idx="2068">
                  <c:v>20.680000000000003</c:v>
                </c:pt>
                <c:pt idx="2069">
                  <c:v>20.69</c:v>
                </c:pt>
                <c:pt idx="2070">
                  <c:v>20.700000000000003</c:v>
                </c:pt>
                <c:pt idx="2071">
                  <c:v>20.71</c:v>
                </c:pt>
                <c:pt idx="2072">
                  <c:v>20.720000000000002</c:v>
                </c:pt>
                <c:pt idx="2073">
                  <c:v>20.73</c:v>
                </c:pt>
                <c:pt idx="2074">
                  <c:v>20.740000000000002</c:v>
                </c:pt>
                <c:pt idx="2075">
                  <c:v>20.750000000000004</c:v>
                </c:pt>
                <c:pt idx="2076">
                  <c:v>20.76</c:v>
                </c:pt>
                <c:pt idx="2077">
                  <c:v>20.770000000000003</c:v>
                </c:pt>
                <c:pt idx="2078">
                  <c:v>20.78</c:v>
                </c:pt>
                <c:pt idx="2079">
                  <c:v>20.790000000000003</c:v>
                </c:pt>
                <c:pt idx="2080">
                  <c:v>20.8</c:v>
                </c:pt>
                <c:pt idx="2081">
                  <c:v>20.810000000000002</c:v>
                </c:pt>
                <c:pt idx="2082">
                  <c:v>20.82</c:v>
                </c:pt>
                <c:pt idx="2083">
                  <c:v>20.830000000000002</c:v>
                </c:pt>
                <c:pt idx="2084">
                  <c:v>20.840000000000003</c:v>
                </c:pt>
                <c:pt idx="2085">
                  <c:v>20.85</c:v>
                </c:pt>
                <c:pt idx="2086">
                  <c:v>20.860000000000003</c:v>
                </c:pt>
                <c:pt idx="2087">
                  <c:v>20.87</c:v>
                </c:pt>
                <c:pt idx="2088">
                  <c:v>20.880000000000003</c:v>
                </c:pt>
                <c:pt idx="2089">
                  <c:v>20.89</c:v>
                </c:pt>
                <c:pt idx="2090">
                  <c:v>20.900000000000002</c:v>
                </c:pt>
                <c:pt idx="2091">
                  <c:v>20.910000000000004</c:v>
                </c:pt>
                <c:pt idx="2092">
                  <c:v>20.92</c:v>
                </c:pt>
                <c:pt idx="2093">
                  <c:v>20.930000000000003</c:v>
                </c:pt>
                <c:pt idx="2094">
                  <c:v>20.94</c:v>
                </c:pt>
                <c:pt idx="2095">
                  <c:v>20.950000000000003</c:v>
                </c:pt>
                <c:pt idx="2096">
                  <c:v>20.96</c:v>
                </c:pt>
                <c:pt idx="2097">
                  <c:v>20.970000000000002</c:v>
                </c:pt>
                <c:pt idx="2098">
                  <c:v>20.98</c:v>
                </c:pt>
                <c:pt idx="2099">
                  <c:v>20.990000000000002</c:v>
                </c:pt>
                <c:pt idx="2100">
                  <c:v>21.000000000000004</c:v>
                </c:pt>
                <c:pt idx="2101">
                  <c:v>21.01</c:v>
                </c:pt>
                <c:pt idx="2102">
                  <c:v>21.020000000000003</c:v>
                </c:pt>
                <c:pt idx="2103">
                  <c:v>21.03</c:v>
                </c:pt>
                <c:pt idx="2104">
                  <c:v>21.040000000000003</c:v>
                </c:pt>
                <c:pt idx="2105">
                  <c:v>21.05</c:v>
                </c:pt>
                <c:pt idx="2106">
                  <c:v>21.060000000000002</c:v>
                </c:pt>
                <c:pt idx="2107">
                  <c:v>21.07</c:v>
                </c:pt>
                <c:pt idx="2108">
                  <c:v>21.080000000000002</c:v>
                </c:pt>
                <c:pt idx="2109">
                  <c:v>21.090000000000003</c:v>
                </c:pt>
                <c:pt idx="2110">
                  <c:v>21.1</c:v>
                </c:pt>
                <c:pt idx="2111">
                  <c:v>21.110000000000003</c:v>
                </c:pt>
                <c:pt idx="2112">
                  <c:v>21.12</c:v>
                </c:pt>
                <c:pt idx="2113">
                  <c:v>21.130000000000003</c:v>
                </c:pt>
                <c:pt idx="2114">
                  <c:v>21.14</c:v>
                </c:pt>
                <c:pt idx="2115">
                  <c:v>21.150000000000002</c:v>
                </c:pt>
                <c:pt idx="2116">
                  <c:v>21.160000000000004</c:v>
                </c:pt>
                <c:pt idx="2117">
                  <c:v>21.17</c:v>
                </c:pt>
                <c:pt idx="2118">
                  <c:v>21.180000000000003</c:v>
                </c:pt>
                <c:pt idx="2119">
                  <c:v>21.19</c:v>
                </c:pt>
                <c:pt idx="2120">
                  <c:v>21.200000000000003</c:v>
                </c:pt>
                <c:pt idx="2121">
                  <c:v>21.21</c:v>
                </c:pt>
                <c:pt idx="2122">
                  <c:v>21.220000000000002</c:v>
                </c:pt>
                <c:pt idx="2123">
                  <c:v>21.23</c:v>
                </c:pt>
                <c:pt idx="2124">
                  <c:v>21.240000000000002</c:v>
                </c:pt>
                <c:pt idx="2125">
                  <c:v>21.250000000000004</c:v>
                </c:pt>
                <c:pt idx="2126">
                  <c:v>21.26</c:v>
                </c:pt>
                <c:pt idx="2127">
                  <c:v>21.270000000000003</c:v>
                </c:pt>
                <c:pt idx="2128">
                  <c:v>21.28</c:v>
                </c:pt>
                <c:pt idx="2129">
                  <c:v>21.290000000000003</c:v>
                </c:pt>
                <c:pt idx="2130">
                  <c:v>21.3</c:v>
                </c:pt>
                <c:pt idx="2131">
                  <c:v>21.310000000000002</c:v>
                </c:pt>
                <c:pt idx="2132">
                  <c:v>21.32</c:v>
                </c:pt>
                <c:pt idx="2133">
                  <c:v>21.330000000000002</c:v>
                </c:pt>
                <c:pt idx="2134">
                  <c:v>21.340000000000003</c:v>
                </c:pt>
                <c:pt idx="2135">
                  <c:v>21.35</c:v>
                </c:pt>
                <c:pt idx="2136">
                  <c:v>21.360000000000003</c:v>
                </c:pt>
                <c:pt idx="2137">
                  <c:v>21.37</c:v>
                </c:pt>
                <c:pt idx="2138">
                  <c:v>21.380000000000003</c:v>
                </c:pt>
                <c:pt idx="2139">
                  <c:v>21.39</c:v>
                </c:pt>
                <c:pt idx="2140">
                  <c:v>21.400000000000002</c:v>
                </c:pt>
                <c:pt idx="2141">
                  <c:v>21.410000000000004</c:v>
                </c:pt>
                <c:pt idx="2142">
                  <c:v>21.42</c:v>
                </c:pt>
                <c:pt idx="2143">
                  <c:v>21.430000000000003</c:v>
                </c:pt>
                <c:pt idx="2144">
                  <c:v>21.44</c:v>
                </c:pt>
                <c:pt idx="2145">
                  <c:v>21.450000000000003</c:v>
                </c:pt>
                <c:pt idx="2146">
                  <c:v>21.46</c:v>
                </c:pt>
                <c:pt idx="2147">
                  <c:v>21.470000000000002</c:v>
                </c:pt>
                <c:pt idx="2148">
                  <c:v>21.48</c:v>
                </c:pt>
                <c:pt idx="2149">
                  <c:v>21.490000000000002</c:v>
                </c:pt>
                <c:pt idx="2150">
                  <c:v>21.500000000000004</c:v>
                </c:pt>
                <c:pt idx="2151">
                  <c:v>21.51</c:v>
                </c:pt>
                <c:pt idx="2152">
                  <c:v>21.520000000000003</c:v>
                </c:pt>
                <c:pt idx="2153">
                  <c:v>21.53</c:v>
                </c:pt>
                <c:pt idx="2154">
                  <c:v>21.540000000000003</c:v>
                </c:pt>
                <c:pt idx="2155">
                  <c:v>21.55</c:v>
                </c:pt>
                <c:pt idx="2156">
                  <c:v>21.560000000000002</c:v>
                </c:pt>
                <c:pt idx="2157">
                  <c:v>21.57</c:v>
                </c:pt>
                <c:pt idx="2158">
                  <c:v>21.580000000000002</c:v>
                </c:pt>
                <c:pt idx="2159">
                  <c:v>21.590000000000003</c:v>
                </c:pt>
                <c:pt idx="2160">
                  <c:v>21.6</c:v>
                </c:pt>
                <c:pt idx="2161">
                  <c:v>21.610000000000003</c:v>
                </c:pt>
                <c:pt idx="2162">
                  <c:v>21.62</c:v>
                </c:pt>
                <c:pt idx="2163">
                  <c:v>21.630000000000003</c:v>
                </c:pt>
                <c:pt idx="2164">
                  <c:v>21.64</c:v>
                </c:pt>
                <c:pt idx="2165">
                  <c:v>21.650000000000002</c:v>
                </c:pt>
                <c:pt idx="2166">
                  <c:v>21.660000000000004</c:v>
                </c:pt>
                <c:pt idx="2167">
                  <c:v>21.67</c:v>
                </c:pt>
                <c:pt idx="2168">
                  <c:v>21.680000000000003</c:v>
                </c:pt>
                <c:pt idx="2169">
                  <c:v>21.69</c:v>
                </c:pt>
                <c:pt idx="2170">
                  <c:v>21.700000000000003</c:v>
                </c:pt>
                <c:pt idx="2171">
                  <c:v>21.71</c:v>
                </c:pt>
                <c:pt idx="2172">
                  <c:v>21.720000000000002</c:v>
                </c:pt>
                <c:pt idx="2173">
                  <c:v>21.73</c:v>
                </c:pt>
                <c:pt idx="2174">
                  <c:v>21.740000000000002</c:v>
                </c:pt>
                <c:pt idx="2175">
                  <c:v>21.750000000000004</c:v>
                </c:pt>
                <c:pt idx="2176">
                  <c:v>21.76</c:v>
                </c:pt>
                <c:pt idx="2177">
                  <c:v>21.770000000000003</c:v>
                </c:pt>
                <c:pt idx="2178">
                  <c:v>21.78</c:v>
                </c:pt>
                <c:pt idx="2179">
                  <c:v>21.790000000000003</c:v>
                </c:pt>
                <c:pt idx="2180">
                  <c:v>21.8</c:v>
                </c:pt>
                <c:pt idx="2181">
                  <c:v>21.810000000000002</c:v>
                </c:pt>
                <c:pt idx="2182">
                  <c:v>21.82</c:v>
                </c:pt>
                <c:pt idx="2183">
                  <c:v>21.830000000000002</c:v>
                </c:pt>
                <c:pt idx="2184">
                  <c:v>21.840000000000003</c:v>
                </c:pt>
                <c:pt idx="2185">
                  <c:v>21.85</c:v>
                </c:pt>
                <c:pt idx="2186">
                  <c:v>21.860000000000003</c:v>
                </c:pt>
                <c:pt idx="2187">
                  <c:v>21.87</c:v>
                </c:pt>
                <c:pt idx="2188">
                  <c:v>21.880000000000003</c:v>
                </c:pt>
                <c:pt idx="2189">
                  <c:v>21.89</c:v>
                </c:pt>
                <c:pt idx="2190">
                  <c:v>21.900000000000002</c:v>
                </c:pt>
                <c:pt idx="2191">
                  <c:v>21.910000000000004</c:v>
                </c:pt>
                <c:pt idx="2192">
                  <c:v>21.92</c:v>
                </c:pt>
                <c:pt idx="2193">
                  <c:v>21.930000000000003</c:v>
                </c:pt>
                <c:pt idx="2194">
                  <c:v>21.94</c:v>
                </c:pt>
                <c:pt idx="2195">
                  <c:v>21.950000000000003</c:v>
                </c:pt>
                <c:pt idx="2196">
                  <c:v>21.96</c:v>
                </c:pt>
                <c:pt idx="2197">
                  <c:v>21.970000000000002</c:v>
                </c:pt>
                <c:pt idx="2198">
                  <c:v>21.98</c:v>
                </c:pt>
                <c:pt idx="2199">
                  <c:v>21.990000000000002</c:v>
                </c:pt>
                <c:pt idx="2200">
                  <c:v>22.000000000000004</c:v>
                </c:pt>
                <c:pt idx="2201">
                  <c:v>22.01</c:v>
                </c:pt>
                <c:pt idx="2202">
                  <c:v>22.020000000000003</c:v>
                </c:pt>
                <c:pt idx="2203">
                  <c:v>22.03</c:v>
                </c:pt>
                <c:pt idx="2204">
                  <c:v>22.040000000000003</c:v>
                </c:pt>
                <c:pt idx="2205">
                  <c:v>22.05</c:v>
                </c:pt>
                <c:pt idx="2206">
                  <c:v>22.060000000000002</c:v>
                </c:pt>
                <c:pt idx="2207">
                  <c:v>22.07</c:v>
                </c:pt>
                <c:pt idx="2208">
                  <c:v>22.080000000000002</c:v>
                </c:pt>
                <c:pt idx="2209">
                  <c:v>22.090000000000003</c:v>
                </c:pt>
                <c:pt idx="2210">
                  <c:v>22.1</c:v>
                </c:pt>
                <c:pt idx="2211">
                  <c:v>22.110000000000003</c:v>
                </c:pt>
                <c:pt idx="2212">
                  <c:v>22.12</c:v>
                </c:pt>
                <c:pt idx="2213">
                  <c:v>22.130000000000003</c:v>
                </c:pt>
                <c:pt idx="2214">
                  <c:v>22.14</c:v>
                </c:pt>
                <c:pt idx="2215">
                  <c:v>22.150000000000002</c:v>
                </c:pt>
                <c:pt idx="2216">
                  <c:v>22.160000000000004</c:v>
                </c:pt>
                <c:pt idx="2217">
                  <c:v>22.17</c:v>
                </c:pt>
                <c:pt idx="2218">
                  <c:v>22.180000000000003</c:v>
                </c:pt>
                <c:pt idx="2219">
                  <c:v>22.19</c:v>
                </c:pt>
                <c:pt idx="2220">
                  <c:v>22.200000000000003</c:v>
                </c:pt>
                <c:pt idx="2221">
                  <c:v>22.21</c:v>
                </c:pt>
                <c:pt idx="2222">
                  <c:v>22.220000000000002</c:v>
                </c:pt>
                <c:pt idx="2223">
                  <c:v>22.23</c:v>
                </c:pt>
                <c:pt idx="2224">
                  <c:v>22.240000000000002</c:v>
                </c:pt>
                <c:pt idx="2225">
                  <c:v>22.250000000000004</c:v>
                </c:pt>
                <c:pt idx="2226">
                  <c:v>22.26</c:v>
                </c:pt>
                <c:pt idx="2227">
                  <c:v>22.270000000000003</c:v>
                </c:pt>
                <c:pt idx="2228">
                  <c:v>22.28</c:v>
                </c:pt>
                <c:pt idx="2229">
                  <c:v>22.290000000000003</c:v>
                </c:pt>
                <c:pt idx="2230">
                  <c:v>22.3</c:v>
                </c:pt>
                <c:pt idx="2231">
                  <c:v>22.310000000000002</c:v>
                </c:pt>
                <c:pt idx="2232">
                  <c:v>22.32</c:v>
                </c:pt>
                <c:pt idx="2233">
                  <c:v>22.330000000000002</c:v>
                </c:pt>
                <c:pt idx="2234">
                  <c:v>22.340000000000003</c:v>
                </c:pt>
                <c:pt idx="2235">
                  <c:v>22.35</c:v>
                </c:pt>
                <c:pt idx="2236">
                  <c:v>22.360000000000003</c:v>
                </c:pt>
                <c:pt idx="2237">
                  <c:v>22.37</c:v>
                </c:pt>
                <c:pt idx="2238">
                  <c:v>22.380000000000003</c:v>
                </c:pt>
                <c:pt idx="2239">
                  <c:v>22.39</c:v>
                </c:pt>
                <c:pt idx="2240">
                  <c:v>22.400000000000002</c:v>
                </c:pt>
                <c:pt idx="2241">
                  <c:v>22.410000000000004</c:v>
                </c:pt>
                <c:pt idx="2242">
                  <c:v>22.42</c:v>
                </c:pt>
                <c:pt idx="2243">
                  <c:v>22.430000000000003</c:v>
                </c:pt>
                <c:pt idx="2244">
                  <c:v>22.44</c:v>
                </c:pt>
                <c:pt idx="2245">
                  <c:v>22.450000000000003</c:v>
                </c:pt>
                <c:pt idx="2246">
                  <c:v>22.46</c:v>
                </c:pt>
                <c:pt idx="2247">
                  <c:v>22.470000000000002</c:v>
                </c:pt>
                <c:pt idx="2248">
                  <c:v>22.48</c:v>
                </c:pt>
                <c:pt idx="2249">
                  <c:v>22.490000000000002</c:v>
                </c:pt>
                <c:pt idx="2250">
                  <c:v>22.500000000000004</c:v>
                </c:pt>
                <c:pt idx="2251">
                  <c:v>22.51</c:v>
                </c:pt>
                <c:pt idx="2252">
                  <c:v>22.520000000000003</c:v>
                </c:pt>
                <c:pt idx="2253">
                  <c:v>22.53</c:v>
                </c:pt>
                <c:pt idx="2254">
                  <c:v>22.540000000000003</c:v>
                </c:pt>
                <c:pt idx="2255">
                  <c:v>22.55</c:v>
                </c:pt>
                <c:pt idx="2256">
                  <c:v>22.560000000000002</c:v>
                </c:pt>
                <c:pt idx="2257">
                  <c:v>22.57</c:v>
                </c:pt>
                <c:pt idx="2258">
                  <c:v>22.580000000000002</c:v>
                </c:pt>
                <c:pt idx="2259">
                  <c:v>22.590000000000003</c:v>
                </c:pt>
                <c:pt idx="2260">
                  <c:v>22.6</c:v>
                </c:pt>
                <c:pt idx="2261">
                  <c:v>22.610000000000003</c:v>
                </c:pt>
                <c:pt idx="2262">
                  <c:v>22.62</c:v>
                </c:pt>
                <c:pt idx="2263">
                  <c:v>22.630000000000003</c:v>
                </c:pt>
                <c:pt idx="2264">
                  <c:v>22.64</c:v>
                </c:pt>
                <c:pt idx="2265">
                  <c:v>22.650000000000002</c:v>
                </c:pt>
                <c:pt idx="2266">
                  <c:v>22.660000000000004</c:v>
                </c:pt>
                <c:pt idx="2267">
                  <c:v>22.67</c:v>
                </c:pt>
                <c:pt idx="2268">
                  <c:v>22.680000000000003</c:v>
                </c:pt>
                <c:pt idx="2269">
                  <c:v>22.69</c:v>
                </c:pt>
                <c:pt idx="2270">
                  <c:v>22.700000000000003</c:v>
                </c:pt>
                <c:pt idx="2271">
                  <c:v>22.71</c:v>
                </c:pt>
                <c:pt idx="2272">
                  <c:v>22.720000000000002</c:v>
                </c:pt>
                <c:pt idx="2273">
                  <c:v>22.73</c:v>
                </c:pt>
                <c:pt idx="2274">
                  <c:v>22.740000000000002</c:v>
                </c:pt>
                <c:pt idx="2275">
                  <c:v>22.750000000000004</c:v>
                </c:pt>
                <c:pt idx="2276">
                  <c:v>22.76</c:v>
                </c:pt>
                <c:pt idx="2277">
                  <c:v>22.770000000000003</c:v>
                </c:pt>
                <c:pt idx="2278">
                  <c:v>22.78</c:v>
                </c:pt>
                <c:pt idx="2279">
                  <c:v>22.790000000000003</c:v>
                </c:pt>
                <c:pt idx="2280">
                  <c:v>22.8</c:v>
                </c:pt>
                <c:pt idx="2281">
                  <c:v>22.810000000000002</c:v>
                </c:pt>
                <c:pt idx="2282">
                  <c:v>22.82</c:v>
                </c:pt>
                <c:pt idx="2283">
                  <c:v>22.830000000000002</c:v>
                </c:pt>
                <c:pt idx="2284">
                  <c:v>22.840000000000003</c:v>
                </c:pt>
                <c:pt idx="2285">
                  <c:v>22.85</c:v>
                </c:pt>
                <c:pt idx="2286">
                  <c:v>22.860000000000003</c:v>
                </c:pt>
                <c:pt idx="2287">
                  <c:v>22.87</c:v>
                </c:pt>
                <c:pt idx="2288">
                  <c:v>22.880000000000003</c:v>
                </c:pt>
                <c:pt idx="2289">
                  <c:v>22.89</c:v>
                </c:pt>
                <c:pt idx="2290">
                  <c:v>22.900000000000002</c:v>
                </c:pt>
                <c:pt idx="2291">
                  <c:v>22.910000000000004</c:v>
                </c:pt>
                <c:pt idx="2292">
                  <c:v>22.92</c:v>
                </c:pt>
                <c:pt idx="2293">
                  <c:v>22.930000000000003</c:v>
                </c:pt>
                <c:pt idx="2294">
                  <c:v>22.94</c:v>
                </c:pt>
                <c:pt idx="2295">
                  <c:v>22.950000000000003</c:v>
                </c:pt>
                <c:pt idx="2296">
                  <c:v>22.96</c:v>
                </c:pt>
                <c:pt idx="2297">
                  <c:v>22.970000000000002</c:v>
                </c:pt>
                <c:pt idx="2298">
                  <c:v>22.98</c:v>
                </c:pt>
                <c:pt idx="2299">
                  <c:v>22.990000000000002</c:v>
                </c:pt>
                <c:pt idx="2300">
                  <c:v>23.000000000000004</c:v>
                </c:pt>
                <c:pt idx="2301">
                  <c:v>23.01</c:v>
                </c:pt>
                <c:pt idx="2302">
                  <c:v>23.020000000000003</c:v>
                </c:pt>
                <c:pt idx="2303">
                  <c:v>23.03</c:v>
                </c:pt>
                <c:pt idx="2304">
                  <c:v>23.040000000000003</c:v>
                </c:pt>
                <c:pt idx="2305">
                  <c:v>23.05</c:v>
                </c:pt>
                <c:pt idx="2306">
                  <c:v>23.060000000000002</c:v>
                </c:pt>
                <c:pt idx="2307">
                  <c:v>23.07</c:v>
                </c:pt>
                <c:pt idx="2308">
                  <c:v>23.080000000000002</c:v>
                </c:pt>
                <c:pt idx="2309">
                  <c:v>23.090000000000003</c:v>
                </c:pt>
                <c:pt idx="2310">
                  <c:v>23.1</c:v>
                </c:pt>
                <c:pt idx="2311">
                  <c:v>23.110000000000003</c:v>
                </c:pt>
                <c:pt idx="2312">
                  <c:v>23.12</c:v>
                </c:pt>
                <c:pt idx="2313">
                  <c:v>23.130000000000003</c:v>
                </c:pt>
                <c:pt idx="2314">
                  <c:v>23.14</c:v>
                </c:pt>
                <c:pt idx="2315">
                  <c:v>23.150000000000002</c:v>
                </c:pt>
                <c:pt idx="2316">
                  <c:v>23.160000000000004</c:v>
                </c:pt>
                <c:pt idx="2317">
                  <c:v>23.17</c:v>
                </c:pt>
                <c:pt idx="2318">
                  <c:v>23.180000000000003</c:v>
                </c:pt>
                <c:pt idx="2319">
                  <c:v>23.19</c:v>
                </c:pt>
                <c:pt idx="2320">
                  <c:v>23.200000000000003</c:v>
                </c:pt>
                <c:pt idx="2321">
                  <c:v>23.21</c:v>
                </c:pt>
                <c:pt idx="2322">
                  <c:v>23.220000000000002</c:v>
                </c:pt>
                <c:pt idx="2323">
                  <c:v>23.23</c:v>
                </c:pt>
                <c:pt idx="2324">
                  <c:v>23.240000000000002</c:v>
                </c:pt>
                <c:pt idx="2325">
                  <c:v>23.250000000000004</c:v>
                </c:pt>
                <c:pt idx="2326">
                  <c:v>23.26</c:v>
                </c:pt>
                <c:pt idx="2327">
                  <c:v>23.270000000000003</c:v>
                </c:pt>
                <c:pt idx="2328">
                  <c:v>23.28</c:v>
                </c:pt>
                <c:pt idx="2329">
                  <c:v>23.290000000000003</c:v>
                </c:pt>
                <c:pt idx="2330">
                  <c:v>23.3</c:v>
                </c:pt>
                <c:pt idx="2331">
                  <c:v>23.310000000000002</c:v>
                </c:pt>
                <c:pt idx="2332">
                  <c:v>23.32</c:v>
                </c:pt>
                <c:pt idx="2333">
                  <c:v>23.330000000000002</c:v>
                </c:pt>
                <c:pt idx="2334">
                  <c:v>23.340000000000003</c:v>
                </c:pt>
                <c:pt idx="2335">
                  <c:v>23.35</c:v>
                </c:pt>
                <c:pt idx="2336">
                  <c:v>23.360000000000003</c:v>
                </c:pt>
                <c:pt idx="2337">
                  <c:v>23.37</c:v>
                </c:pt>
                <c:pt idx="2338">
                  <c:v>23.380000000000003</c:v>
                </c:pt>
                <c:pt idx="2339">
                  <c:v>23.39</c:v>
                </c:pt>
                <c:pt idx="2340">
                  <c:v>23.400000000000002</c:v>
                </c:pt>
                <c:pt idx="2341">
                  <c:v>23.410000000000004</c:v>
                </c:pt>
                <c:pt idx="2342">
                  <c:v>23.42</c:v>
                </c:pt>
                <c:pt idx="2343">
                  <c:v>23.430000000000003</c:v>
                </c:pt>
                <c:pt idx="2344">
                  <c:v>23.44</c:v>
                </c:pt>
                <c:pt idx="2345">
                  <c:v>23.450000000000003</c:v>
                </c:pt>
                <c:pt idx="2346">
                  <c:v>23.46</c:v>
                </c:pt>
                <c:pt idx="2347">
                  <c:v>23.470000000000002</c:v>
                </c:pt>
                <c:pt idx="2348">
                  <c:v>23.48</c:v>
                </c:pt>
                <c:pt idx="2349">
                  <c:v>23.490000000000002</c:v>
                </c:pt>
                <c:pt idx="2350">
                  <c:v>23.500000000000004</c:v>
                </c:pt>
                <c:pt idx="2351">
                  <c:v>23.51</c:v>
                </c:pt>
                <c:pt idx="2352">
                  <c:v>23.520000000000003</c:v>
                </c:pt>
                <c:pt idx="2353">
                  <c:v>23.53</c:v>
                </c:pt>
                <c:pt idx="2354">
                  <c:v>23.540000000000003</c:v>
                </c:pt>
                <c:pt idx="2355">
                  <c:v>23.55</c:v>
                </c:pt>
                <c:pt idx="2356">
                  <c:v>23.560000000000002</c:v>
                </c:pt>
                <c:pt idx="2357">
                  <c:v>23.57</c:v>
                </c:pt>
                <c:pt idx="2358">
                  <c:v>23.580000000000002</c:v>
                </c:pt>
                <c:pt idx="2359">
                  <c:v>23.590000000000003</c:v>
                </c:pt>
                <c:pt idx="2360">
                  <c:v>23.6</c:v>
                </c:pt>
                <c:pt idx="2361">
                  <c:v>23.610000000000003</c:v>
                </c:pt>
                <c:pt idx="2362">
                  <c:v>23.62</c:v>
                </c:pt>
                <c:pt idx="2363">
                  <c:v>23.630000000000003</c:v>
                </c:pt>
                <c:pt idx="2364">
                  <c:v>23.64</c:v>
                </c:pt>
                <c:pt idx="2365">
                  <c:v>23.650000000000002</c:v>
                </c:pt>
                <c:pt idx="2366">
                  <c:v>23.660000000000004</c:v>
                </c:pt>
                <c:pt idx="2367">
                  <c:v>23.67</c:v>
                </c:pt>
                <c:pt idx="2368">
                  <c:v>23.680000000000003</c:v>
                </c:pt>
                <c:pt idx="2369">
                  <c:v>23.69</c:v>
                </c:pt>
                <c:pt idx="2370">
                  <c:v>23.700000000000003</c:v>
                </c:pt>
                <c:pt idx="2371">
                  <c:v>23.71</c:v>
                </c:pt>
                <c:pt idx="2372">
                  <c:v>23.720000000000002</c:v>
                </c:pt>
                <c:pt idx="2373">
                  <c:v>23.73</c:v>
                </c:pt>
                <c:pt idx="2374">
                  <c:v>23.740000000000002</c:v>
                </c:pt>
                <c:pt idx="2375">
                  <c:v>23.750000000000004</c:v>
                </c:pt>
                <c:pt idx="2376">
                  <c:v>23.76</c:v>
                </c:pt>
                <c:pt idx="2377">
                  <c:v>23.770000000000003</c:v>
                </c:pt>
                <c:pt idx="2378">
                  <c:v>23.78</c:v>
                </c:pt>
                <c:pt idx="2379">
                  <c:v>23.790000000000003</c:v>
                </c:pt>
                <c:pt idx="2380">
                  <c:v>23.8</c:v>
                </c:pt>
                <c:pt idx="2381">
                  <c:v>23.810000000000002</c:v>
                </c:pt>
                <c:pt idx="2382">
                  <c:v>23.82</c:v>
                </c:pt>
                <c:pt idx="2383">
                  <c:v>23.830000000000002</c:v>
                </c:pt>
                <c:pt idx="2384">
                  <c:v>23.840000000000003</c:v>
                </c:pt>
                <c:pt idx="2385">
                  <c:v>23.85</c:v>
                </c:pt>
                <c:pt idx="2386">
                  <c:v>23.860000000000003</c:v>
                </c:pt>
                <c:pt idx="2387">
                  <c:v>23.87</c:v>
                </c:pt>
                <c:pt idx="2388">
                  <c:v>23.880000000000003</c:v>
                </c:pt>
                <c:pt idx="2389">
                  <c:v>23.89</c:v>
                </c:pt>
                <c:pt idx="2390">
                  <c:v>23.900000000000002</c:v>
                </c:pt>
                <c:pt idx="2391">
                  <c:v>23.910000000000004</c:v>
                </c:pt>
                <c:pt idx="2392">
                  <c:v>23.92</c:v>
                </c:pt>
                <c:pt idx="2393">
                  <c:v>23.930000000000003</c:v>
                </c:pt>
                <c:pt idx="2394">
                  <c:v>23.94</c:v>
                </c:pt>
                <c:pt idx="2395">
                  <c:v>23.950000000000003</c:v>
                </c:pt>
                <c:pt idx="2396">
                  <c:v>23.96</c:v>
                </c:pt>
                <c:pt idx="2397">
                  <c:v>23.970000000000002</c:v>
                </c:pt>
                <c:pt idx="2398">
                  <c:v>23.98</c:v>
                </c:pt>
                <c:pt idx="2399">
                  <c:v>23.990000000000002</c:v>
                </c:pt>
                <c:pt idx="2400">
                  <c:v>24.000000000000004</c:v>
                </c:pt>
                <c:pt idx="2401">
                  <c:v>24.01</c:v>
                </c:pt>
                <c:pt idx="2402">
                  <c:v>24.020000000000003</c:v>
                </c:pt>
                <c:pt idx="2403">
                  <c:v>24.03</c:v>
                </c:pt>
                <c:pt idx="2404">
                  <c:v>24.040000000000003</c:v>
                </c:pt>
                <c:pt idx="2405">
                  <c:v>24.05</c:v>
                </c:pt>
                <c:pt idx="2406">
                  <c:v>24.060000000000002</c:v>
                </c:pt>
                <c:pt idx="2407">
                  <c:v>24.070000000000004</c:v>
                </c:pt>
                <c:pt idx="2408">
                  <c:v>24.080000000000002</c:v>
                </c:pt>
                <c:pt idx="2409">
                  <c:v>24.090000000000003</c:v>
                </c:pt>
                <c:pt idx="2410">
                  <c:v>24.1</c:v>
                </c:pt>
                <c:pt idx="2411">
                  <c:v>24.110000000000003</c:v>
                </c:pt>
                <c:pt idx="2412">
                  <c:v>24.12</c:v>
                </c:pt>
                <c:pt idx="2413">
                  <c:v>24.130000000000003</c:v>
                </c:pt>
                <c:pt idx="2414">
                  <c:v>24.14</c:v>
                </c:pt>
                <c:pt idx="2415">
                  <c:v>24.150000000000002</c:v>
                </c:pt>
                <c:pt idx="2416">
                  <c:v>24.160000000000004</c:v>
                </c:pt>
                <c:pt idx="2417">
                  <c:v>24.17</c:v>
                </c:pt>
                <c:pt idx="2418">
                  <c:v>24.180000000000003</c:v>
                </c:pt>
                <c:pt idx="2419">
                  <c:v>24.19</c:v>
                </c:pt>
                <c:pt idx="2420">
                  <c:v>24.200000000000003</c:v>
                </c:pt>
                <c:pt idx="2421">
                  <c:v>24.21</c:v>
                </c:pt>
                <c:pt idx="2422">
                  <c:v>24.220000000000002</c:v>
                </c:pt>
                <c:pt idx="2423">
                  <c:v>24.23</c:v>
                </c:pt>
                <c:pt idx="2424">
                  <c:v>24.240000000000002</c:v>
                </c:pt>
                <c:pt idx="2425">
                  <c:v>24.250000000000004</c:v>
                </c:pt>
                <c:pt idx="2426">
                  <c:v>24.26</c:v>
                </c:pt>
                <c:pt idx="2427">
                  <c:v>24.270000000000003</c:v>
                </c:pt>
                <c:pt idx="2428">
                  <c:v>24.28</c:v>
                </c:pt>
                <c:pt idx="2429">
                  <c:v>24.290000000000003</c:v>
                </c:pt>
                <c:pt idx="2430">
                  <c:v>24.3</c:v>
                </c:pt>
                <c:pt idx="2431">
                  <c:v>24.310000000000002</c:v>
                </c:pt>
                <c:pt idx="2432">
                  <c:v>24.320000000000004</c:v>
                </c:pt>
                <c:pt idx="2433">
                  <c:v>24.330000000000002</c:v>
                </c:pt>
                <c:pt idx="2434">
                  <c:v>24.340000000000003</c:v>
                </c:pt>
                <c:pt idx="2435">
                  <c:v>24.35</c:v>
                </c:pt>
                <c:pt idx="2436">
                  <c:v>24.360000000000003</c:v>
                </c:pt>
                <c:pt idx="2437">
                  <c:v>24.37</c:v>
                </c:pt>
                <c:pt idx="2438">
                  <c:v>24.380000000000003</c:v>
                </c:pt>
                <c:pt idx="2439">
                  <c:v>24.39</c:v>
                </c:pt>
                <c:pt idx="2440">
                  <c:v>24.400000000000002</c:v>
                </c:pt>
                <c:pt idx="2441">
                  <c:v>24.410000000000004</c:v>
                </c:pt>
                <c:pt idx="2442">
                  <c:v>24.42</c:v>
                </c:pt>
                <c:pt idx="2443">
                  <c:v>24.430000000000003</c:v>
                </c:pt>
                <c:pt idx="2444">
                  <c:v>24.44</c:v>
                </c:pt>
                <c:pt idx="2445">
                  <c:v>24.450000000000003</c:v>
                </c:pt>
                <c:pt idx="2446">
                  <c:v>24.46</c:v>
                </c:pt>
                <c:pt idx="2447">
                  <c:v>24.470000000000002</c:v>
                </c:pt>
                <c:pt idx="2448">
                  <c:v>24.48</c:v>
                </c:pt>
                <c:pt idx="2449">
                  <c:v>24.490000000000002</c:v>
                </c:pt>
                <c:pt idx="2450">
                  <c:v>24.500000000000004</c:v>
                </c:pt>
                <c:pt idx="2451">
                  <c:v>24.51</c:v>
                </c:pt>
                <c:pt idx="2452">
                  <c:v>24.520000000000003</c:v>
                </c:pt>
                <c:pt idx="2453">
                  <c:v>24.53</c:v>
                </c:pt>
                <c:pt idx="2454">
                  <c:v>24.540000000000003</c:v>
                </c:pt>
                <c:pt idx="2455">
                  <c:v>24.55</c:v>
                </c:pt>
                <c:pt idx="2456">
                  <c:v>24.560000000000002</c:v>
                </c:pt>
                <c:pt idx="2457">
                  <c:v>24.570000000000004</c:v>
                </c:pt>
                <c:pt idx="2458">
                  <c:v>24.580000000000002</c:v>
                </c:pt>
                <c:pt idx="2459">
                  <c:v>24.590000000000003</c:v>
                </c:pt>
                <c:pt idx="2460">
                  <c:v>24.6</c:v>
                </c:pt>
                <c:pt idx="2461">
                  <c:v>24.610000000000003</c:v>
                </c:pt>
                <c:pt idx="2462">
                  <c:v>24.62</c:v>
                </c:pt>
                <c:pt idx="2463">
                  <c:v>24.630000000000003</c:v>
                </c:pt>
                <c:pt idx="2464">
                  <c:v>24.64</c:v>
                </c:pt>
                <c:pt idx="2465">
                  <c:v>24.650000000000002</c:v>
                </c:pt>
                <c:pt idx="2466">
                  <c:v>24.660000000000004</c:v>
                </c:pt>
                <c:pt idx="2467">
                  <c:v>24.67</c:v>
                </c:pt>
                <c:pt idx="2468">
                  <c:v>24.680000000000003</c:v>
                </c:pt>
                <c:pt idx="2469">
                  <c:v>24.69</c:v>
                </c:pt>
                <c:pt idx="2470">
                  <c:v>24.700000000000003</c:v>
                </c:pt>
                <c:pt idx="2471">
                  <c:v>24.71</c:v>
                </c:pt>
                <c:pt idx="2472">
                  <c:v>24.720000000000002</c:v>
                </c:pt>
                <c:pt idx="2473">
                  <c:v>24.73</c:v>
                </c:pt>
                <c:pt idx="2474">
                  <c:v>24.740000000000002</c:v>
                </c:pt>
                <c:pt idx="2475">
                  <c:v>24.750000000000004</c:v>
                </c:pt>
                <c:pt idx="2476">
                  <c:v>24.76</c:v>
                </c:pt>
                <c:pt idx="2477">
                  <c:v>24.770000000000003</c:v>
                </c:pt>
                <c:pt idx="2478">
                  <c:v>24.78</c:v>
                </c:pt>
                <c:pt idx="2479">
                  <c:v>24.790000000000003</c:v>
                </c:pt>
                <c:pt idx="2480">
                  <c:v>24.8</c:v>
                </c:pt>
                <c:pt idx="2481">
                  <c:v>24.810000000000002</c:v>
                </c:pt>
                <c:pt idx="2482">
                  <c:v>24.820000000000004</c:v>
                </c:pt>
                <c:pt idx="2483">
                  <c:v>24.830000000000002</c:v>
                </c:pt>
                <c:pt idx="2484">
                  <c:v>24.840000000000003</c:v>
                </c:pt>
                <c:pt idx="2485">
                  <c:v>24.85</c:v>
                </c:pt>
                <c:pt idx="2486">
                  <c:v>24.860000000000003</c:v>
                </c:pt>
                <c:pt idx="2487">
                  <c:v>24.87</c:v>
                </c:pt>
                <c:pt idx="2488">
                  <c:v>24.880000000000003</c:v>
                </c:pt>
                <c:pt idx="2489">
                  <c:v>24.89</c:v>
                </c:pt>
                <c:pt idx="2490">
                  <c:v>24.900000000000002</c:v>
                </c:pt>
                <c:pt idx="2491">
                  <c:v>24.910000000000004</c:v>
                </c:pt>
                <c:pt idx="2492">
                  <c:v>24.92</c:v>
                </c:pt>
                <c:pt idx="2493">
                  <c:v>24.930000000000003</c:v>
                </c:pt>
                <c:pt idx="2494">
                  <c:v>24.94</c:v>
                </c:pt>
                <c:pt idx="2495">
                  <c:v>24.950000000000003</c:v>
                </c:pt>
                <c:pt idx="2496">
                  <c:v>24.96</c:v>
                </c:pt>
                <c:pt idx="2497">
                  <c:v>24.970000000000002</c:v>
                </c:pt>
                <c:pt idx="2498">
                  <c:v>24.98</c:v>
                </c:pt>
                <c:pt idx="2499">
                  <c:v>24.990000000000002</c:v>
                </c:pt>
                <c:pt idx="2500">
                  <c:v>25.000000000000004</c:v>
                </c:pt>
              </c:numCache>
            </c:numRef>
          </c:xVal>
          <c:yVal>
            <c:numRef>
              <c:f>ウサギとキツネの生態系!$B$4:$B$2504</c:f>
              <c:numCache>
                <c:formatCode>General</c:formatCode>
                <c:ptCount val="2501"/>
                <c:pt idx="0">
                  <c:v>3</c:v>
                </c:pt>
                <c:pt idx="1">
                  <c:v>3.0269999999999997</c:v>
                </c:pt>
                <c:pt idx="2">
                  <c:v>3.0542714537999998</c:v>
                </c:pt>
                <c:pt idx="3">
                  <c:v>3.0818170309740749</c:v>
                </c:pt>
                <c:pt idx="4">
                  <c:v>3.1096394279691526</c:v>
                </c:pt>
                <c:pt idx="5">
                  <c:v>3.1377413683671516</c:v>
                </c:pt>
                <c:pt idx="6">
                  <c:v>3.1661256031497804</c:v>
                </c:pt>
                <c:pt idx="7">
                  <c:v>3.1947949109660239</c:v>
                </c:pt>
                <c:pt idx="8">
                  <c:v>3.2237520984023469</c:v>
                </c:pt>
                <c:pt idx="9">
                  <c:v>3.2530000002556374</c:v>
                </c:pt>
                <c:pt idx="10">
                  <c:v>3.2825414798089096</c:v>
                </c:pt>
                <c:pt idx="11">
                  <c:v>3.3123794291098032</c:v>
                </c:pt>
                <c:pt idx="12">
                  <c:v>3.3425167692519016</c:v>
                </c:pt>
                <c:pt idx="13">
                  <c:v>3.3729564506588856</c:v>
                </c:pt>
                <c:pt idx="14">
                  <c:v>3.403701453371569</c:v>
                </c:pt>
                <c:pt idx="15">
                  <c:v>3.4347547873378237</c:v>
                </c:pt>
                <c:pt idx="16">
                  <c:v>3.4661194927054355</c:v>
                </c:pt>
                <c:pt idx="17">
                  <c:v>3.4977986401179106</c:v>
                </c:pt>
                <c:pt idx="18">
                  <c:v>3.5297953310132661</c:v>
                </c:pt>
                <c:pt idx="19">
                  <c:v>3.5621126979258255</c:v>
                </c:pt>
                <c:pt idx="20">
                  <c:v>3.5947539047910566</c:v>
                </c:pt>
                <c:pt idx="21">
                  <c:v>3.6277221472534764</c:v>
                </c:pt>
                <c:pt idx="22">
                  <c:v>3.6610206529776503</c:v>
                </c:pt>
                <c:pt idx="23">
                  <c:v>3.6946526819623173</c:v>
                </c:pt>
                <c:pt idx="24">
                  <c:v>3.7286215268576726</c:v>
                </c:pt>
                <c:pt idx="25">
                  <c:v>3.7629305132858342</c:v>
                </c:pt>
                <c:pt idx="26">
                  <c:v>3.797583000164527</c:v>
                </c:pt>
                <c:pt idx="27">
                  <c:v>3.8325823800340117</c:v>
                </c:pt>
                <c:pt idx="28">
                  <c:v>3.8679320793872924</c:v>
                </c:pt>
                <c:pt idx="29">
                  <c:v>3.9036355590036362</c:v>
                </c:pt>
                <c:pt idx="30">
                  <c:v>3.9396963142854302</c:v>
                </c:pt>
                <c:pt idx="31">
                  <c:v>3.9761178755984097</c:v>
                </c:pt>
                <c:pt idx="32">
                  <c:v>4.0129038086152971</c:v>
                </c:pt>
                <c:pt idx="33">
                  <c:v>4.0500577146628745</c:v>
                </c:pt>
                <c:pt idx="34">
                  <c:v>4.0875832310725269</c:v>
                </c:pt>
                <c:pt idx="35">
                  <c:v>4.1254840315342927</c:v>
                </c:pt>
                <c:pt idx="36">
                  <c:v>4.1637638264544465</c:v>
                </c:pt>
                <c:pt idx="37">
                  <c:v>4.2024263633166585</c:v>
                </c:pt>
                <c:pt idx="38">
                  <c:v>4.2414754270467547</c:v>
                </c:pt>
                <c:pt idx="39">
                  <c:v>4.2809148403811239</c:v>
                </c:pt>
                <c:pt idx="40">
                  <c:v>4.3207484642387923</c:v>
                </c:pt>
                <c:pt idx="41">
                  <c:v>4.3609801980972147</c:v>
                </c:pt>
                <c:pt idx="42">
                  <c:v>4.4016139803718097</c:v>
                </c:pt>
                <c:pt idx="43">
                  <c:v>4.4426537887992765</c:v>
                </c:pt>
                <c:pt idx="44">
                  <c:v>4.4841036408247312</c:v>
                </c:pt>
                <c:pt idx="45">
                  <c:v>4.5259675939926982</c:v>
                </c:pt>
                <c:pt idx="46">
                  <c:v>4.568249746341996</c:v>
                </c:pt>
                <c:pt idx="47">
                  <c:v>4.6109542368045497</c:v>
                </c:pt>
                <c:pt idx="48">
                  <c:v>4.6540852456081723</c:v>
                </c:pt>
                <c:pt idx="49">
                  <c:v>4.6976469946833515</c:v>
                </c:pt>
                <c:pt idx="50">
                  <c:v>4.7416437480740834</c:v>
                </c:pt>
                <c:pt idx="51">
                  <c:v>4.7860798123527868</c:v>
                </c:pt>
                <c:pt idx="52">
                  <c:v>4.8309595370393383</c:v>
                </c:pt>
                <c:pt idx="53">
                  <c:v>4.8762873150242774</c:v>
                </c:pt>
                <c:pt idx="54">
                  <c:v>4.9220675829962044</c:v>
                </c:pt>
                <c:pt idx="55">
                  <c:v>4.9683048218734269</c:v>
                </c:pt>
                <c:pt idx="56">
                  <c:v>5.0150035572398908</c:v>
                </c:pt>
                <c:pt idx="57">
                  <c:v>5.0621683597854297</c:v>
                </c:pt>
                <c:pt idx="58">
                  <c:v>5.1098038457503892</c:v>
                </c:pt>
                <c:pt idx="59">
                  <c:v>5.157914677374654</c:v>
                </c:pt>
                <c:pt idx="60">
                  <c:v>5.2065055633511284</c:v>
                </c:pt>
                <c:pt idx="61">
                  <c:v>5.2555812592837086</c:v>
                </c:pt>
                <c:pt idx="62">
                  <c:v>5.3051465681497971</c:v>
                </c:pt>
                <c:pt idx="63">
                  <c:v>5.3552063407673911</c:v>
                </c:pt>
                <c:pt idx="64">
                  <c:v>5.4057654762667999</c:v>
                </c:pt>
                <c:pt idx="65">
                  <c:v>5.4568289225670332</c:v>
                </c:pt>
                <c:pt idx="66">
                  <c:v>5.5084016768568977</c:v>
                </c:pt>
                <c:pt idx="67">
                  <c:v>5.5604887860808647</c:v>
                </c:pt>
                <c:pt idx="68">
                  <c:v>5.6130953474297263</c:v>
                </c:pt>
                <c:pt idx="69">
                  <c:v>5.6662265088361199</c:v>
                </c:pt>
                <c:pt idx="70">
                  <c:v>5.7198874694749424</c:v>
                </c:pt>
                <c:pt idx="71">
                  <c:v>5.7740834802687129</c:v>
                </c:pt>
                <c:pt idx="72">
                  <c:v>5.8288198443979242</c:v>
                </c:pt>
                <c:pt idx="73">
                  <c:v>5.8841019178164427</c:v>
                </c:pt>
                <c:pt idx="74">
                  <c:v>5.9399351097719908</c:v>
                </c:pt>
                <c:pt idx="75">
                  <c:v>5.9963248833317735</c:v>
                </c:pt>
                <c:pt idx="76">
                  <c:v>6.0532767559132905</c:v>
                </c:pt>
                <c:pt idx="77">
                  <c:v>6.1107962998203815</c:v>
                </c:pt>
                <c:pt idx="78">
                  <c:v>6.16888914278457</c:v>
                </c:pt>
                <c:pt idx="79">
                  <c:v>6.2275609685117361</c:v>
                </c:pt>
                <c:pt idx="80">
                  <c:v>6.2868175172341827</c:v>
                </c:pt>
                <c:pt idx="81">
                  <c:v>6.3466645862681457</c:v>
                </c:pt>
                <c:pt idx="82">
                  <c:v>6.4071080305767962</c:v>
                </c:pt>
                <c:pt idx="83">
                  <c:v>6.4681537633387896</c:v>
                </c:pt>
                <c:pt idx="84">
                  <c:v>6.5298077565224126</c:v>
                </c:pt>
                <c:pt idx="85">
                  <c:v>6.5920760414653907</c:v>
                </c:pt>
                <c:pt idx="86">
                  <c:v>6.6549647094603914</c:v>
                </c:pt>
                <c:pt idx="87">
                  <c:v>6.7184799123463028</c:v>
                </c:pt>
                <c:pt idx="88">
                  <c:v>6.782627863105323</c:v>
                </c:pt>
                <c:pt idx="89">
                  <c:v>6.8474148364659193</c:v>
                </c:pt>
                <c:pt idx="90">
                  <c:v>6.9128471695117275</c:v>
                </c:pt>
                <c:pt idx="91">
                  <c:v>6.9789312622964266</c:v>
                </c:pt>
                <c:pt idx="92">
                  <c:v>7.0456735784646654</c:v>
                </c:pt>
                <c:pt idx="93">
                  <c:v>7.113080645879081</c:v>
                </c:pt>
                <c:pt idx="94">
                  <c:v>7.1811590572534891</c:v>
                </c:pt>
                <c:pt idx="95">
                  <c:v>7.2499154707922786</c:v>
                </c:pt>
                <c:pt idx="96">
                  <c:v>7.3193566108360972</c:v>
                </c:pt>
                <c:pt idx="97">
                  <c:v>7.389489268513862</c:v>
                </c:pt>
                <c:pt idx="98">
                  <c:v>7.4603203024011817</c:v>
                </c:pt>
                <c:pt idx="99">
                  <c:v>7.5318566391852224</c:v>
                </c:pt>
                <c:pt idx="100">
                  <c:v>7.6041052743361099</c:v>
                </c:pt>
                <c:pt idx="101">
                  <c:v>7.6770732727848969</c:v>
                </c:pt>
                <c:pt idx="102">
                  <c:v>7.7507677696081929</c:v>
                </c:pt>
                <c:pt idx="103">
                  <c:v>7.8251959707194931</c:v>
                </c:pt>
                <c:pt idx="104">
                  <c:v>7.9003651535672752</c:v>
                </c:pt>
                <c:pt idx="105">
                  <c:v>7.9762826678399454</c:v>
                </c:pt>
                <c:pt idx="106">
                  <c:v>8.052955936177673</c:v>
                </c:pt>
                <c:pt idx="107">
                  <c:v>8.1303924548911972</c:v>
                </c:pt>
                <c:pt idx="108">
                  <c:v>8.2085997946876752</c:v>
                </c:pt>
                <c:pt idx="109">
                  <c:v>8.2875856014036113</c:v>
                </c:pt>
                <c:pt idx="110">
                  <c:v>8.36735759674497</c:v>
                </c:pt>
                <c:pt idx="111">
                  <c:v>8.4479235790345104</c:v>
                </c:pt>
                <c:pt idx="112">
                  <c:v>8.5292914239664359</c:v>
                </c:pt>
                <c:pt idx="113">
                  <c:v>8.6114690853684071</c:v>
                </c:pt>
                <c:pt idx="114">
                  <c:v>8.6944645959709987</c:v>
                </c:pt>
                <c:pt idx="115">
                  <c:v>8.7782860681846699</c:v>
                </c:pt>
                <c:pt idx="116">
                  <c:v>8.8629416948843129</c:v>
                </c:pt>
                <c:pt idx="117">
                  <c:v>8.9484397502014641</c:v>
                </c:pt>
                <c:pt idx="118">
                  <c:v>9.0347885903242311</c:v>
                </c:pt>
                <c:pt idx="119">
                  <c:v>9.1219966543050273</c:v>
                </c:pt>
                <c:pt idx="120">
                  <c:v>9.2100724648761698</c:v>
                </c:pt>
                <c:pt idx="121">
                  <c:v>9.2990246292734344</c:v>
                </c:pt>
                <c:pt idx="122">
                  <c:v>9.3888618400676229</c:v>
                </c:pt>
                <c:pt idx="123">
                  <c:v>9.4795928760042258</c:v>
                </c:pt>
                <c:pt idx="124">
                  <c:v>9.5712266028512616</c:v>
                </c:pt>
                <c:pt idx="125">
                  <c:v>9.6637719742553632</c:v>
                </c:pt>
                <c:pt idx="126">
                  <c:v>9.7572380326061818</c:v>
                </c:pt>
                <c:pt idx="127">
                  <c:v>9.8516339099092036</c:v>
                </c:pt>
                <c:pt idx="128">
                  <c:v>9.9469688286670497</c:v>
                </c:pt>
                <c:pt idx="129">
                  <c:v>10.043252102769321</c:v>
                </c:pt>
                <c:pt idx="130">
                  <c:v>10.140493138391099</c:v>
                </c:pt>
                <c:pt idx="131">
                  <c:v>10.238701434900154</c:v>
                </c:pt>
                <c:pt idx="132">
                  <c:v>10.337886585772967</c:v>
                </c:pt>
                <c:pt idx="133">
                  <c:v>10.438058279519629</c:v>
                </c:pt>
                <c:pt idx="134">
                  <c:v>10.539226300617701</c:v>
                </c:pt>
                <c:pt idx="135">
                  <c:v>10.64140053045513</c:v>
                </c:pt>
                <c:pt idx="136">
                  <c:v>10.744590948282291</c:v>
                </c:pt>
                <c:pt idx="137">
                  <c:v>10.848807632173251</c:v>
                </c:pt>
                <c:pt idx="138">
                  <c:v>10.954060759996333</c:v>
                </c:pt>
                <c:pt idx="139">
                  <c:v>11.060360610394053</c:v>
                </c:pt>
                <c:pt idx="140">
                  <c:v>11.167717563772557</c:v>
                </c:pt>
                <c:pt idx="141">
                  <c:v>11.276142103300597</c:v>
                </c:pt>
                <c:pt idx="142">
                  <c:v>11.385644815918157</c:v>
                </c:pt>
                <c:pt idx="143">
                  <c:v>11.496236393354833</c:v>
                </c:pt>
                <c:pt idx="144">
                  <c:v>11.60792763315801</c:v>
                </c:pt>
                <c:pt idx="145">
                  <c:v>11.720729439730981</c:v>
                </c:pt>
                <c:pt idx="146">
                  <c:v>11.834652825381053</c:v>
                </c:pt>
                <c:pt idx="147">
                  <c:v>11.94970891137776</c:v>
                </c:pt>
                <c:pt idx="148">
                  <c:v>12.065908929021262</c:v>
                </c:pt>
                <c:pt idx="149">
                  <c:v>12.183264220721021</c:v>
                </c:pt>
                <c:pt idx="150">
                  <c:v>12.301786241084852</c:v>
                </c:pt>
                <c:pt idx="151">
                  <c:v>12.421486558018449</c:v>
                </c:pt>
                <c:pt idx="152">
                  <c:v>12.542376853835464</c:v>
                </c:pt>
                <c:pt idx="153">
                  <c:v>12.664468926378248</c:v>
                </c:pt>
                <c:pt idx="154">
                  <c:v>12.787774690149346</c:v>
                </c:pt>
                <c:pt idx="155">
                  <c:v>12.912306177453837</c:v>
                </c:pt>
                <c:pt idx="156">
                  <c:v>13.038075539552628</c:v>
                </c:pt>
                <c:pt idx="157">
                  <c:v>13.165095047826785</c:v>
                </c:pt>
                <c:pt idx="158">
                  <c:v>13.293377094953019</c:v>
                </c:pt>
                <c:pt idx="159">
                  <c:v>13.422934196090397</c:v>
                </c:pt>
                <c:pt idx="160">
                  <c:v>13.553778990078413</c:v>
                </c:pt>
                <c:pt idx="161">
                  <c:v>13.685924240646496</c:v>
                </c:pt>
                <c:pt idx="162">
                  <c:v>13.819382837635056</c:v>
                </c:pt>
                <c:pt idx="163">
                  <c:v>13.954167798228179</c:v>
                </c:pt>
                <c:pt idx="164">
                  <c:v>14.090292268198082</c:v>
                </c:pt>
                <c:pt idx="165">
                  <c:v>14.227769523161408</c:v>
                </c:pt>
                <c:pt idx="166">
                  <c:v>14.366612969847466</c:v>
                </c:pt>
                <c:pt idx="167">
                  <c:v>14.50683614737857</c:v>
                </c:pt>
                <c:pt idx="168">
                  <c:v>14.648452728562487</c:v>
                </c:pt>
                <c:pt idx="169">
                  <c:v>14.791476521197209</c:v>
                </c:pt>
                <c:pt idx="170">
                  <c:v>14.93592146938807</c:v>
                </c:pt>
                <c:pt idx="171">
                  <c:v>15.081801654877351</c:v>
                </c:pt>
                <c:pt idx="172">
                  <c:v>15.229131298386489</c:v>
                </c:pt>
                <c:pt idx="173">
                  <c:v>15.377924760970975</c:v>
                </c:pt>
                <c:pt idx="174">
                  <c:v>15.528196545388058</c:v>
                </c:pt>
                <c:pt idx="175">
                  <c:v>15.679961297477373</c:v>
                </c:pt>
                <c:pt idx="176">
                  <c:v>15.833233807554604</c:v>
                </c:pt>
                <c:pt idx="177">
                  <c:v>15.988029011818261</c:v>
                </c:pt>
                <c:pt idx="178">
                  <c:v>16.144361993769721</c:v>
                </c:pt>
                <c:pt idx="179">
                  <c:v>16.302247985646634</c:v>
                </c:pt>
                <c:pt idx="180">
                  <c:v>16.461702369869791</c:v>
                </c:pt>
                <c:pt idx="181">
                  <c:v>16.622740680503579</c:v>
                </c:pt>
                <c:pt idx="182">
                  <c:v>16.785378604730123</c:v>
                </c:pt>
                <c:pt idx="183">
                  <c:v>16.949631984337262</c:v>
                </c:pt>
                <c:pt idx="184">
                  <c:v>17.115516817220435</c:v>
                </c:pt>
                <c:pt idx="185">
                  <c:v>17.283049258898597</c:v>
                </c:pt>
                <c:pt idx="186">
                  <c:v>17.452245624044306</c:v>
                </c:pt>
                <c:pt idx="187">
                  <c:v>17.623122388028062</c:v>
                </c:pt>
                <c:pt idx="188">
                  <c:v>17.795696188477049</c:v>
                </c:pt>
                <c:pt idx="189">
                  <c:v>17.96998382684836</c:v>
                </c:pt>
                <c:pt idx="190">
                  <c:v>18.146002270016833</c:v>
                </c:pt>
                <c:pt idx="191">
                  <c:v>18.323768651877653</c:v>
                </c:pt>
                <c:pt idx="192">
                  <c:v>18.503300274963756</c:v>
                </c:pt>
                <c:pt idx="193">
                  <c:v>18.684614612078235</c:v>
                </c:pt>
                <c:pt idx="194">
                  <c:v>18.867729307941815</c:v>
                </c:pt>
                <c:pt idx="195">
                  <c:v>19.052662180855535</c:v>
                </c:pt>
                <c:pt idx="196">
                  <c:v>19.239431224378727</c:v>
                </c:pt>
                <c:pt idx="197">
                  <c:v>19.428054609022464</c:v>
                </c:pt>
                <c:pt idx="198">
                  <c:v>19.618550683958546</c:v>
                </c:pt>
                <c:pt idx="199">
                  <c:v>19.810937978744143</c:v>
                </c:pt>
                <c:pt idx="200">
                  <c:v>20.005235205062252</c:v>
                </c:pt>
                <c:pt idx="201">
                  <c:v>20.201461258478055</c:v>
                </c:pt>
                <c:pt idx="202">
                  <c:v>20.39963522021128</c:v>
                </c:pt>
                <c:pt idx="203">
                  <c:v>20.59977635892475</c:v>
                </c:pt>
                <c:pt idx="204">
                  <c:v>20.801904132529149</c:v>
                </c:pt>
                <c:pt idx="205">
                  <c:v>21.006038190004183</c:v>
                </c:pt>
                <c:pt idx="206">
                  <c:v>21.212198373236262</c:v>
                </c:pt>
                <c:pt idx="207">
                  <c:v>21.420404718872735</c:v>
                </c:pt>
                <c:pt idx="208">
                  <c:v>21.630677460192924</c:v>
                </c:pt>
                <c:pt idx="209">
                  <c:v>21.843037028995941</c:v>
                </c:pt>
                <c:pt idx="210">
                  <c:v>22.057504057505522</c:v>
                </c:pt>
                <c:pt idx="211">
                  <c:v>22.274099380291894</c:v>
                </c:pt>
                <c:pt idx="212">
                  <c:v>22.492844036210862</c:v>
                </c:pt>
                <c:pt idx="213">
                  <c:v>22.713759270360178</c:v>
                </c:pt>
                <c:pt idx="214">
                  <c:v>22.936866536053362</c:v>
                </c:pt>
                <c:pt idx="215">
                  <c:v>23.162187496811015</c:v>
                </c:pt>
                <c:pt idx="216">
                  <c:v>23.389744028369815</c:v>
                </c:pt>
                <c:pt idx="217">
                  <c:v>23.619558220709234</c:v>
                </c:pt>
                <c:pt idx="218">
                  <c:v>23.851652380096134</c:v>
                </c:pt>
                <c:pt idx="219">
                  <c:v>24.086049031147358</c:v>
                </c:pt>
                <c:pt idx="220">
                  <c:v>24.322770918910361</c:v>
                </c:pt>
                <c:pt idx="221">
                  <c:v>24.561841010962059</c:v>
                </c:pt>
                <c:pt idx="222">
                  <c:v>24.803282499525952</c:v>
                </c:pt>
                <c:pt idx="223">
                  <c:v>25.047118803607663</c:v>
                </c:pt>
                <c:pt idx="224">
                  <c:v>25.293373571148958</c:v>
                </c:pt>
                <c:pt idx="225">
                  <c:v>25.542070681200364</c:v>
                </c:pt>
                <c:pt idx="226">
                  <c:v>25.793234246112494</c:v>
                </c:pt>
                <c:pt idx="227">
                  <c:v>26.046888613746173</c:v>
                </c:pt>
                <c:pt idx="228">
                  <c:v>26.303058369701418</c:v>
                </c:pt>
                <c:pt idx="229">
                  <c:v>26.56176833956544</c:v>
                </c:pt>
                <c:pt idx="230">
                  <c:v>26.823043591179676</c:v>
                </c:pt>
                <c:pt idx="231">
                  <c:v>27.08690943692601</c:v>
                </c:pt>
                <c:pt idx="232">
                  <c:v>27.353391436032229</c:v>
                </c:pt>
                <c:pt idx="233">
                  <c:v>27.622515396896784</c:v>
                </c:pt>
                <c:pt idx="234">
                  <c:v>27.894307379432984</c:v>
                </c:pt>
                <c:pt idx="235">
                  <c:v>28.168793697432651</c:v>
                </c:pt>
                <c:pt idx="236">
                  <c:v>28.446000920949317</c:v>
                </c:pt>
                <c:pt idx="237">
                  <c:v>28.725955878701079</c:v>
                </c:pt>
                <c:pt idx="238">
                  <c:v>29.008685660493114</c:v>
                </c:pt>
                <c:pt idx="239">
                  <c:v>29.294217619659943</c:v>
                </c:pt>
                <c:pt idx="240">
                  <c:v>29.582579375527509</c:v>
                </c:pt>
                <c:pt idx="241">
                  <c:v>29.873798815895125</c:v>
                </c:pt>
                <c:pt idx="242">
                  <c:v>30.167904099537317</c:v>
                </c:pt>
                <c:pt idx="243">
                  <c:v>30.464923658725617</c:v>
                </c:pt>
                <c:pt idx="244">
                  <c:v>30.764886201770363</c:v>
                </c:pt>
                <c:pt idx="245">
                  <c:v>31.067820715582513</c:v>
                </c:pt>
                <c:pt idx="246">
                  <c:v>31.373756468255539</c:v>
                </c:pt>
                <c:pt idx="247">
                  <c:v>31.68272301166736</c:v>
                </c:pt>
                <c:pt idx="248">
                  <c:v>31.994750184102383</c:v>
                </c:pt>
                <c:pt idx="249">
                  <c:v>32.309868112893668</c:v>
                </c:pt>
                <c:pt idx="250">
                  <c:v>32.628107217085166</c:v>
                </c:pt>
                <c:pt idx="251">
                  <c:v>32.949498210114108</c:v>
                </c:pt>
                <c:pt idx="252">
                  <c:v>33.274072102513401</c:v>
                </c:pt>
                <c:pt idx="253">
                  <c:v>33.601860204634185</c:v>
                </c:pt>
                <c:pt idx="254">
                  <c:v>33.932894129388401</c:v>
                </c:pt>
                <c:pt idx="255">
                  <c:v>34.267205795011321</c:v>
                </c:pt>
                <c:pt idx="256">
                  <c:v>34.604827427844135</c:v>
                </c:pt>
                <c:pt idx="257">
                  <c:v>34.945791565136339</c:v>
                </c:pt>
                <c:pt idx="258">
                  <c:v>35.290131057868059</c:v>
                </c:pt>
                <c:pt idx="259">
                  <c:v>35.63787907359206</c:v>
                </c:pt>
                <c:pt idx="260">
                  <c:v>35.989069099295534</c:v>
                </c:pt>
                <c:pt idx="261">
                  <c:v>36.343734944281351</c:v>
                </c:pt>
                <c:pt idx="262">
                  <c:v>36.701910743068893</c:v>
                </c:pt>
                <c:pt idx="263">
                  <c:v>37.063630958314185</c:v>
                </c:pt>
                <c:pt idx="264">
                  <c:v>37.428930383749233</c:v>
                </c:pt>
                <c:pt idx="265">
                  <c:v>37.797844147140474</c:v>
                </c:pt>
                <c:pt idx="266">
                  <c:v>38.17040771326608</c:v>
                </c:pt>
                <c:pt idx="267">
                  <c:v>38.546656886912025</c:v>
                </c:pt>
                <c:pt idx="268">
                  <c:v>38.926627815886647</c:v>
                </c:pt>
                <c:pt idx="269">
                  <c:v>39.310356994053571</c:v>
                </c:pt>
                <c:pt idx="270">
                  <c:v>39.697881264382659</c:v>
                </c:pt>
                <c:pt idx="271">
                  <c:v>40.089237822018873</c:v>
                </c:pt>
                <c:pt idx="272">
                  <c:v>40.484464217368647</c:v>
                </c:pt>
                <c:pt idx="273">
                  <c:v>40.883598359203582</c:v>
                </c:pt>
                <c:pt idx="274">
                  <c:v>41.286678517781134</c:v>
                </c:pt>
                <c:pt idx="275">
                  <c:v>41.693743327981899</c:v>
                </c:pt>
                <c:pt idx="276">
                  <c:v>42.104831792463273</c:v>
                </c:pt>
                <c:pt idx="277">
                  <c:v>42.519983284828946</c:v>
                </c:pt>
                <c:pt idx="278">
                  <c:v>42.939237552813985</c:v>
                </c:pt>
                <c:pt idx="279">
                  <c:v>43.362634721484994</c:v>
                </c:pt>
                <c:pt idx="280">
                  <c:v>43.790215296454889</c:v>
                </c:pt>
                <c:pt idx="281">
                  <c:v>44.222020167111822</c:v>
                </c:pt>
                <c:pt idx="282">
                  <c:v>44.658090609861773</c:v>
                </c:pt>
                <c:pt idx="283">
                  <c:v>45.098468291384222</c:v>
                </c:pt>
                <c:pt idx="284">
                  <c:v>45.543195271900274</c:v>
                </c:pt>
                <c:pt idx="285">
                  <c:v>45.992314008452738</c:v>
                </c:pt>
                <c:pt idx="286">
                  <c:v>46.445867358197454</c:v>
                </c:pt>
                <c:pt idx="287">
                  <c:v>46.9038985817051</c:v>
                </c:pt>
                <c:pt idx="288">
                  <c:v>47.36645134627291</c:v>
                </c:pt>
                <c:pt idx="289">
                  <c:v>47.83356972924534</c:v>
                </c:pt>
                <c:pt idx="290">
                  <c:v>48.305298221343072</c:v>
                </c:pt>
                <c:pt idx="291">
                  <c:v>48.781681729999278</c:v>
                </c:pt>
                <c:pt idx="292">
                  <c:v>49.262765582702478</c:v>
                </c:pt>
                <c:pt idx="293">
                  <c:v>49.748595530344758</c:v>
                </c:pt>
                <c:pt idx="294">
                  <c:v>50.239217750574554</c:v>
                </c:pt>
                <c:pt idx="295">
                  <c:v>50.734678851152857</c:v>
                </c:pt>
                <c:pt idx="296">
                  <c:v>51.23502587331167</c:v>
                </c:pt>
                <c:pt idx="297">
                  <c:v>51.740306295113555</c:v>
                </c:pt>
                <c:pt idx="298">
                  <c:v>52.25056803481111</c:v>
                </c:pt>
                <c:pt idx="299">
                  <c:v>52.765859454204886</c:v>
                </c:pt>
                <c:pt idx="300">
                  <c:v>53.286229361998487</c:v>
                </c:pt>
                <c:pt idx="301">
                  <c:v>53.811727017149316</c:v>
                </c:pt>
                <c:pt idx="302">
                  <c:v>54.342402132213522</c:v>
                </c:pt>
                <c:pt idx="303">
                  <c:v>54.878304876683394</c:v>
                </c:pt>
                <c:pt idx="304">
                  <c:v>55.419485880315605</c:v>
                </c:pt>
                <c:pt idx="305">
                  <c:v>55.965996236448461</c:v>
                </c:pt>
                <c:pt idx="306">
                  <c:v>56.517887505306263</c:v>
                </c:pt>
                <c:pt idx="307">
                  <c:v>57.075211717288838</c:v>
                </c:pt>
                <c:pt idx="308">
                  <c:v>57.638021376244126</c:v>
                </c:pt>
                <c:pt idx="309">
                  <c:v>58.206369462721575</c:v>
                </c:pt>
                <c:pt idx="310">
                  <c:v>58.780309437204139</c:v>
                </c:pt>
                <c:pt idx="311">
                  <c:v>59.359895243316366</c:v>
                </c:pt>
                <c:pt idx="312">
                  <c:v>59.945181311006081</c:v>
                </c:pt>
                <c:pt idx="313">
                  <c:v>60.536222559696888</c:v>
                </c:pt>
                <c:pt idx="314">
                  <c:v>61.133074401408791</c:v>
                </c:pt>
                <c:pt idx="315">
                  <c:v>61.735792743843888</c:v>
                </c:pt>
                <c:pt idx="316">
                  <c:v>62.34443399343408</c:v>
                </c:pt>
                <c:pt idx="317">
                  <c:v>62.95905505834741</c:v>
                </c:pt>
                <c:pt idx="318">
                  <c:v>63.579713351449726</c:v>
                </c:pt>
                <c:pt idx="319">
                  <c:v>64.206466793217942</c:v>
                </c:pt>
                <c:pt idx="320">
                  <c:v>64.839373814601188</c:v>
                </c:pt>
                <c:pt idx="321">
                  <c:v>65.47849335982572</c:v>
                </c:pt>
                <c:pt idx="322">
                  <c:v>66.123884889139575</c:v>
                </c:pt>
                <c:pt idx="323">
                  <c:v>66.775608381492333</c:v>
                </c:pt>
                <c:pt idx="324">
                  <c:v>67.433724337145563</c:v>
                </c:pt>
                <c:pt idx="325">
                  <c:v>68.098293780208905</c:v>
                </c:pt>
                <c:pt idx="326">
                  <c:v>68.769378261096776</c:v>
                </c:pt>
                <c:pt idx="327">
                  <c:v>69.447039858900212</c:v>
                </c:pt>
                <c:pt idx="328">
                  <c:v>70.131341183668255</c:v>
                </c:pt>
                <c:pt idx="329">
                  <c:v>70.822345378592999</c:v>
                </c:pt>
                <c:pt idx="330">
                  <c:v>71.520116122091736</c:v>
                </c:pt>
                <c:pt idx="331">
                  <c:v>72.224717629780031</c:v>
                </c:pt>
                <c:pt idx="332">
                  <c:v>72.936214656328474</c:v>
                </c:pt>
                <c:pt idx="333">
                  <c:v>73.654672497196032</c:v>
                </c:pt>
                <c:pt idx="334">
                  <c:v>74.380156990232194</c:v>
                </c:pt>
                <c:pt idx="335">
                  <c:v>75.112734517140012</c:v>
                </c:pt>
                <c:pt idx="336">
                  <c:v>75.852472004791437</c:v>
                </c:pt>
                <c:pt idx="337">
                  <c:v>76.599436926386147</c:v>
                </c:pt>
                <c:pt idx="338">
                  <c:v>77.353697302444445</c:v>
                </c:pt>
                <c:pt idx="339">
                  <c:v>78.115321701624424</c:v>
                </c:pt>
                <c:pt idx="340">
                  <c:v>78.884379241352889</c:v>
                </c:pt>
                <c:pt idx="341">
                  <c:v>79.660939588259339</c:v>
                </c:pt>
                <c:pt idx="342">
                  <c:v>80.445072958401369</c:v>
                </c:pt>
                <c:pt idx="343">
                  <c:v>81.236850117269427</c:v>
                </c:pt>
                <c:pt idx="344">
                  <c:v>82.036342379558292</c:v>
                </c:pt>
                <c:pt idx="345">
                  <c:v>82.84362160869172</c:v>
                </c:pt>
                <c:pt idx="346">
                  <c:v>83.658760216086336</c:v>
                </c:pt>
                <c:pt idx="347">
                  <c:v>84.481831160139777</c:v>
                </c:pt>
                <c:pt idx="348">
                  <c:v>85.312907944927488</c:v>
                </c:pt>
                <c:pt idx="349">
                  <c:v>86.152064618591766</c:v>
                </c:pt>
                <c:pt idx="350">
                  <c:v>86.999375771405596</c:v>
                </c:pt>
                <c:pt idx="351">
                  <c:v>87.854916533493025</c:v>
                </c:pt>
                <c:pt idx="352">
                  <c:v>88.718762572186762</c:v>
                </c:pt>
                <c:pt idx="353">
                  <c:v>89.590990089002801</c:v>
                </c:pt>
                <c:pt idx="354">
                  <c:v>90.471675816210606</c:v>
                </c:pt>
                <c:pt idx="355">
                  <c:v>91.360897012976153</c:v>
                </c:pt>
                <c:pt idx="356">
                  <c:v>92.258731461054211</c:v>
                </c:pt>
                <c:pt idx="357">
                  <c:v>93.165257460004739</c:v>
                </c:pt>
                <c:pt idx="358">
                  <c:v>94.080553821906719</c:v>
                </c:pt>
                <c:pt idx="359">
                  <c:v>95.004699865541781</c:v>
                </c:pt>
                <c:pt idx="360">
                  <c:v>95.937775410017949</c:v>
                </c:pt>
                <c:pt idx="361">
                  <c:v>96.87986076780237</c:v>
                </c:pt>
                <c:pt idx="362">
                  <c:v>97.831036737130503</c:v>
                </c:pt>
                <c:pt idx="363">
                  <c:v>98.791384593756646</c:v>
                </c:pt>
                <c:pt idx="364">
                  <c:v>99.760986082009595</c:v>
                </c:pt>
                <c:pt idx="365">
                  <c:v>100.7399234051146</c:v>
                </c:pt>
                <c:pt idx="366">
                  <c:v>101.72827921474084</c:v>
                </c:pt>
                <c:pt idx="367">
                  <c:v>102.72613659973129</c:v>
                </c:pt>
                <c:pt idx="368">
                  <c:v>103.73357907396937</c:v>
                </c:pt>
                <c:pt idx="369">
                  <c:v>104.75069056333432</c:v>
                </c:pt>
                <c:pt idx="370">
                  <c:v>105.77755539169426</c:v>
                </c:pt>
                <c:pt idx="371">
                  <c:v>106.81425826588325</c:v>
                </c:pt>
                <c:pt idx="372">
                  <c:v>107.86088425960534</c:v>
                </c:pt>
                <c:pt idx="373">
                  <c:v>108.9175187962054</c:v>
                </c:pt>
                <c:pt idx="374">
                  <c:v>109.98424763024319</c:v>
                </c:pt>
                <c:pt idx="375">
                  <c:v>111.06115682780312</c:v>
                </c:pt>
                <c:pt idx="376">
                  <c:v>112.14833274546852</c:v>
                </c:pt>
                <c:pt idx="377">
                  <c:v>113.24586200788495</c:v>
                </c:pt>
                <c:pt idx="378">
                  <c:v>114.35383148383255</c:v>
                </c:pt>
                <c:pt idx="379">
                  <c:v>115.47232826072288</c:v>
                </c:pt>
                <c:pt idx="380">
                  <c:v>116.60143961743073</c:v>
                </c:pt>
                <c:pt idx="381">
                  <c:v>117.74125299536583</c:v>
                </c:pt>
                <c:pt idx="382">
                  <c:v>118.89185596768387</c:v>
                </c:pt>
                <c:pt idx="383">
                  <c:v>120.05333620653045</c:v>
                </c:pt>
                <c:pt idx="384">
                  <c:v>121.22578144820467</c:v>
                </c:pt>
                <c:pt idx="385">
                  <c:v>122.40927945612296</c:v>
                </c:pt>
                <c:pt idx="386">
                  <c:v>123.60391798145555</c:v>
                </c:pt>
                <c:pt idx="387">
                  <c:v>124.80978472130154</c:v>
                </c:pt>
                <c:pt idx="388">
                  <c:v>126.02696727425914</c:v>
                </c:pt>
                <c:pt idx="389">
                  <c:v>127.25555309323953</c:v>
                </c:pt>
                <c:pt idx="390">
                  <c:v>128.49562943536361</c:v>
                </c:pt>
                <c:pt idx="391">
                  <c:v>129.74728330877051</c:v>
                </c:pt>
                <c:pt idx="392">
                  <c:v>131.01060141615653</c:v>
                </c:pt>
                <c:pt idx="393">
                  <c:v>132.28567009485226</c:v>
                </c:pt>
                <c:pt idx="394">
                  <c:v>133.57257525323254</c:v>
                </c:pt>
                <c:pt idx="395">
                  <c:v>134.87140230324263</c:v>
                </c:pt>
                <c:pt idx="396">
                  <c:v>136.18223608880925</c:v>
                </c:pt>
                <c:pt idx="397">
                  <c:v>137.50516080989101</c:v>
                </c:pt>
                <c:pt idx="398">
                  <c:v>138.84025994190765</c:v>
                </c:pt>
                <c:pt idx="399">
                  <c:v>140.18761615027032</c:v>
                </c:pt>
                <c:pt idx="400">
                  <c:v>141.54731119971797</c:v>
                </c:pt>
                <c:pt idx="401">
                  <c:v>142.91942585814633</c:v>
                </c:pt>
                <c:pt idx="402">
                  <c:v>144.3040397945955</c:v>
                </c:pt>
                <c:pt idx="403">
                  <c:v>145.70123147104104</c:v>
                </c:pt>
                <c:pt idx="404">
                  <c:v>147.11107802761063</c:v>
                </c:pt>
                <c:pt idx="405">
                  <c:v>148.5336551608242</c:v>
                </c:pt>
                <c:pt idx="406">
                  <c:v>149.96903699442902</c:v>
                </c:pt>
                <c:pt idx="407">
                  <c:v>151.41729594237401</c:v>
                </c:pt>
                <c:pt idx="408">
                  <c:v>152.87850256343773</c:v>
                </c:pt>
                <c:pt idx="409">
                  <c:v>154.35272540699265</c:v>
                </c:pt>
                <c:pt idx="410">
                  <c:v>155.84003084935514</c:v>
                </c:pt>
                <c:pt idx="411">
                  <c:v>157.34048292013384</c:v>
                </c:pt>
                <c:pt idx="412">
                  <c:v>158.85414311795137</c:v>
                </c:pt>
                <c:pt idx="413">
                  <c:v>160.38107021487249</c:v>
                </c:pt>
                <c:pt idx="414">
                  <c:v>161.92132004882865</c:v>
                </c:pt>
                <c:pt idx="415">
                  <c:v>163.47494530328117</c:v>
                </c:pt>
                <c:pt idx="416">
                  <c:v>165.04199527331613</c:v>
                </c:pt>
                <c:pt idx="417">
                  <c:v>166.62251561730977</c:v>
                </c:pt>
                <c:pt idx="418">
                  <c:v>168.21654809324681</c:v>
                </c:pt>
                <c:pt idx="419">
                  <c:v>169.82413027871249</c:v>
                </c:pt>
                <c:pt idx="420">
                  <c:v>171.44529527351455</c:v>
                </c:pt>
                <c:pt idx="421">
                  <c:v>173.08007138382158</c:v>
                </c:pt>
                <c:pt idx="422">
                  <c:v>174.72848178663014</c:v>
                </c:pt>
                <c:pt idx="423">
                  <c:v>176.39054417329396</c:v>
                </c:pt>
                <c:pt idx="424">
                  <c:v>178.06627037076368</c:v>
                </c:pt>
                <c:pt idx="425">
                  <c:v>179.75566593909608</c:v>
                </c:pt>
                <c:pt idx="426">
                  <c:v>181.45872974369516</c:v>
                </c:pt>
                <c:pt idx="427">
                  <c:v>183.17545350064515</c:v>
                </c:pt>
                <c:pt idx="428">
                  <c:v>184.90582129338637</c:v>
                </c:pt>
                <c:pt idx="429">
                  <c:v>186.64980905886867</c:v>
                </c:pt>
                <c:pt idx="430">
                  <c:v>188.40738404119284</c:v>
                </c:pt>
                <c:pt idx="431">
                  <c:v>190.17850421061905</c:v>
                </c:pt>
                <c:pt idx="432">
                  <c:v>191.96311764568074</c:v>
                </c:pt>
                <c:pt idx="433">
                  <c:v>193.76116187599354</c:v>
                </c:pt>
                <c:pt idx="434">
                  <c:v>195.57256318319031</c:v>
                </c:pt>
                <c:pt idx="435">
                  <c:v>197.39723585724502</c:v>
                </c:pt>
                <c:pt idx="436">
                  <c:v>199.23508140527014</c:v>
                </c:pt>
                <c:pt idx="437">
                  <c:v>201.08598770968317</c:v>
                </c:pt>
                <c:pt idx="438">
                  <c:v>202.9498281324378</c:v>
                </c:pt>
                <c:pt idx="439">
                  <c:v>204.82646056180391</c:v>
                </c:pt>
                <c:pt idx="440">
                  <c:v>206.71572639795713</c:v>
                </c:pt>
                <c:pt idx="441">
                  <c:v>208.61744947340375</c:v>
                </c:pt>
                <c:pt idx="442">
                  <c:v>210.53143490401874</c:v>
                </c:pt>
                <c:pt idx="443">
                  <c:v>212.45746786621493</c:v>
                </c:pt>
                <c:pt idx="444">
                  <c:v>214.39531229548786</c:v>
                </c:pt>
                <c:pt idx="445">
                  <c:v>216.34470950129744</c:v>
                </c:pt>
                <c:pt idx="446">
                  <c:v>218.30537669294813</c:v>
                </c:pt>
                <c:pt idx="447">
                  <c:v>220.27700541082183</c:v>
                </c:pt>
                <c:pt idx="448">
                  <c:v>222.25925985699709</c:v>
                </c:pt>
                <c:pt idx="449">
                  <c:v>224.25177511895791</c:v>
                </c:pt>
                <c:pt idx="450">
                  <c:v>226.25415527975596</c:v>
                </c:pt>
                <c:pt idx="451">
                  <c:v>228.26597140764463</c:v>
                </c:pt>
                <c:pt idx="452">
                  <c:v>230.28675941785133</c:v>
                </c:pt>
                <c:pt idx="453">
                  <c:v>232.3160177988012</c:v>
                </c:pt>
                <c:pt idx="454">
                  <c:v>234.35320519475323</c:v>
                </c:pt>
                <c:pt idx="455">
                  <c:v>236.39773783646231</c:v>
                </c:pt>
                <c:pt idx="456">
                  <c:v>238.44898681114424</c:v>
                </c:pt>
                <c:pt idx="457">
                  <c:v>240.50627516269975</c:v>
                </c:pt>
                <c:pt idx="458">
                  <c:v>242.56887481285759</c:v>
                </c:pt>
                <c:pt idx="459">
                  <c:v>244.63600329363049</c:v>
                </c:pt>
                <c:pt idx="460">
                  <c:v>246.70682028125759</c:v>
                </c:pt>
                <c:pt idx="461">
                  <c:v>248.78042392163641</c:v>
                </c:pt>
                <c:pt idx="462">
                  <c:v>250.85584693715086</c:v>
                </c:pt>
                <c:pt idx="463">
                  <c:v>252.93205250478496</c:v>
                </c:pt>
                <c:pt idx="464">
                  <c:v>255.00792989550294</c:v>
                </c:pt>
                <c:pt idx="465">
                  <c:v>257.08228986509187</c:v>
                </c:pt>
                <c:pt idx="466">
                  <c:v>259.1538597870296</c:v>
                </c:pt>
                <c:pt idx="467">
                  <c:v>261.22127851849115</c:v>
                </c:pt>
                <c:pt idx="468">
                  <c:v>263.28309099136794</c:v>
                </c:pt>
                <c:pt idx="469">
                  <c:v>265.33774252119213</c:v>
                </c:pt>
                <c:pt idx="470">
                  <c:v>267.38357282817026</c:v>
                </c:pt>
                <c:pt idx="471">
                  <c:v>269.41880976618921</c:v>
                </c:pt>
                <c:pt idx="472">
                  <c:v>271.44156275771826</c:v>
                </c:pt>
                <c:pt idx="473">
                  <c:v>273.44981593505264</c:v>
                </c:pt>
                <c:pt idx="474">
                  <c:v>275.44142099140305</c:v>
                </c:pt>
                <c:pt idx="475">
                  <c:v>277.41408974899906</c:v>
                </c:pt>
                <c:pt idx="476">
                  <c:v>279.36538645573597</c:v>
                </c:pt>
                <c:pt idx="477">
                  <c:v>281.29271982704324</c:v>
                </c:pt>
                <c:pt idx="478">
                  <c:v>283.19333485568615</c:v>
                </c:pt>
                <c:pt idx="479">
                  <c:v>285.0643044192459</c:v>
                </c:pt>
                <c:pt idx="480">
                  <c:v>286.90252072316503</c:v>
                </c:pt>
                <c:pt idx="481">
                  <c:v>288.70468662661932</c:v>
                </c:pt>
                <c:pt idx="482">
                  <c:v>290.46730690921089</c:v>
                </c:pt>
                <c:pt idx="483">
                  <c:v>292.18667954868994</c:v>
                </c:pt>
                <c:pt idx="484">
                  <c:v>293.85888709373819</c:v>
                </c:pt>
                <c:pt idx="485">
                  <c:v>295.47978823139476</c:v>
                </c:pt>
                <c:pt idx="486">
                  <c:v>297.04500966609072</c:v>
                </c:pt>
                <c:pt idx="487">
                  <c:v>298.54993844656104</c:v>
                </c:pt>
                <c:pt idx="488">
                  <c:v>299.98971489818803</c:v>
                </c:pt>
                <c:pt idx="489">
                  <c:v>301.35922634161585</c:v>
                </c:pt>
                <c:pt idx="490">
                  <c:v>302.65310180373092</c:v>
                </c:pt>
                <c:pt idx="491">
                  <c:v>303.86570795422705</c:v>
                </c:pt>
                <c:pt idx="492">
                  <c:v>304.99114652978528</c:v>
                </c:pt>
                <c:pt idx="493">
                  <c:v>306.02325353810102</c:v>
                </c:pt>
                <c:pt idx="494">
                  <c:v>306.9556005651645</c:v>
                </c:pt>
                <c:pt idx="495">
                  <c:v>307.781498540771</c:v>
                </c:pt>
                <c:pt idx="496">
                  <c:v>308.49400434843932</c:v>
                </c:pt>
                <c:pt idx="497">
                  <c:v>309.08593069578558</c:v>
                </c:pt>
                <c:pt idx="498">
                  <c:v>309.54985968872239</c:v>
                </c:pt>
                <c:pt idx="499">
                  <c:v>309.87816057616209</c:v>
                </c:pt>
                <c:pt idx="500">
                  <c:v>310.06301214943801</c:v>
                </c:pt>
                <c:pt idx="501">
                  <c:v>310.09643029036988</c:v>
                </c:pt>
                <c:pt idx="502">
                  <c:v>309.97030116143929</c:v>
                </c:pt>
                <c:pt idx="503">
                  <c:v>309.6764205182742</c:v>
                </c:pt>
                <c:pt idx="504">
                  <c:v>309.20653959569535</c:v>
                </c:pt>
                <c:pt idx="505">
                  <c:v>308.55241797089201</c:v>
                </c:pt>
                <c:pt idx="506">
                  <c:v>307.70588373772961</c:v>
                </c:pt>
                <c:pt idx="507">
                  <c:v>306.65890123166093</c:v>
                </c:pt>
                <c:pt idx="508">
                  <c:v>305.40364642235812</c:v>
                </c:pt>
                <c:pt idx="509">
                  <c:v>303.93258993860928</c:v>
                </c:pt>
                <c:pt idx="510">
                  <c:v>302.23858750556491</c:v>
                </c:pt>
                <c:pt idx="511">
                  <c:v>300.31497735745472</c:v>
                </c:pt>
                <c:pt idx="512">
                  <c:v>298.15568394019607</c:v>
                </c:pt>
                <c:pt idx="513">
                  <c:v>295.75532694041044</c:v>
                </c:pt>
                <c:pt idx="514">
                  <c:v>293.10933437488791</c:v>
                </c:pt>
                <c:pt idx="515">
                  <c:v>290.2140581545496</c:v>
                </c:pt>
                <c:pt idx="516">
                  <c:v>287.06689020917202</c:v>
                </c:pt>
                <c:pt idx="517">
                  <c:v>283.66637693601416</c:v>
                </c:pt>
                <c:pt idx="518">
                  <c:v>280.01232943218355</c:v>
                </c:pt>
                <c:pt idx="519">
                  <c:v>276.1059267046017</c:v>
                </c:pt>
                <c:pt idx="520">
                  <c:v>271.94980884209872</c:v>
                </c:pt>
                <c:pt idx="521">
                  <c:v>267.54815700170911</c:v>
                </c:pt>
                <c:pt idx="522">
                  <c:v>262.9067570256347</c:v>
                </c:pt>
                <c:pt idx="523">
                  <c:v>258.03304358485951</c:v>
                </c:pt>
                <c:pt idx="524">
                  <c:v>252.93612195498173</c:v>
                </c:pt>
                <c:pt idx="525">
                  <c:v>247.62676487932578</c:v>
                </c:pt>
                <c:pt idx="526">
                  <c:v>242.11738246691931</c:v>
                </c:pt>
                <c:pt idx="527">
                  <c:v>236.42196370339602</c:v>
                </c:pt>
                <c:pt idx="528">
                  <c:v>230.55598890707012</c:v>
                </c:pt>
                <c:pt idx="529">
                  <c:v>224.53631331654535</c:v>
                </c:pt>
                <c:pt idx="530">
                  <c:v>218.38102291737059</c:v>
                </c:pt>
                <c:pt idx="531">
                  <c:v>212.10926456270283</c:v>
                </c:pt>
                <c:pt idx="532">
                  <c:v>205.74105337027223</c:v>
                </c:pt>
                <c:pt idx="533">
                  <c:v>199.29706123599422</c:v>
                </c:pt>
                <c:pt idx="534">
                  <c:v>192.79839104489349</c:v>
                </c:pt>
                <c:pt idx="535">
                  <c:v>186.26634173859964</c:v>
                </c:pt>
                <c:pt idx="536">
                  <c:v>179.72216977962222</c:v>
                </c:pt>
                <c:pt idx="537">
                  <c:v>173.18685271117519</c:v>
                </c:pt>
                <c:pt idx="538">
                  <c:v>166.68086043619402</c:v>
                </c:pt>
                <c:pt idx="539">
                  <c:v>160.22393953364363</c:v>
                </c:pt>
                <c:pt idx="540">
                  <c:v>153.83491541192993</c:v>
                </c:pt>
                <c:pt idx="541">
                  <c:v>147.5315163988794</c:v>
                </c:pt>
                <c:pt idx="542">
                  <c:v>141.33022302646069</c:v>
                </c:pt>
                <c:pt idx="543">
                  <c:v>135.24614483436591</c:v>
                </c:pt>
                <c:pt idx="544">
                  <c:v>129.29292604113877</c:v>
                </c:pt>
                <c:pt idx="545">
                  <c:v>123.48268046540517</c:v>
                </c:pt>
                <c:pt idx="546">
                  <c:v>117.82595516932825</c:v>
                </c:pt>
                <c:pt idx="547">
                  <c:v>112.33172148085625</c:v>
                </c:pt>
                <c:pt idx="548">
                  <c:v>107.00739136058408</c:v>
                </c:pt>
                <c:pt idx="549">
                  <c:v>101.8588565327116</c:v>
                </c:pt>
                <c:pt idx="550">
                  <c:v>96.890547406809119</c:v>
                </c:pt>
                <c:pt idx="551">
                  <c:v>92.105508577351728</c:v>
                </c:pt>
                <c:pt idx="552">
                  <c:v>87.505487592384341</c:v>
                </c:pt>
                <c:pt idx="553">
                  <c:v>83.09103371584618</c:v>
                </c:pt>
                <c:pt idx="554">
                  <c:v>78.861603550125437</c:v>
                </c:pt>
                <c:pt idx="555">
                  <c:v>74.815670613925576</c:v>
                </c:pt>
                <c:pt idx="556">
                  <c:v>70.950836262400898</c:v>
                </c:pt>
                <c:pt idx="557">
                  <c:v>67.263939669474638</c:v>
                </c:pt>
                <c:pt idx="558">
                  <c:v>63.751164945983241</c:v>
                </c:pt>
                <c:pt idx="559">
                  <c:v>60.408143824259298</c:v>
                </c:pt>
                <c:pt idx="560">
                  <c:v>57.230052685634966</c:v>
                </c:pt>
                <c:pt idx="561">
                  <c:v>54.211703031111938</c:v>
                </c:pt>
                <c:pt idx="562">
                  <c:v>51.347624789311148</c:v>
                </c:pt>
                <c:pt idx="563">
                  <c:v>48.632142114919745</c:v>
                </c:pt>
                <c:pt idx="564">
                  <c:v>46.059441552852959</c:v>
                </c:pt>
                <c:pt idx="565">
                  <c:v>43.623632627971389</c:v>
                </c:pt>
                <c:pt idx="566">
                  <c:v>41.318801068769361</c:v>
                </c:pt>
                <c:pt idx="567">
                  <c:v>39.139054988468331</c:v>
                </c:pt>
                <c:pt idx="568">
                  <c:v>37.078564431668021</c:v>
                </c:pt>
                <c:pt idx="569">
                  <c:v>35.131594752814657</c:v>
                </c:pt>
                <c:pt idx="570">
                  <c:v>33.292534328088145</c:v>
                </c:pt>
                <c:pt idx="571">
                  <c:v>31.5559171186847</c:v>
                </c:pt>
                <c:pt idx="572">
                  <c:v>29.91644060447544</c:v>
                </c:pt>
                <c:pt idx="573">
                  <c:v>28.368979595949273</c:v>
                </c:pt>
                <c:pt idx="574">
                  <c:v>26.908596412133715</c:v>
                </c:pt>
                <c:pt idx="575">
                  <c:v>25.530547885376699</c:v>
                </c:pt>
                <c:pt idx="576">
                  <c:v>24.23028962262444</c:v>
                </c:pt>
                <c:pt idx="577">
                  <c:v>23.003477918931189</c:v>
                </c:pt>
                <c:pt idx="578">
                  <c:v>21.845969683830173</c:v>
                </c:pt>
                <c:pt idx="579">
                  <c:v>20.753820706016718</c:v>
                </c:pt>
                <c:pt idx="580">
                  <c:v>19.723282547411095</c:v>
                </c:pt>
                <c:pt idx="581">
                  <c:v>18.750798324717039</c:v>
                </c:pt>
                <c:pt idx="582">
                  <c:v>17.832997605516212</c:v>
                </c:pt>
                <c:pt idx="583">
                  <c:v>16.966690617025932</c:v>
                </c:pt>
                <c:pt idx="584">
                  <c:v>16.148861939057252</c:v>
                </c:pt>
                <c:pt idx="585">
                  <c:v>15.376663828504247</c:v>
                </c:pt>
                <c:pt idx="586">
                  <c:v>14.647409300858433</c:v>
                </c:pt>
                <c:pt idx="587">
                  <c:v>13.958565074704397</c:v>
                </c:pt>
                <c:pt idx="588">
                  <c:v>13.307744467803921</c:v>
                </c:pt>
                <c:pt idx="589">
                  <c:v>12.692700318079899</c:v>
                </c:pt>
                <c:pt idx="590">
                  <c:v>12.111317989416035</c:v>
                </c:pt>
                <c:pt idx="591">
                  <c:v>11.561608510533819</c:v>
                </c:pt>
                <c:pt idx="592">
                  <c:v>11.041701885133243</c:v>
                </c:pt>
                <c:pt idx="593">
                  <c:v>10.549840602829979</c:v>
                </c:pt>
                <c:pt idx="594">
                  <c:v>10.084373373037428</c:v>
                </c:pt>
                <c:pt idx="595">
                  <c:v>9.6437490976837452</c:v>
                </c:pt>
                <c:pt idx="596">
                  <c:v>9.2265110933886074</c:v>
                </c:pt>
                <c:pt idx="597">
                  <c:v>8.8312915693290659</c:v>
                </c:pt>
                <c:pt idx="598">
                  <c:v>8.456806363387015</c:v>
                </c:pt>
                <c:pt idx="599">
                  <c:v>8.1018499361912824</c:v>
                </c:pt>
                <c:pt idx="600">
                  <c:v>7.7652906202550103</c:v>
                </c:pt>
                <c:pt idx="601">
                  <c:v>7.4460661194829454</c:v>
                </c:pt>
                <c:pt idx="602">
                  <c:v>7.1431792528123896</c:v>
                </c:pt>
                <c:pt idx="603">
                  <c:v>6.8556939345929475</c:v>
                </c:pt>
                <c:pt idx="604">
                  <c:v>6.5827313834488796</c:v>
                </c:pt>
                <c:pt idx="605">
                  <c:v>6.3234665507558576</c:v>
                </c:pt>
                <c:pt idx="606">
                  <c:v>6.0771247594596174</c:v>
                </c:pt>
                <c:pt idx="607">
                  <c:v>5.8429785437314141</c:v>
                </c:pt>
                <c:pt idx="608">
                  <c:v>5.620344679863428</c:v>
                </c:pt>
                <c:pt idx="609">
                  <c:v>5.4085813988298064</c:v>
                </c:pt>
                <c:pt idx="610">
                  <c:v>5.2070857710532774</c:v>
                </c:pt>
                <c:pt idx="611">
                  <c:v>5.0152912541040413</c:v>
                </c:pt>
                <c:pt idx="612">
                  <c:v>4.8326653943007196</c:v>
                </c:pt>
                <c:pt idx="613">
                  <c:v>4.658707673468891</c:v>
                </c:pt>
                <c:pt idx="614">
                  <c:v>4.4929474924297317</c:v>
                </c:pt>
                <c:pt idx="615">
                  <c:v>4.3349422831300641</c:v>
                </c:pt>
                <c:pt idx="616">
                  <c:v>4.1842757416778209</c:v>
                </c:pt>
                <c:pt idx="617">
                  <c:v>4.0405561749071257</c:v>
                </c:pt>
                <c:pt idx="618">
                  <c:v>3.9034149534596922</c:v>
                </c:pt>
                <c:pt idx="619">
                  <c:v>3.772505064729784</c:v>
                </c:pt>
                <c:pt idx="620">
                  <c:v>3.6474997593752665</c:v>
                </c:pt>
                <c:pt idx="621">
                  <c:v>3.5280912854446633</c:v>
                </c:pt>
                <c:pt idx="622">
                  <c:v>3.4139897045076193</c:v>
                </c:pt>
                <c:pt idx="623">
                  <c:v>3.3049217845022798</c:v>
                </c:pt>
                <c:pt idx="624">
                  <c:v>3.2006299643267191</c:v>
                </c:pt>
                <c:pt idx="625">
                  <c:v>3.1008713855019945</c:v>
                </c:pt>
                <c:pt idx="626">
                  <c:v>3.0054169865212104</c:v>
                </c:pt>
                <c:pt idx="627">
                  <c:v>2.9140506557719559</c:v>
                </c:pt>
                <c:pt idx="628">
                  <c:v>2.8265684391786032</c:v>
                </c:pt>
                <c:pt idx="629">
                  <c:v>2.7427777989563613</c:v>
                </c:pt>
                <c:pt idx="630">
                  <c:v>2.6624969201009261</c:v>
                </c:pt>
                <c:pt idx="631">
                  <c:v>2.5855540614563881</c:v>
                </c:pt>
                <c:pt idx="632">
                  <c:v>2.5117869484101583</c:v>
                </c:pt>
                <c:pt idx="633">
                  <c:v>2.4410422044575499</c:v>
                </c:pt>
                <c:pt idx="634">
                  <c:v>2.3731748190607438</c:v>
                </c:pt>
                <c:pt idx="635">
                  <c:v>2.3080476493977531</c:v>
                </c:pt>
                <c:pt idx="636">
                  <c:v>2.2455309537571662</c:v>
                </c:pt>
                <c:pt idx="637">
                  <c:v>2.1855019544844692</c:v>
                </c:pt>
                <c:pt idx="638">
                  <c:v>2.1278444285261178</c:v>
                </c:pt>
                <c:pt idx="639">
                  <c:v>2.0724483237488003</c:v>
                </c:pt>
                <c:pt idx="640">
                  <c:v>2.0192093993340259</c:v>
                </c:pt>
                <c:pt idx="641">
                  <c:v>1.9680288886627422</c:v>
                </c:pt>
                <c:pt idx="642">
                  <c:v>1.9188131832116744</c:v>
                </c:pt>
                <c:pt idx="643">
                  <c:v>1.8714735360828965</c:v>
                </c:pt>
                <c:pt idx="644">
                  <c:v>1.8259257838812666</c:v>
                </c:pt>
                <c:pt idx="645">
                  <c:v>1.7820900857411908</c:v>
                </c:pt>
                <c:pt idx="646">
                  <c:v>1.7398906783851327</c:v>
                </c:pt>
                <c:pt idx="647">
                  <c:v>1.6992556461717312</c:v>
                </c:pt>
                <c:pt idx="648">
                  <c:v>1.6601167051616945</c:v>
                </c:pt>
                <c:pt idx="649">
                  <c:v>1.6224090002951381</c:v>
                </c:pt>
                <c:pt idx="650">
                  <c:v>1.5860709148350516</c:v>
                </c:pt>
                <c:pt idx="651">
                  <c:v>1.5510438912884106</c:v>
                </c:pt>
                <c:pt idx="652">
                  <c:v>1.5172722630693833</c:v>
                </c:pt>
                <c:pt idx="653">
                  <c:v>1.4847030962183776</c:v>
                </c:pt>
                <c:pt idx="654">
                  <c:v>1.4532860405365799</c:v>
                </c:pt>
                <c:pt idx="655">
                  <c:v>1.422973189538395</c:v>
                </c:pt>
                <c:pt idx="656">
                  <c:v>1.3937189486640047</c:v>
                </c:pt>
                <c:pt idx="657">
                  <c:v>1.3654799112313458</c:v>
                </c:pt>
                <c:pt idx="658">
                  <c:v>1.338214741641339</c:v>
                </c:pt>
                <c:pt idx="659">
                  <c:v>1.3118840653823634</c:v>
                </c:pt>
                <c:pt idx="660">
                  <c:v>1.2864503654099289</c:v>
                </c:pt>
                <c:pt idx="661">
                  <c:v>1.2618778845054088</c:v>
                </c:pt>
                <c:pt idx="662">
                  <c:v>1.2381325332436879</c:v>
                </c:pt>
                <c:pt idx="663">
                  <c:v>1.2151818032238095</c:v>
                </c:pt>
                <c:pt idx="664">
                  <c:v>1.1929946852392772</c:v>
                </c:pt>
                <c:pt idx="665">
                  <c:v>1.1715415920856966</c:v>
                </c:pt>
                <c:pt idx="666">
                  <c:v>1.1507942857230593</c:v>
                </c:pt>
                <c:pt idx="667">
                  <c:v>1.1307258085282399</c:v>
                </c:pt>
                <c:pt idx="668">
                  <c:v>1.1113104183903257</c:v>
                </c:pt>
                <c:pt idx="669">
                  <c:v>1.0925235274172869</c:v>
                </c:pt>
                <c:pt idx="670">
                  <c:v>1.0743416440373148</c:v>
                </c:pt>
                <c:pt idx="671">
                  <c:v>1.0567423182919888</c:v>
                </c:pt>
                <c:pt idx="672">
                  <c:v>1.0397040901313221</c:v>
                </c:pt>
                <c:pt idx="673">
                  <c:v>1.0232064405327832</c:v>
                </c:pt>
                <c:pt idx="674">
                  <c:v>1.0072297452776195</c:v>
                </c:pt>
                <c:pt idx="675">
                  <c:v>0.99175523122829934</c:v>
                </c:pt>
                <c:pt idx="676">
                  <c:v>0.97676493496068439</c:v>
                </c:pt>
                <c:pt idx="677">
                  <c:v>0.96224166361368557</c:v>
                </c:pt>
                <c:pt idx="678">
                  <c:v>0.94816895782770483</c:v>
                </c:pt>
                <c:pt idx="679">
                  <c:v>0.934531056651141</c:v>
                </c:pt>
                <c:pt idx="680">
                  <c:v>0.92131286430170312</c:v>
                </c:pt>
                <c:pt idx="681">
                  <c:v>0.90849991867624269</c:v>
                </c:pt>
                <c:pt idx="682">
                  <c:v>0.89607836150933629</c:v>
                </c:pt>
                <c:pt idx="683">
                  <c:v>0.88403491008694535</c:v>
                </c:pt>
                <c:pt idx="684">
                  <c:v>0.87235683042718137</c:v>
                </c:pt>
                <c:pt idx="685">
                  <c:v>0.86103191184553751</c:v>
                </c:pt>
                <c:pt idx="686">
                  <c:v>0.85004844282694036</c:v>
                </c:pt>
                <c:pt idx="687">
                  <c:v>0.83939518813164538</c:v>
                </c:pt>
                <c:pt idx="688">
                  <c:v>0.82906136706637323</c:v>
                </c:pt>
                <c:pt idx="689">
                  <c:v>0.81903663285618145</c:v>
                </c:pt>
                <c:pt idx="690">
                  <c:v>0.80931105305639828</c:v>
                </c:pt>
                <c:pt idx="691">
                  <c:v>0.79987509094754083</c:v>
                </c:pt>
                <c:pt idx="692">
                  <c:v>0.79071958785950769</c:v>
                </c:pt>
                <c:pt idx="693">
                  <c:v>0.78183574637448972</c:v>
                </c:pt>
                <c:pt idx="694">
                  <c:v>0.77321511436100376</c:v>
                </c:pt>
                <c:pt idx="695">
                  <c:v>0.76484956979422813</c:v>
                </c:pt>
                <c:pt idx="696">
                  <c:v>0.75673130632041907</c:v>
                </c:pt>
                <c:pt idx="697">
                  <c:v>0.74885281952563254</c:v>
                </c:pt>
                <c:pt idx="698">
                  <c:v>0.74120689387126348</c:v>
                </c:pt>
                <c:pt idx="699">
                  <c:v>0.73378659026106663</c:v>
                </c:pt>
                <c:pt idx="700">
                  <c:v>0.72658523420634158</c:v>
                </c:pt>
                <c:pt idx="701">
                  <c:v>0.71959640455786156</c:v>
                </c:pt>
                <c:pt idx="702">
                  <c:v>0.71281392277490385</c:v>
                </c:pt>
                <c:pt idx="703">
                  <c:v>0.7062318427034161</c:v>
                </c:pt>
                <c:pt idx="704">
                  <c:v>0.69984444083692254</c:v>
                </c:pt>
                <c:pt idx="705">
                  <c:v>0.69364620703525315</c:v>
                </c:pt>
                <c:pt idx="706">
                  <c:v>0.68763183567756792</c:v>
                </c:pt>
                <c:pt idx="707">
                  <c:v>0.68179621722745543</c:v>
                </c:pt>
                <c:pt idx="708">
                  <c:v>0.67613443018911379</c:v>
                </c:pt>
                <c:pt idx="709">
                  <c:v>0.6706417334347784</c:v>
                </c:pt>
                <c:pt idx="710">
                  <c:v>0.66531355888464916</c:v>
                </c:pt>
                <c:pt idx="711">
                  <c:v>0.66014550452159548</c:v>
                </c:pt>
                <c:pt idx="712">
                  <c:v>0.65513332772387911</c:v>
                </c:pt>
                <c:pt idx="713">
                  <c:v>0.65027293890004634</c:v>
                </c:pt>
                <c:pt idx="714">
                  <c:v>0.64556039541099486</c:v>
                </c:pt>
                <c:pt idx="715">
                  <c:v>0.64099189576502635</c:v>
                </c:pt>
                <c:pt idx="716">
                  <c:v>0.63656377407245757</c:v>
                </c:pt>
                <c:pt idx="717">
                  <c:v>0.63227249474707659</c:v>
                </c:pt>
                <c:pt idx="718">
                  <c:v>0.6281146474424073</c:v>
                </c:pt>
                <c:pt idx="719">
                  <c:v>0.62408694221138172</c:v>
                </c:pt>
                <c:pt idx="720">
                  <c:v>0.62018620487862064</c:v>
                </c:pt>
                <c:pt idx="721">
                  <c:v>0.61640937261508844</c:v>
                </c:pt>
                <c:pt idx="722">
                  <c:v>0.6127534897054242</c:v>
                </c:pt>
                <c:pt idx="723">
                  <c:v>0.60921570349875631</c:v>
                </c:pt>
                <c:pt idx="724">
                  <c:v>0.60579326053428117</c:v>
                </c:pt>
                <c:pt idx="725">
                  <c:v>0.60248350283334207</c:v>
                </c:pt>
                <c:pt idx="726">
                  <c:v>0.59928386435016312</c:v>
                </c:pt>
                <c:pt idx="727">
                  <c:v>0.59619186757379994</c:v>
                </c:pt>
                <c:pt idx="728">
                  <c:v>0.59320512027424599</c:v>
                </c:pt>
                <c:pt idx="729">
                  <c:v>0.59032131238599173</c:v>
                </c:pt>
                <c:pt idx="730">
                  <c:v>0.58753821302267428</c:v>
                </c:pt>
                <c:pt idx="731">
                  <c:v>0.58485366761677471</c:v>
                </c:pt>
                <c:pt idx="732">
                  <c:v>0.58226559517862431</c:v>
                </c:pt>
                <c:pt idx="733">
                  <c:v>0.57977198566926791</c:v>
                </c:pt>
                <c:pt idx="734">
                  <c:v>0.57737089748200321</c:v>
                </c:pt>
                <c:pt idx="735">
                  <c:v>0.57506045502767245</c:v>
                </c:pt>
                <c:pt idx="736">
                  <c:v>0.57283884641902649</c:v>
                </c:pt>
                <c:pt idx="737">
                  <c:v>0.57070432124971104</c:v>
                </c:pt>
                <c:pt idx="738">
                  <c:v>0.56865518846364216</c:v>
                </c:pt>
                <c:pt idx="739">
                  <c:v>0.56668981431074694</c:v>
                </c:pt>
                <c:pt idx="740">
                  <c:v>0.56480662038523877</c:v>
                </c:pt>
                <c:pt idx="741">
                  <c:v>0.56300408174278327</c:v>
                </c:pt>
                <c:pt idx="742">
                  <c:v>0.56128072509308624</c:v>
                </c:pt>
                <c:pt idx="743">
                  <c:v>0.55963512706460228</c:v>
                </c:pt>
                <c:pt idx="744">
                  <c:v>0.55806591253822002</c:v>
                </c:pt>
                <c:pt idx="745">
                  <c:v>0.55657175304693018</c:v>
                </c:pt>
                <c:pt idx="746">
                  <c:v>0.55515136523862507</c:v>
                </c:pt>
                <c:pt idx="747">
                  <c:v>0.55380350939931244</c:v>
                </c:pt>
                <c:pt idx="748">
                  <c:v>0.5525269880341549</c:v>
                </c:pt>
                <c:pt idx="749">
                  <c:v>0.5513206445038682</c:v>
                </c:pt>
                <c:pt idx="750">
                  <c:v>0.55018336171412596</c:v>
                </c:pt>
                <c:pt idx="751">
                  <c:v>0.549114060855729</c:v>
                </c:pt>
                <c:pt idx="752">
                  <c:v>0.54811170019340061</c:v>
                </c:pt>
                <c:pt idx="753">
                  <c:v>0.54717527390116838</c:v>
                </c:pt>
                <c:pt idx="754">
                  <c:v>0.54630381094238734</c:v>
                </c:pt>
                <c:pt idx="755">
                  <c:v>0.54549637399254802</c:v>
                </c:pt>
                <c:pt idx="756">
                  <c:v>0.54475205840309737</c:v>
                </c:pt>
                <c:pt idx="757">
                  <c:v>0.54406999120458299</c:v>
                </c:pt>
                <c:pt idx="758">
                  <c:v>0.54344933014750474</c:v>
                </c:pt>
                <c:pt idx="759">
                  <c:v>0.54288926277933436</c:v>
                </c:pt>
                <c:pt idx="760">
                  <c:v>0.54238900555622949</c:v>
                </c:pt>
                <c:pt idx="761">
                  <c:v>0.5419478029880378</c:v>
                </c:pt>
                <c:pt idx="762">
                  <c:v>0.54156492681524659</c:v>
                </c:pt>
                <c:pt idx="763">
                  <c:v>0.54123967521659566</c:v>
                </c:pt>
                <c:pt idx="764">
                  <c:v>0.54097137204612677</c:v>
                </c:pt>
                <c:pt idx="765">
                  <c:v>0.54075936609849695</c:v>
                </c:pt>
                <c:pt idx="766">
                  <c:v>0.54060303040143565</c:v>
                </c:pt>
                <c:pt idx="767">
                  <c:v>0.54050176153427365</c:v>
                </c:pt>
                <c:pt idx="768">
                  <c:v>0.54045497897151973</c:v>
                </c:pt>
                <c:pt idx="769">
                  <c:v>0.54046212445050379</c:v>
                </c:pt>
                <c:pt idx="770">
                  <c:v>0.54052266136215033</c:v>
                </c:pt>
                <c:pt idx="771">
                  <c:v>0.54063607416398363</c:v>
                </c:pt>
                <c:pt idx="772">
                  <c:v>0.54080186781450745</c:v>
                </c:pt>
                <c:pt idx="773">
                  <c:v>0.54101956722813671</c:v>
                </c:pt>
                <c:pt idx="774">
                  <c:v>0.54128871674989532</c:v>
                </c:pt>
                <c:pt idx="775">
                  <c:v>0.54160887964912618</c:v>
                </c:pt>
                <c:pt idx="776">
                  <c:v>0.54197963763149315</c:v>
                </c:pt>
                <c:pt idx="777">
                  <c:v>0.54240059036858446</c:v>
                </c:pt>
                <c:pt idx="778">
                  <c:v>0.54287135504445505</c:v>
                </c:pt>
                <c:pt idx="779">
                  <c:v>0.54339156591847504</c:v>
                </c:pt>
                <c:pt idx="780">
                  <c:v>0.54396087390387726</c:v>
                </c:pt>
                <c:pt idx="781">
                  <c:v>0.54457894616142088</c:v>
                </c:pt>
                <c:pt idx="782">
                  <c:v>0.54524546570761478</c:v>
                </c:pt>
                <c:pt idx="783">
                  <c:v>0.5459601310369655</c:v>
                </c:pt>
                <c:pt idx="784">
                  <c:v>0.54672265575773649</c:v>
                </c:pt>
                <c:pt idx="785">
                  <c:v>0.54753276824072872</c:v>
                </c:pt>
                <c:pt idx="786">
                  <c:v>0.54839021128061005</c:v>
                </c:pt>
                <c:pt idx="787">
                  <c:v>0.54929474176934201</c:v>
                </c:pt>
                <c:pt idx="788">
                  <c:v>0.55024613038127002</c:v>
                </c:pt>
                <c:pt idx="789">
                  <c:v>0.55124416126946163</c:v>
                </c:pt>
                <c:pt idx="790">
                  <c:v>0.55228863177289222</c:v>
                </c:pt>
                <c:pt idx="791">
                  <c:v>0.55337935213409672</c:v>
                </c:pt>
                <c:pt idx="792">
                  <c:v>0.55451614522691861</c:v>
                </c:pt>
                <c:pt idx="793">
                  <c:v>0.5556988462940029</c:v>
                </c:pt>
                <c:pt idx="794">
                  <c:v>0.5569273026936955</c:v>
                </c:pt>
                <c:pt idx="795">
                  <c:v>0.55820137365602251</c:v>
                </c:pt>
                <c:pt idx="796">
                  <c:v>0.5595209300474373</c:v>
                </c:pt>
                <c:pt idx="797">
                  <c:v>0.56088585414403491</c:v>
                </c:pt>
                <c:pt idx="798">
                  <c:v>0.56229603941294604</c:v>
                </c:pt>
                <c:pt idx="799">
                  <c:v>0.56375139030163401</c:v>
                </c:pt>
                <c:pt idx="800">
                  <c:v>0.56525182203482671</c:v>
                </c:pt>
                <c:pt idx="801">
                  <c:v>0.56679726041883038</c:v>
                </c:pt>
                <c:pt idx="802">
                  <c:v>0.56838764165297784</c:v>
                </c:pt>
                <c:pt idx="803">
                  <c:v>0.5700229121479754</c:v>
                </c:pt>
                <c:pt idx="804">
                  <c:v>0.57170302835092124</c:v>
                </c:pt>
                <c:pt idx="805">
                  <c:v>0.57342795657677759</c:v>
                </c:pt>
                <c:pt idx="806">
                  <c:v>0.57519767284608669</c:v>
                </c:pt>
                <c:pt idx="807">
                  <c:v>0.57701216272872802</c:v>
                </c:pt>
                <c:pt idx="808">
                  <c:v>0.57887142119352353</c:v>
                </c:pt>
                <c:pt idx="809">
                  <c:v>0.58077545246350426</c:v>
                </c:pt>
                <c:pt idx="810">
                  <c:v>0.58272426987665826</c:v>
                </c:pt>
                <c:pt idx="811">
                  <c:v>0.58471789575198785</c:v>
                </c:pt>
                <c:pt idx="812">
                  <c:v>0.58675636126070929</c:v>
                </c:pt>
                <c:pt idx="813">
                  <c:v>0.58883970630243576</c:v>
                </c:pt>
                <c:pt idx="814">
                  <c:v>0.5909679793861895</c:v>
                </c:pt>
                <c:pt idx="815">
                  <c:v>0.5931412375160946</c:v>
                </c:pt>
                <c:pt idx="816">
                  <c:v>0.59535954608160913</c:v>
                </c:pt>
                <c:pt idx="817">
                  <c:v>0.59762297875215875</c:v>
                </c:pt>
                <c:pt idx="818">
                  <c:v>0.59993161737603962</c:v>
                </c:pt>
                <c:pt idx="819">
                  <c:v>0.60228555188346389</c:v>
                </c:pt>
                <c:pt idx="820">
                  <c:v>0.60468488019362576</c:v>
                </c:pt>
                <c:pt idx="821">
                  <c:v>0.60712970812566946</c:v>
                </c:pt>
                <c:pt idx="822">
                  <c:v>0.60962014931344699</c:v>
                </c:pt>
                <c:pt idx="823">
                  <c:v>0.6121563251239549</c:v>
                </c:pt>
                <c:pt idx="824">
                  <c:v>0.61473836457934639</c:v>
                </c:pt>
                <c:pt idx="825">
                  <c:v>0.61736640428241663</c:v>
                </c:pt>
                <c:pt idx="826">
                  <c:v>0.62004058834546372</c:v>
                </c:pt>
                <c:pt idx="827">
                  <c:v>0.62276106832243228</c:v>
                </c:pt>
                <c:pt idx="828">
                  <c:v>0.62552800314424772</c:v>
                </c:pt>
                <c:pt idx="829">
                  <c:v>0.62834155905725497</c:v>
                </c:pt>
                <c:pt idx="830">
                  <c:v>0.63120190956467814</c:v>
                </c:pt>
                <c:pt idx="831">
                  <c:v>0.63410923537101882</c:v>
                </c:pt>
                <c:pt idx="832">
                  <c:v>0.63706372432931591</c:v>
                </c:pt>
                <c:pt idx="833">
                  <c:v>0.64006557139119302</c:v>
                </c:pt>
                <c:pt idx="834">
                  <c:v>0.6431149785596183</c:v>
                </c:pt>
                <c:pt idx="835">
                  <c:v>0.64621215484430972</c:v>
                </c:pt>
                <c:pt idx="836">
                  <c:v>0.6493573162197176</c:v>
                </c:pt>
                <c:pt idx="837">
                  <c:v>0.65255068558551899</c:v>
                </c:pt>
                <c:pt idx="838">
                  <c:v>0.65579249272956319</c:v>
                </c:pt>
                <c:pt idx="839">
                  <c:v>0.65908297429320695</c:v>
                </c:pt>
                <c:pt idx="840">
                  <c:v>0.66242237373898194</c:v>
                </c:pt>
                <c:pt idx="841">
                  <c:v>0.66581094132053931</c:v>
                </c:pt>
                <c:pt idx="842">
                  <c:v>0.66924893405481645</c:v>
                </c:pt>
                <c:pt idx="843">
                  <c:v>0.67273661569637544</c:v>
                </c:pt>
                <c:pt idx="844">
                  <c:v>0.67627425671386254</c:v>
                </c:pt>
                <c:pt idx="845">
                  <c:v>0.67986213426854103</c:v>
                </c:pt>
                <c:pt idx="846">
                  <c:v>0.6835005321948513</c:v>
                </c:pt>
                <c:pt idx="847">
                  <c:v>0.68718974098295271</c:v>
                </c:pt>
                <c:pt idx="848">
                  <c:v>0.69093005776320604</c:v>
                </c:pt>
                <c:pt idx="849">
                  <c:v>0.6947217862925531</c:v>
                </c:pt>
                <c:pt idx="850">
                  <c:v>0.69856523694275552</c:v>
                </c:pt>
                <c:pt idx="851">
                  <c:v>0.7024607266904529</c:v>
                </c:pt>
                <c:pt idx="852">
                  <c:v>0.70640857910900523</c:v>
                </c:pt>
                <c:pt idx="853">
                  <c:v>0.71040912436208203</c:v>
                </c:pt>
                <c:pt idx="854">
                  <c:v>0.71446269919896488</c:v>
                </c:pt>
                <c:pt idx="855">
                  <c:v>0.71856964695153092</c:v>
                </c:pt>
                <c:pt idx="856">
                  <c:v>0.72273031753288552</c:v>
                </c:pt>
                <c:pt idx="857">
                  <c:v>0.726945067437612</c:v>
                </c:pt>
                <c:pt idx="858">
                  <c:v>0.73121425974361198</c:v>
                </c:pt>
                <c:pt idx="859">
                  <c:v>0.7355382641155056</c:v>
                </c:pt>
                <c:pt idx="860">
                  <c:v>0.73991745680956555</c:v>
                </c:pt>
                <c:pt idx="861">
                  <c:v>0.74435222068015894</c:v>
                </c:pt>
                <c:pt idx="862">
                  <c:v>0.74884294518767158</c:v>
                </c:pt>
                <c:pt idx="863">
                  <c:v>0.75339002640789121</c:v>
                </c:pt>
                <c:pt idx="864">
                  <c:v>0.75799386704282501</c:v>
                </c:pt>
                <c:pt idx="865">
                  <c:v>0.76265487643293206</c:v>
                </c:pt>
                <c:pt idx="866">
                  <c:v>0.76737347057074567</c:v>
                </c:pt>
                <c:pt idx="867">
                  <c:v>0.77215007211586817</c:v>
                </c:pt>
                <c:pt idx="868">
                  <c:v>0.77698511041131746</c:v>
                </c:pt>
                <c:pt idx="869">
                  <c:v>0.7818790215012057</c:v>
                </c:pt>
                <c:pt idx="870">
                  <c:v>0.78683224814973363</c:v>
                </c:pt>
                <c:pt idx="871">
                  <c:v>0.79184523986148236</c:v>
                </c:pt>
                <c:pt idx="872">
                  <c:v>0.79691845290298524</c:v>
                </c:pt>
                <c:pt idx="873">
                  <c:v>0.80205235032556588</c:v>
                </c:pt>
                <c:pt idx="874">
                  <c:v>0.80724740198942613</c:v>
                </c:pt>
                <c:pt idx="875">
                  <c:v>0.81250408458896861</c:v>
                </c:pt>
                <c:pt idx="876">
                  <c:v>0.81782288167934203</c:v>
                </c:pt>
                <c:pt idx="877">
                  <c:v>0.8232042837041943</c:v>
                </c:pt>
                <c:pt idx="878">
                  <c:v>0.82864878802462127</c:v>
                </c:pt>
                <c:pt idx="879">
                  <c:v>0.83415689894930023</c:v>
                </c:pt>
                <c:pt idx="880">
                  <c:v>0.83972912776579511</c:v>
                </c:pt>
                <c:pt idx="881">
                  <c:v>0.84536599277302338</c:v>
                </c:pt>
                <c:pt idx="882">
                  <c:v>0.85106801931487397</c:v>
                </c:pt>
                <c:pt idx="883">
                  <c:v>0.85683573981496719</c:v>
                </c:pt>
                <c:pt idx="884">
                  <c:v>0.86266969381254599</c:v>
                </c:pt>
                <c:pt idx="885">
                  <c:v>0.86857042799949169</c:v>
                </c:pt>
                <c:pt idx="886">
                  <c:v>0.87453849625845359</c:v>
                </c:pt>
                <c:pt idx="887">
                  <c:v>0.88057445970208614</c:v>
                </c:pt>
                <c:pt idx="888">
                  <c:v>0.88667888671338646</c:v>
                </c:pt>
                <c:pt idx="889">
                  <c:v>0.89285235298712429</c:v>
                </c:pt>
                <c:pt idx="890">
                  <c:v>0.89909544157235854</c:v>
                </c:pt>
                <c:pt idx="891">
                  <c:v>0.90540874291603468</c:v>
                </c:pt>
                <c:pt idx="892">
                  <c:v>0.9117928549076556</c:v>
                </c:pt>
                <c:pt idx="893">
                  <c:v>0.91824838292502331</c:v>
                </c:pt>
                <c:pt idx="894">
                  <c:v>0.92477593988104467</c:v>
                </c:pt>
                <c:pt idx="895">
                  <c:v>0.93137614627159715</c:v>
                </c:pt>
                <c:pt idx="896">
                  <c:v>0.93804963022445098</c:v>
                </c:pt>
                <c:pt idx="897">
                  <c:v>0.94479702754924333</c:v>
                </c:pt>
                <c:pt idx="898">
                  <c:v>0.95161898178850213</c:v>
                </c:pt>
                <c:pt idx="899">
                  <c:v>0.95851614426971454</c:v>
                </c:pt>
                <c:pt idx="900">
                  <c:v>0.96548917415843949</c:v>
                </c:pt>
                <c:pt idx="901">
                  <c:v>0.97253873851246153</c:v>
                </c:pt>
                <c:pt idx="902">
                  <c:v>0.97966551233698218</c:v>
                </c:pt>
                <c:pt idx="903">
                  <c:v>0.98687017864084969</c:v>
                </c:pt>
                <c:pt idx="904">
                  <c:v>0.99415342849382338</c:v>
                </c:pt>
                <c:pt idx="905">
                  <c:v>1.0015159610848736</c:v>
                </c:pt>
                <c:pt idx="906">
                  <c:v>1.0089584837815144</c:v>
                </c:pt>
                <c:pt idx="907">
                  <c:v>1.0164817121901699</c:v>
                </c:pt>
                <c:pt idx="908">
                  <c:v>1.0240863702175744</c:v>
                </c:pt>
                <c:pt idx="909">
                  <c:v>1.0317731901332039</c:v>
                </c:pt>
                <c:pt idx="910">
                  <c:v>1.0395429126327422</c:v>
                </c:pt>
                <c:pt idx="911">
                  <c:v>1.0473962869025808</c:v>
                </c:pt>
                <c:pt idx="912">
                  <c:v>1.0553340706853525</c:v>
                </c:pt>
                <c:pt idx="913">
                  <c:v>1.0633570303465025</c:v>
                </c:pt>
                <c:pt idx="914">
                  <c:v>1.0714659409418954</c:v>
                </c:pt>
                <c:pt idx="915">
                  <c:v>1.0796615862864611</c:v>
                </c:pt>
                <c:pt idx="916">
                  <c:v>1.0879447590238822</c:v>
                </c:pt>
                <c:pt idx="917">
                  <c:v>1.0963162606973236</c:v>
                </c:pt>
                <c:pt idx="918">
                  <c:v>1.1047769018212059</c:v>
                </c:pt>
                <c:pt idx="919">
                  <c:v>1.1133275019540292</c:v>
                </c:pt>
                <c:pt idx="920">
                  <c:v>1.1219688897722442</c:v>
                </c:pt>
                <c:pt idx="921">
                  <c:v>1.1307019031451788</c:v>
                </c:pt>
                <c:pt idx="922">
                  <c:v>1.1395273892110203</c:v>
                </c:pt>
                <c:pt idx="923">
                  <c:v>1.1484462044538577</c:v>
                </c:pt>
                <c:pt idx="924">
                  <c:v>1.1574592147817881</c:v>
                </c:pt>
                <c:pt idx="925">
                  <c:v>1.1665672956060902</c:v>
                </c:pt>
                <c:pt idx="926">
                  <c:v>1.1757713319214693</c:v>
                </c:pt>
                <c:pt idx="927">
                  <c:v>1.1850722183873785</c:v>
                </c:pt>
                <c:pt idx="928">
                  <c:v>1.1944708594104205</c:v>
                </c:pt>
                <c:pt idx="929">
                  <c:v>1.2039681692278337</c:v>
                </c:pt>
                <c:pt idx="930">
                  <c:v>1.2135650719920688</c:v>
                </c:pt>
                <c:pt idx="931">
                  <c:v>1.2232625018564609</c:v>
                </c:pt>
                <c:pt idx="932">
                  <c:v>1.2330614030620004</c:v>
                </c:pt>
                <c:pt idx="933">
                  <c:v>1.2429627300252108</c:v>
                </c:pt>
                <c:pt idx="934">
                  <c:v>1.2529674474271388</c:v>
                </c:pt>
                <c:pt idx="935">
                  <c:v>1.2630765303034588</c:v>
                </c:pt>
                <c:pt idx="936">
                  <c:v>1.2732909641357035</c:v>
                </c:pt>
                <c:pt idx="937">
                  <c:v>1.2836117449436231</c:v>
                </c:pt>
                <c:pt idx="938">
                  <c:v>1.2940398793786794</c:v>
                </c:pt>
                <c:pt idx="939">
                  <c:v>1.3045763848186844</c:v>
                </c:pt>
                <c:pt idx="940">
                  <c:v>1.3152222894635863</c:v>
                </c:pt>
                <c:pt idx="941">
                  <c:v>1.3259786324324125</c:v>
                </c:pt>
                <c:pt idx="942">
                  <c:v>1.3368464638613762</c:v>
                </c:pt>
                <c:pt idx="943">
                  <c:v>1.347826845003153</c:v>
                </c:pt>
                <c:pt idx="944">
                  <c:v>1.3589208483273361</c:v>
                </c:pt>
                <c:pt idx="945">
                  <c:v>1.3701295576220764</c:v>
                </c:pt>
                <c:pt idx="946">
                  <c:v>1.3814540680969176</c:v>
                </c:pt>
                <c:pt idx="947">
                  <c:v>1.3928954864868313</c:v>
                </c:pt>
                <c:pt idx="948">
                  <c:v>1.4044549311574626</c:v>
                </c:pt>
                <c:pt idx="949">
                  <c:v>1.416133532211594</c:v>
                </c:pt>
                <c:pt idx="950">
                  <c:v>1.4279324315968343</c:v>
                </c:pt>
                <c:pt idx="951">
                  <c:v>1.4398527832145454</c:v>
                </c:pt>
                <c:pt idx="952">
                  <c:v>1.4518957530300103</c:v>
                </c:pt>
                <c:pt idx="953">
                  <c:v>1.4640625191838561</c:v>
                </c:pt>
                <c:pt idx="954">
                  <c:v>1.4763542721047385</c:v>
                </c:pt>
                <c:pt idx="955">
                  <c:v>1.4887722146232973</c:v>
                </c:pt>
                <c:pt idx="956">
                  <c:v>1.5013175620873953</c:v>
                </c:pt>
                <c:pt idx="957">
                  <c:v>1.5139915424786443</c:v>
                </c:pt>
                <c:pt idx="958">
                  <c:v>1.5267953965302348</c:v>
                </c:pt>
                <c:pt idx="959">
                  <c:v>1.5397303778460751</c:v>
                </c:pt>
                <c:pt idx="960">
                  <c:v>1.5527977530212516</c:v>
                </c:pt>
                <c:pt idx="961">
                  <c:v>1.5659988017638198</c:v>
                </c:pt>
                <c:pt idx="962">
                  <c:v>1.5793348170179371</c:v>
                </c:pt>
                <c:pt idx="963">
                  <c:v>1.5928071050883488</c:v>
                </c:pt>
                <c:pt idx="964">
                  <c:v>1.6064169857662354</c:v>
                </c:pt>
                <c:pt idx="965">
                  <c:v>1.6201657924564359</c:v>
                </c:pt>
                <c:pt idx="966">
                  <c:v>1.6340548723060557</c:v>
                </c:pt>
                <c:pt idx="967">
                  <c:v>1.6480855863344717</c:v>
                </c:pt>
                <c:pt idx="968">
                  <c:v>1.6622593095647444</c:v>
                </c:pt>
                <c:pt idx="969">
                  <c:v>1.6765774311564521</c:v>
                </c:pt>
                <c:pt idx="970">
                  <c:v>1.6910413545399536</c:v>
                </c:pt>
                <c:pt idx="971">
                  <c:v>1.7056524975520986</c:v>
                </c:pt>
                <c:pt idx="972">
                  <c:v>1.7204122925733907</c:v>
                </c:pt>
                <c:pt idx="973">
                  <c:v>1.7353221866666202</c:v>
                </c:pt>
                <c:pt idx="974">
                  <c:v>1.7503836417169782</c:v>
                </c:pt>
                <c:pt idx="975">
                  <c:v>1.7655981345736624</c:v>
                </c:pt>
                <c:pt idx="976">
                  <c:v>1.7809671571929913</c:v>
                </c:pt>
                <c:pt idx="977">
                  <c:v>1.7964922167830362</c:v>
                </c:pt>
                <c:pt idx="978">
                  <c:v>1.812174835949786</c:v>
                </c:pt>
                <c:pt idx="979">
                  <c:v>1.8280165528448598</c:v>
                </c:pt>
                <c:pt idx="980">
                  <c:v>1.844018921314776</c:v>
                </c:pt>
                <c:pt idx="981">
                  <c:v>1.8601835110517966</c:v>
                </c:pt>
                <c:pt idx="982">
                  <c:v>1.8765119077463577</c:v>
                </c:pt>
                <c:pt idx="983">
                  <c:v>1.8930057132411029</c:v>
                </c:pt>
                <c:pt idx="984">
                  <c:v>1.9096665456865285</c:v>
                </c:pt>
                <c:pt idx="985">
                  <c:v>1.9264960396982627</c:v>
                </c:pt>
                <c:pt idx="986">
                  <c:v>1.9434958465159853</c:v>
                </c:pt>
                <c:pt idx="987">
                  <c:v>1.9606676341640104</c:v>
                </c:pt>
                <c:pt idx="988">
                  <c:v>1.9780130876135393</c:v>
                </c:pt>
                <c:pt idx="989">
                  <c:v>1.9955339089466062</c:v>
                </c:pt>
                <c:pt idx="990">
                  <c:v>2.0132318175217252</c:v>
                </c:pt>
                <c:pt idx="991">
                  <c:v>2.0311085501412607</c:v>
                </c:pt>
                <c:pt idx="992">
                  <c:v>2.0491658612205303</c:v>
                </c:pt>
                <c:pt idx="993">
                  <c:v>2.0674055229586616</c:v>
                </c:pt>
                <c:pt idx="994">
                  <c:v>2.0858293255112144</c:v>
                </c:pt>
                <c:pt idx="995">
                  <c:v>2.1044390771645896</c:v>
                </c:pt>
                <c:pt idx="996">
                  <c:v>2.1232366045122357</c:v>
                </c:pt>
                <c:pt idx="997">
                  <c:v>2.1422237526326731</c:v>
                </c:pt>
                <c:pt idx="998">
                  <c:v>2.1614023852693531</c:v>
                </c:pt>
                <c:pt idx="999">
                  <c:v>2.1807743850123655</c:v>
                </c:pt>
                <c:pt idx="1000">
                  <c:v>2.2003416534820155</c:v>
                </c:pt>
                <c:pt idx="1001">
                  <c:v>2.2201061115142857</c:v>
                </c:pt>
                <c:pt idx="1002">
                  <c:v>2.240069699348199</c:v>
                </c:pt>
                <c:pt idx="1003">
                  <c:v>2.260234376815105</c:v>
                </c:pt>
                <c:pt idx="1004">
                  <c:v>2.2806021235299028</c:v>
                </c:pt>
                <c:pt idx="1005">
                  <c:v>2.3011749390842198</c:v>
                </c:pt>
                <c:pt idx="1006">
                  <c:v>2.3219548432415675</c:v>
                </c:pt>
                <c:pt idx="1007">
                  <c:v>2.3429438761344898</c:v>
                </c:pt>
                <c:pt idx="1008">
                  <c:v>2.364144098463723</c:v>
                </c:pt>
                <c:pt idx="1009">
                  <c:v>2.3855575916993881</c:v>
                </c:pt>
                <c:pt idx="1010">
                  <c:v>2.4071864582842322</c:v>
                </c:pt>
                <c:pt idx="1011">
                  <c:v>2.4290328218389412</c:v>
                </c:pt>
                <c:pt idx="1012">
                  <c:v>2.4510988273695413</c:v>
                </c:pt>
                <c:pt idx="1013">
                  <c:v>2.4733866414769081</c:v>
                </c:pt>
                <c:pt idx="1014">
                  <c:v>2.4958984525684071</c:v>
                </c:pt>
                <c:pt idx="1015">
                  <c:v>2.5186364710716838</c:v>
                </c:pt>
                <c:pt idx="1016">
                  <c:v>2.5416029296506211</c:v>
                </c:pt>
                <c:pt idx="1017">
                  <c:v>2.564800083423489</c:v>
                </c:pt>
                <c:pt idx="1018">
                  <c:v>2.5882302101833048</c:v>
                </c:pt>
                <c:pt idx="1019">
                  <c:v>2.6118956106204276</c:v>
                </c:pt>
                <c:pt idx="1020">
                  <c:v>2.6357986085474043</c:v>
                </c:pt>
                <c:pt idx="1021">
                  <c:v>2.6599415511260918</c:v>
                </c:pt>
                <c:pt idx="1022">
                  <c:v>2.6843268090970773</c:v>
                </c:pt>
                <c:pt idx="1023">
                  <c:v>2.7089567770114162</c:v>
                </c:pt>
                <c:pt idx="1024">
                  <c:v>2.733833873464711</c:v>
                </c:pt>
                <c:pt idx="1025">
                  <c:v>2.7589605413335567</c:v>
                </c:pt>
                <c:pt idx="1026">
                  <c:v>2.7843392480143696</c:v>
                </c:pt>
                <c:pt idx="1027">
                  <c:v>2.8099724856646278</c:v>
                </c:pt>
                <c:pt idx="1028">
                  <c:v>2.8358627714465419</c:v>
                </c:pt>
                <c:pt idx="1029">
                  <c:v>2.862012647773184</c:v>
                </c:pt>
                <c:pt idx="1030">
                  <c:v>2.8884246825570949</c:v>
                </c:pt>
                <c:pt idx="1031">
                  <c:v>2.9151014694613968</c:v>
                </c:pt>
                <c:pt idx="1032">
                  <c:v>2.9420456281534291</c:v>
                </c:pt>
                <c:pt idx="1033">
                  <c:v>2.9692598045609424</c:v>
                </c:pt>
                <c:pt idx="1034">
                  <c:v>2.9967466711308641</c:v>
                </c:pt>
                <c:pt idx="1035">
                  <c:v>3.0245089270906687</c:v>
                </c:pt>
                <c:pt idx="1036">
                  <c:v>3.0525492987123726</c:v>
                </c:pt>
                <c:pt idx="1037">
                  <c:v>3.0808705395791844</c:v>
                </c:pt>
                <c:pt idx="1038">
                  <c:v>3.109475430854828</c:v>
                </c:pt>
                <c:pt idx="1039">
                  <c:v>3.1383667815555727</c:v>
                </c:pt>
                <c:pt idx="1040">
                  <c:v>3.1675474288249927</c:v>
                </c:pt>
                <c:pt idx="1041">
                  <c:v>3.1970202382114841</c:v>
                </c:pt>
                <c:pt idx="1042">
                  <c:v>3.2267881039485626</c:v>
                </c:pt>
                <c:pt idx="1043">
                  <c:v>3.2568539492379704</c:v>
                </c:pt>
                <c:pt idx="1044">
                  <c:v>3.2872207265356255</c:v>
                </c:pt>
                <c:pt idx="1045">
                  <c:v>3.3178914178404306</c:v>
                </c:pt>
                <c:pt idx="1046">
                  <c:v>3.3488690349859764</c:v>
                </c:pt>
                <c:pt idx="1047">
                  <c:v>3.3801566199351667</c:v>
                </c:pt>
                <c:pt idx="1048">
                  <c:v>3.4117572450777902</c:v>
                </c:pt>
                <c:pt idx="1049">
                  <c:v>3.4436740135310733</c:v>
                </c:pt>
                <c:pt idx="1050">
                  <c:v>3.4759100594432364</c:v>
                </c:pt>
                <c:pt idx="1051">
                  <c:v>3.5084685483000877</c:v>
                </c:pt>
                <c:pt idx="1052">
                  <c:v>3.5413526772346837</c:v>
                </c:pt>
                <c:pt idx="1053">
                  <c:v>3.5745656753400814</c:v>
                </c:pt>
                <c:pt idx="1054">
                  <c:v>3.6081108039852179</c:v>
                </c:pt>
                <c:pt idx="1055">
                  <c:v>3.6419913571339486</c:v>
                </c:pt>
                <c:pt idx="1056">
                  <c:v>3.676210661667267</c:v>
                </c:pt>
                <c:pt idx="1057">
                  <c:v>3.7107720777087443</c:v>
                </c:pt>
                <c:pt idx="1058">
                  <c:v>3.7456789989532191</c:v>
                </c:pt>
                <c:pt idx="1059">
                  <c:v>3.7809348529987656</c:v>
                </c:pt>
                <c:pt idx="1060">
                  <c:v>3.8165431016819751</c:v>
                </c:pt>
                <c:pt idx="1061">
                  <c:v>3.8525072414165833</c:v>
                </c:pt>
                <c:pt idx="1062">
                  <c:v>3.8888308035354728</c:v>
                </c:pt>
                <c:pt idx="1063">
                  <c:v>3.9255173546360878</c:v>
                </c:pt>
                <c:pt idx="1064">
                  <c:v>3.9625704969292914</c:v>
                </c:pt>
                <c:pt idx="1065">
                  <c:v>3.9999938685917016</c:v>
                </c:pt>
                <c:pt idx="1066">
                  <c:v>4.0377911441215337</c:v>
                </c:pt>
                <c:pt idx="1067">
                  <c:v>4.0759660346979958</c:v>
                </c:pt>
                <c:pt idx="1068">
                  <c:v>4.1145222885442561</c:v>
                </c:pt>
                <c:pt idx="1069">
                  <c:v>4.1534636912940313</c:v>
                </c:pt>
                <c:pt idx="1070">
                  <c:v>4.1927940663618193</c:v>
                </c:pt>
                <c:pt idx="1071">
                  <c:v>4.2325172753168223</c:v>
                </c:pt>
                <c:pt idx="1072">
                  <c:v>4.2726372182605896</c:v>
                </c:pt>
                <c:pt idx="1073">
                  <c:v>4.3131578342084183</c:v>
                </c:pt>
                <c:pt idx="1074">
                  <c:v>4.3540831014745471</c:v>
                </c:pt>
                <c:pt idx="1075">
                  <c:v>4.3954170380611863</c:v>
                </c:pt>
                <c:pt idx="1076">
                  <c:v>4.437163702051409</c:v>
                </c:pt>
                <c:pt idx="1077">
                  <c:v>4.4793271920059601</c:v>
                </c:pt>
                <c:pt idx="1078">
                  <c:v>4.5219116473639964</c:v>
                </c:pt>
                <c:pt idx="1079">
                  <c:v>4.5649212488478232</c:v>
                </c:pt>
                <c:pt idx="1080">
                  <c:v>4.6083602188716437</c:v>
                </c:pt>
                <c:pt idx="1081">
                  <c:v>4.6522328219543736</c:v>
                </c:pt>
                <c:pt idx="1082">
                  <c:v>4.6965433651365576</c:v>
                </c:pt>
                <c:pt idx="1083">
                  <c:v>4.7412961984014252</c:v>
                </c:pt>
                <c:pt idx="1084">
                  <c:v>4.7864957151001297</c:v>
                </c:pt>
                <c:pt idx="1085">
                  <c:v>4.8321463523812067</c:v>
                </c:pt>
                <c:pt idx="1086">
                  <c:v>4.878252591624296</c:v>
                </c:pt>
                <c:pt idx="1087">
                  <c:v>4.9248189588781734</c:v>
                </c:pt>
                <c:pt idx="1088">
                  <c:v>4.9718500253031257</c:v>
                </c:pt>
                <c:pt idx="1089">
                  <c:v>5.019350407617714</c:v>
                </c:pt>
                <c:pt idx="1090">
                  <c:v>5.0673247685499714</c:v>
                </c:pt>
                <c:pt idx="1091">
                  <c:v>5.1157778172930746</c:v>
                </c:pt>
                <c:pt idx="1092">
                  <c:v>5.1647143099655386</c:v>
                </c:pt>
                <c:pt idx="1093">
                  <c:v>5.2141390500759677</c:v>
                </c:pt>
                <c:pt idx="1094">
                  <c:v>5.2640568889924193</c:v>
                </c:pt>
                <c:pt idx="1095">
                  <c:v>5.3144727264164198</c:v>
                </c:pt>
                <c:pt idx="1096">
                  <c:v>5.3653915108616737</c:v>
                </c:pt>
                <c:pt idx="1097">
                  <c:v>5.4168182401375233</c:v>
                </c:pt>
                <c:pt idx="1098">
                  <c:v>5.4687579618371931</c:v>
                </c:pt>
                <c:pt idx="1099">
                  <c:v>5.5212157738308711</c:v>
                </c:pt>
                <c:pt idx="1100">
                  <c:v>5.5741968247636775</c:v>
                </c:pt>
                <c:pt idx="1101">
                  <c:v>5.6277063145585595</c:v>
                </c:pt>
                <c:pt idx="1102">
                  <c:v>5.6817494949241691</c:v>
                </c:pt>
                <c:pt idx="1103">
                  <c:v>5.7363316698677638</c:v>
                </c:pt>
                <c:pt idx="1104">
                  <c:v>5.791458196213191</c:v>
                </c:pt>
                <c:pt idx="1105">
                  <c:v>5.8471344841239912</c:v>
                </c:pt>
                <c:pt idx="1106">
                  <c:v>5.9033659976316839</c:v>
                </c:pt>
                <c:pt idx="1107">
                  <c:v>5.9601582551692696</c:v>
                </c:pt>
                <c:pt idx="1108">
                  <c:v>6.0175168301100213</c:v>
                </c:pt>
                <c:pt idx="1109">
                  <c:v>6.0754473513115954</c:v>
                </c:pt>
                <c:pt idx="1110">
                  <c:v>6.1339555036655229</c:v>
                </c:pt>
                <c:pt idx="1111">
                  <c:v>6.1930470286521384</c:v>
                </c:pt>
                <c:pt idx="1112">
                  <c:v>6.25272772490099</c:v>
                </c:pt>
                <c:pt idx="1113">
                  <c:v>6.3130034487567892</c:v>
                </c:pt>
                <c:pt idx="1114">
                  <c:v>6.3738801148509507</c:v>
                </c:pt>
                <c:pt idx="1115">
                  <c:v>6.4353636966787819</c:v>
                </c:pt>
                <c:pt idx="1116">
                  <c:v>6.4974602271823718</c:v>
                </c:pt>
                <c:pt idx="1117">
                  <c:v>6.5601757993392367</c:v>
                </c:pt>
                <c:pt idx="1118">
                  <c:v>6.623516566756777</c:v>
                </c:pt>
                <c:pt idx="1119">
                  <c:v>6.687488744272609</c:v>
                </c:pt>
                <c:pt idx="1120">
                  <c:v>6.7520986085608099</c:v>
                </c:pt>
                <c:pt idx="1121">
                  <c:v>6.8173524987441612</c:v>
                </c:pt>
                <c:pt idx="1122">
                  <c:v>6.8832568170124189</c:v>
                </c:pt>
                <c:pt idx="1123">
                  <c:v>6.9498180292466962</c:v>
                </c:pt>
                <c:pt idx="1124">
                  <c:v>7.017042665649992</c:v>
                </c:pt>
                <c:pt idx="1125">
                  <c:v>7.0849373213839497</c:v>
                </c:pt>
                <c:pt idx="1126">
                  <c:v>7.1535086572118862</c:v>
                </c:pt>
                <c:pt idx="1127">
                  <c:v>7.2227634001481631</c:v>
                </c:pt>
                <c:pt idx="1128">
                  <c:v>7.2927083441139562</c:v>
                </c:pt>
                <c:pt idx="1129">
                  <c:v>7.3633503505994904</c:v>
                </c:pt>
                <c:pt idx="1130">
                  <c:v>7.4346963493327989</c:v>
                </c:pt>
                <c:pt idx="1131">
                  <c:v>7.5067533389550656</c:v>
                </c:pt>
                <c:pt idx="1132">
                  <c:v>7.5795283877026227</c:v>
                </c:pt>
                <c:pt idx="1133">
                  <c:v>7.6530286340956675</c:v>
                </c:pt>
                <c:pt idx="1134">
                  <c:v>7.7272612876337483</c:v>
                </c:pt>
                <c:pt idx="1135">
                  <c:v>7.8022336294981054</c:v>
                </c:pt>
                <c:pt idx="1136">
                  <c:v>7.8779530132609237</c:v>
                </c:pt>
                <c:pt idx="1137">
                  <c:v>7.9544268656015538</c:v>
                </c:pt>
                <c:pt idx="1138">
                  <c:v>8.0316626870297902</c:v>
                </c:pt>
                <c:pt idx="1139">
                  <c:v>8.1096680526162555</c:v>
                </c:pt>
                <c:pt idx="1140">
                  <c:v>8.1884506127299659</c:v>
                </c:pt>
                <c:pt idx="1141">
                  <c:v>8.2680180937831533</c:v>
                </c:pt>
                <c:pt idx="1142">
                  <c:v>8.3483782989834019</c:v>
                </c:pt>
                <c:pt idx="1143">
                  <c:v>8.4295391090931737</c:v>
                </c:pt>
                <c:pt idx="1144">
                  <c:v>8.5115084831968009</c:v>
                </c:pt>
                <c:pt idx="1145">
                  <c:v>8.5942944594750106</c:v>
                </c:pt>
                <c:pt idx="1146">
                  <c:v>8.6779051559870517</c:v>
                </c:pt>
                <c:pt idx="1147">
                  <c:v>8.7623487714604984</c:v>
                </c:pt>
                <c:pt idx="1148">
                  <c:v>8.8476335860888078</c:v>
                </c:pt>
                <c:pt idx="1149">
                  <c:v>8.9337679623367077</c:v>
                </c:pt>
                <c:pt idx="1150">
                  <c:v>9.020760345753482</c:v>
                </c:pt>
                <c:pt idx="1151">
                  <c:v>9.1086192657942249</c:v>
                </c:pt>
                <c:pt idx="1152">
                  <c:v>9.1973533366491544</c:v>
                </c:pt>
                <c:pt idx="1153">
                  <c:v>9.2869712580810599</c:v>
                </c:pt>
                <c:pt idx="1154">
                  <c:v>9.3774818162709455</c:v>
                </c:pt>
                <c:pt idx="1155">
                  <c:v>9.4688938846719672</c:v>
                </c:pt>
                <c:pt idx="1156">
                  <c:v>9.5612164248717288</c:v>
                </c:pt>
                <c:pt idx="1157">
                  <c:v>9.654458487463021</c:v>
                </c:pt>
                <c:pt idx="1158">
                  <c:v>9.7486292129230954</c:v>
                </c:pt>
                <c:pt idx="1159">
                  <c:v>9.843737832501521</c:v>
                </c:pt>
                <c:pt idx="1160">
                  <c:v>9.9397936691167565</c:v>
                </c:pt>
                <c:pt idx="1161">
                  <c:v>10.036806138261465</c:v>
                </c:pt>
                <c:pt idx="1162">
                  <c:v>10.134784748916697</c:v>
                </c:pt>
                <c:pt idx="1163">
                  <c:v>10.233739104475006</c:v>
                </c:pt>
                <c:pt idx="1164">
                  <c:v>10.333678903672583</c:v>
                </c:pt>
                <c:pt idx="1165">
                  <c:v>10.434613941530495</c:v>
                </c:pt>
                <c:pt idx="1166">
                  <c:v>10.536554110305127</c:v>
                </c:pt>
                <c:pt idx="1167">
                  <c:v>10.63950940044789</c:v>
                </c:pt>
                <c:pt idx="1168">
                  <c:v>10.743489901574304</c:v>
                </c:pt>
                <c:pt idx="1169">
                  <c:v>10.848505803442526</c:v>
                </c:pt>
                <c:pt idx="1170">
                  <c:v>10.954567396941442</c:v>
                </c:pt>
                <c:pt idx="1171">
                  <c:v>11.061685075088368</c:v>
                </c:pt>
                <c:pt idx="1172">
                  <c:v>11.169869334036497</c:v>
                </c:pt>
                <c:pt idx="1173">
                  <c:v>11.279130774092144</c:v>
                </c:pt>
                <c:pt idx="1174">
                  <c:v>11.389480100741913</c:v>
                </c:pt>
                <c:pt idx="1175">
                  <c:v>11.500928125689862</c:v>
                </c:pt>
                <c:pt idx="1176">
                  <c:v>11.613485767904749</c:v>
                </c:pt>
                <c:pt idx="1177">
                  <c:v>11.727164054677484</c:v>
                </c:pt>
                <c:pt idx="1178">
                  <c:v>11.841974122688864</c:v>
                </c:pt>
                <c:pt idx="1179">
                  <c:v>11.957927219087672</c:v>
                </c:pt>
                <c:pt idx="1180">
                  <c:v>12.075034702579266</c:v>
                </c:pt>
                <c:pt idx="1181">
                  <c:v>12.193308044524743</c:v>
                </c:pt>
                <c:pt idx="1182">
                  <c:v>12.312758830050765</c:v>
                </c:pt>
                <c:pt idx="1183">
                  <c:v>12.433398759170172</c:v>
                </c:pt>
                <c:pt idx="1184">
                  <c:v>12.555239647913448</c:v>
                </c:pt>
                <c:pt idx="1185">
                  <c:v>12.678293429471173</c:v>
                </c:pt>
                <c:pt idx="1186">
                  <c:v>12.802572155347546</c:v>
                </c:pt>
                <c:pt idx="1187">
                  <c:v>12.928087996525083</c:v>
                </c:pt>
                <c:pt idx="1188">
                  <c:v>13.054853244640585</c:v>
                </c:pt>
                <c:pt idx="1189">
                  <c:v>13.182880313172507</c:v>
                </c:pt>
                <c:pt idx="1190">
                  <c:v>13.312181738639804</c:v>
                </c:pt>
                <c:pt idx="1191">
                  <c:v>13.442770181812362</c:v>
                </c:pt>
                <c:pt idx="1192">
                  <c:v>13.574658428933139</c:v>
                </c:pt>
                <c:pt idx="1193">
                  <c:v>13.707859392952116</c:v>
                </c:pt>
                <c:pt idx="1194">
                  <c:v>13.842386114772156</c:v>
                </c:pt>
                <c:pt idx="1195">
                  <c:v>13.978251764506876</c:v>
                </c:pt>
                <c:pt idx="1196">
                  <c:v>14.115469642750671</c:v>
                </c:pt>
                <c:pt idx="1197">
                  <c:v>14.254053181860971</c:v>
                </c:pt>
                <c:pt idx="1198">
                  <c:v>14.394015947252839</c:v>
                </c:pt>
                <c:pt idx="1199">
                  <c:v>14.535371638706065</c:v>
                </c:pt>
                <c:pt idx="1200">
                  <c:v>14.678134091684811</c:v>
                </c:pt>
                <c:pt idx="1201">
                  <c:v>14.822317278669948</c:v>
                </c:pt>
                <c:pt idx="1202">
                  <c:v>14.967935310504226</c:v>
                </c:pt>
                <c:pt idx="1203">
                  <c:v>15.115002437750331</c:v>
                </c:pt>
                <c:pt idx="1204">
                  <c:v>15.263533052062003</c:v>
                </c:pt>
                <c:pt idx="1205">
                  <c:v>15.413541687568296</c:v>
                </c:pt>
                <c:pt idx="1206">
                  <c:v>15.565043022271109</c:v>
                </c:pt>
                <c:pt idx="1207">
                  <c:v>15.718051879456111</c:v>
                </c:pt>
                <c:pt idx="1208">
                  <c:v>15.872583229117176</c:v>
                </c:pt>
                <c:pt idx="1209">
                  <c:v>16.028652189394428</c:v>
                </c:pt>
                <c:pt idx="1210">
                  <c:v>16.186274028026062</c:v>
                </c:pt>
                <c:pt idx="1211">
                  <c:v>16.345464163814007</c:v>
                </c:pt>
                <c:pt idx="1212">
                  <c:v>16.506238168103593</c:v>
                </c:pt>
                <c:pt idx="1213">
                  <c:v>16.668611766277337</c:v>
                </c:pt>
                <c:pt idx="1214">
                  <c:v>16.832600839262955</c:v>
                </c:pt>
                <c:pt idx="1215">
                  <c:v>16.99822142505575</c:v>
                </c:pt>
                <c:pt idx="1216">
                  <c:v>17.165489720255458</c:v>
                </c:pt>
                <c:pt idx="1217">
                  <c:v>17.334422081617742</c:v>
                </c:pt>
                <c:pt idx="1218">
                  <c:v>17.505035027620401</c:v>
                </c:pt>
                <c:pt idx="1219">
                  <c:v>17.677345240044442</c:v>
                </c:pt>
                <c:pt idx="1220">
                  <c:v>17.851369565570167</c:v>
                </c:pt>
                <c:pt idx="1221">
                  <c:v>18.02712501738835</c:v>
                </c:pt>
                <c:pt idx="1222">
                  <c:v>18.204628776826688</c:v>
                </c:pt>
                <c:pt idx="1223">
                  <c:v>18.38389819499162</c:v>
                </c:pt>
                <c:pt idx="1224">
                  <c:v>18.564950794425659</c:v>
                </c:pt>
                <c:pt idx="1225">
                  <c:v>18.747804270780367</c:v>
                </c:pt>
                <c:pt idx="1226">
                  <c:v>18.932476494505085</c:v>
                </c:pt>
                <c:pt idx="1227">
                  <c:v>19.118985512551589</c:v>
                </c:pt>
                <c:pt idx="1228">
                  <c:v>19.307349550094759</c:v>
                </c:pt>
                <c:pt idx="1229">
                  <c:v>19.497587012269449</c:v>
                </c:pt>
                <c:pt idx="1230">
                  <c:v>19.689716485923615</c:v>
                </c:pt>
                <c:pt idx="1231">
                  <c:v>19.883756741387909</c:v>
                </c:pt>
                <c:pt idx="1232">
                  <c:v>20.07972673426184</c:v>
                </c:pt>
                <c:pt idx="1233">
                  <c:v>20.27764560721663</c:v>
                </c:pt>
                <c:pt idx="1234">
                  <c:v>20.477532691814911</c:v>
                </c:pt>
                <c:pt idx="1235">
                  <c:v>20.679407510347414</c:v>
                </c:pt>
                <c:pt idx="1236">
                  <c:v>20.883289777686734</c:v>
                </c:pt>
                <c:pt idx="1237">
                  <c:v>21.089199403158386</c:v>
                </c:pt>
                <c:pt idx="1238">
                  <c:v>21.29715649242921</c:v>
                </c:pt>
                <c:pt idx="1239">
                  <c:v>21.507181349413312</c:v>
                </c:pt>
                <c:pt idx="1240">
                  <c:v>21.71929447819565</c:v>
                </c:pt>
                <c:pt idx="1241">
                  <c:v>21.933516584973447</c:v>
                </c:pt>
                <c:pt idx="1242">
                  <c:v>22.149868580015475</c:v>
                </c:pt>
                <c:pt idx="1243">
                  <c:v>22.368371579639472</c:v>
                </c:pt>
                <c:pt idx="1244">
                  <c:v>22.589046908207727</c:v>
                </c:pt>
                <c:pt idx="1245">
                  <c:v>22.811916100141012</c:v>
                </c:pt>
                <c:pt idx="1246">
                  <c:v>23.037000901950993</c:v>
                </c:pt>
                <c:pt idx="1247">
                  <c:v>23.264323274291275</c:v>
                </c:pt>
                <c:pt idx="1248">
                  <c:v>23.493905394027188</c:v>
                </c:pt>
                <c:pt idx="1249">
                  <c:v>23.725769656324456</c:v>
                </c:pt>
                <c:pt idx="1250">
                  <c:v>23.959938676756902</c:v>
                </c:pt>
                <c:pt idx="1251">
                  <c:v>24.196435293433311</c:v>
                </c:pt>
                <c:pt idx="1252">
                  <c:v>24.435282569143602</c:v>
                </c:pt>
                <c:pt idx="1253">
                  <c:v>24.676503793524425</c:v>
                </c:pt>
                <c:pt idx="1254">
                  <c:v>24.920122485244317</c:v>
                </c:pt>
                <c:pt idx="1255">
                  <c:v>25.16616239420858</c:v>
                </c:pt>
                <c:pt idx="1256">
                  <c:v>25.414647503783971</c:v>
                </c:pt>
                <c:pt idx="1257">
                  <c:v>25.665602033043381</c:v>
                </c:pt>
                <c:pt idx="1258">
                  <c:v>25.919050439030602</c:v>
                </c:pt>
                <c:pt idx="1259">
                  <c:v>26.175017419045322</c:v>
                </c:pt>
                <c:pt idx="1260">
                  <c:v>26.433527912948485</c:v>
                </c:pt>
                <c:pt idx="1261">
                  <c:v>26.694607105488124</c:v>
                </c:pt>
                <c:pt idx="1262">
                  <c:v>26.958280428645836</c:v>
                </c:pt>
                <c:pt idx="1263">
                  <c:v>27.224573564003975</c:v>
                </c:pt>
                <c:pt idx="1264">
                  <c:v>27.493512445133714</c:v>
                </c:pt>
                <c:pt idx="1265">
                  <c:v>27.765123260004092</c:v>
                </c:pt>
                <c:pt idx="1266">
                  <c:v>28.039432453412186</c:v>
                </c:pt>
                <c:pt idx="1267">
                  <c:v>28.316466729434488</c:v>
                </c:pt>
                <c:pt idx="1268">
                  <c:v>28.596253053899634</c:v>
                </c:pt>
                <c:pt idx="1269">
                  <c:v>28.878818656882611</c:v>
                </c:pt>
                <c:pt idx="1270">
                  <c:v>29.164191035220501</c:v>
                </c:pt>
                <c:pt idx="1271">
                  <c:v>29.452397955049939</c:v>
                </c:pt>
                <c:pt idx="1272">
                  <c:v>29.74346745436635</c:v>
                </c:pt>
                <c:pt idx="1273">
                  <c:v>30.037427845605077</c:v>
                </c:pt>
                <c:pt idx="1274">
                  <c:v>30.334307718244514</c:v>
                </c:pt>
                <c:pt idx="1275">
                  <c:v>30.634135941431332</c:v>
                </c:pt>
                <c:pt idx="1276">
                  <c:v>30.936941666627902</c:v>
                </c:pt>
                <c:pt idx="1277">
                  <c:v>31.242754330282001</c:v>
                </c:pt>
                <c:pt idx="1278">
                  <c:v>31.551603656518875</c:v>
                </c:pt>
                <c:pt idx="1279">
                  <c:v>31.863519659855793</c:v>
                </c:pt>
                <c:pt idx="1280">
                  <c:v>32.178532647939107</c:v>
                </c:pt>
                <c:pt idx="1281">
                  <c:v>32.496673224303954</c:v>
                </c:pt>
                <c:pt idx="1282">
                  <c:v>32.817972291156615</c:v>
                </c:pt>
                <c:pt idx="1283">
                  <c:v>33.142461052179655</c:v>
                </c:pt>
                <c:pt idx="1284">
                  <c:v>33.470171015359846</c:v>
                </c:pt>
                <c:pt idx="1285">
                  <c:v>33.801133995838981</c:v>
                </c:pt>
                <c:pt idx="1286">
                  <c:v>34.135382118787625</c:v>
                </c:pt>
                <c:pt idx="1287">
                  <c:v>34.472947822301762</c:v>
                </c:pt>
                <c:pt idx="1288">
                  <c:v>34.813863860322527</c:v>
                </c:pt>
                <c:pt idx="1289">
                  <c:v>35.158163305578924</c:v>
                </c:pt>
                <c:pt idx="1290">
                  <c:v>35.505879552553573</c:v>
                </c:pt>
                <c:pt idx="1291">
                  <c:v>35.857046320471618</c:v>
                </c:pt>
                <c:pt idx="1292">
                  <c:v>36.211697656312623</c:v>
                </c:pt>
                <c:pt idx="1293">
                  <c:v>36.569867937845579</c:v>
                </c:pt>
                <c:pt idx="1294">
                  <c:v>36.931591876687015</c:v>
                </c:pt>
                <c:pt idx="1295">
                  <c:v>37.296904521382132</c:v>
                </c:pt>
                <c:pt idx="1296">
                  <c:v>37.665841260508941</c:v>
                </c:pt>
                <c:pt idx="1297">
                  <c:v>38.03843782580546</c:v>
                </c:pt>
                <c:pt idx="1298">
                  <c:v>38.414730295319771</c:v>
                </c:pt>
                <c:pt idx="1299">
                  <c:v>38.794755096583046</c:v>
                </c:pt>
                <c:pt idx="1300">
                  <c:v>39.17854900980528</c:v>
                </c:pt>
                <c:pt idx="1301">
                  <c:v>39.566149171093862</c:v>
                </c:pt>
                <c:pt idx="1302">
                  <c:v>39.957593075694675</c:v>
                </c:pt>
                <c:pt idx="1303">
                  <c:v>40.352918581255786</c:v>
                </c:pt>
                <c:pt idx="1304">
                  <c:v>40.752163911113534</c:v>
                </c:pt>
                <c:pt idx="1305">
                  <c:v>41.15536765760082</c:v>
                </c:pt>
                <c:pt idx="1306">
                  <c:v>41.562568785377536</c:v>
                </c:pt>
                <c:pt idx="1307">
                  <c:v>41.973806634782946</c:v>
                </c:pt>
                <c:pt idx="1308">
                  <c:v>42.38912092520976</c:v>
                </c:pt>
                <c:pt idx="1309">
                  <c:v>42.808551758499789</c:v>
                </c:pt>
                <c:pt idx="1310">
                  <c:v>43.23213962236089</c:v>
                </c:pt>
                <c:pt idx="1311">
                  <c:v>43.659925393804961</c:v>
                </c:pt>
                <c:pt idx="1312">
                  <c:v>44.091950342606772</c:v>
                </c:pt>
                <c:pt idx="1313">
                  <c:v>44.528256134783263</c:v>
                </c:pt>
                <c:pt idx="1314">
                  <c:v>44.968884836093054</c:v>
                </c:pt>
                <c:pt idx="1315">
                  <c:v>45.413878915555834</c:v>
                </c:pt>
                <c:pt idx="1316">
                  <c:v>45.8632812489912</c:v>
                </c:pt>
                <c:pt idx="1317">
                  <c:v>46.317135122576659</c:v>
                </c:pt>
                <c:pt idx="1318">
                  <c:v>46.77548423642429</c:v>
                </c:pt>
                <c:pt idx="1319">
                  <c:v>47.238372708175682</c:v>
                </c:pt>
                <c:pt idx="1320">
                  <c:v>47.705845076614608</c:v>
                </c:pt>
                <c:pt idx="1321">
                  <c:v>48.177946305296956</c:v>
                </c:pt>
                <c:pt idx="1322">
                  <c:v>48.654721786197442</c:v>
                </c:pt>
                <c:pt idx="1323">
                  <c:v>49.136217343372394</c:v>
                </c:pt>
                <c:pt idx="1324">
                  <c:v>49.622479236638114</c:v>
                </c:pt>
                <c:pt idx="1325">
                  <c:v>50.113554165264063</c:v>
                </c:pt>
                <c:pt idx="1326">
                  <c:v>50.609489271680275</c:v>
                </c:pt>
                <c:pt idx="1327">
                  <c:v>51.110332145198171</c:v>
                </c:pt>
                <c:pt idx="1328">
                  <c:v>51.616130825744044</c:v>
                </c:pt>
                <c:pt idx="1329">
                  <c:v>52.126933807604331</c:v>
                </c:pt>
                <c:pt idx="1330">
                  <c:v>52.642790043181904</c:v>
                </c:pt>
                <c:pt idx="1331">
                  <c:v>53.163748946762283</c:v>
                </c:pt>
                <c:pt idx="1332">
                  <c:v>53.689860398288936</c:v>
                </c:pt>
                <c:pt idx="1333">
                  <c:v>54.221174747146506</c:v>
                </c:pt>
                <c:pt idx="1334">
                  <c:v>54.757742815950948</c:v>
                </c:pt>
                <c:pt idx="1335">
                  <c:v>55.299615904345359</c:v>
                </c:pt>
                <c:pt idx="1336">
                  <c:v>55.846845792800238</c:v>
                </c:pt>
                <c:pt idx="1337">
                  <c:v>56.399484746416938</c:v>
                </c:pt>
                <c:pt idx="1338">
                  <c:v>56.95758551873292</c:v>
                </c:pt>
                <c:pt idx="1339">
                  <c:v>57.521201355527296</c:v>
                </c:pt>
                <c:pt idx="1340">
                  <c:v>58.09038599862518</c:v>
                </c:pt>
                <c:pt idx="1341">
                  <c:v>58.665193689699215</c:v>
                </c:pt>
                <c:pt idx="1342">
                  <c:v>59.245679174066545</c:v>
                </c:pt>
                <c:pt idx="1343">
                  <c:v>59.831897704479459</c:v>
                </c:pt>
                <c:pt idx="1344">
                  <c:v>60.423905044907755</c:v>
                </c:pt>
                <c:pt idx="1345">
                  <c:v>61.021757474310924</c:v>
                </c:pt>
                <c:pt idx="1346">
                  <c:v>61.625511790397866</c:v>
                </c:pt>
                <c:pt idx="1347">
                  <c:v>62.235225313372119</c:v>
                </c:pt>
                <c:pt idx="1348">
                  <c:v>62.850955889660071</c:v>
                </c:pt>
                <c:pt idx="1349">
                  <c:v>63.47276189561974</c:v>
                </c:pt>
                <c:pt idx="1350">
                  <c:v>64.100702241227637</c:v>
                </c:pt>
                <c:pt idx="1351">
                  <c:v>64.73483637374072</c:v>
                </c:pt>
                <c:pt idx="1352">
                  <c:v>65.375224281330802</c:v>
                </c:pt>
                <c:pt idx="1353">
                  <c:v>66.021926496688152</c:v>
                </c:pt>
                <c:pt idx="1354">
                  <c:v>66.67500410059121</c:v>
                </c:pt>
                <c:pt idx="1355">
                  <c:v>67.334518725439025</c:v>
                </c:pt>
                <c:pt idx="1356">
                  <c:v>68.000532558742776</c:v>
                </c:pt>
                <c:pt idx="1357">
                  <c:v>68.673108346572718</c:v>
                </c:pt>
                <c:pt idx="1358">
                  <c:v>69.352309396956571</c:v>
                </c:pt>
                <c:pt idx="1359">
                  <c:v>70.038199583225108</c:v>
                </c:pt>
                <c:pt idx="1360">
                  <c:v>70.730843347300734</c:v>
                </c:pt>
                <c:pt idx="1361">
                  <c:v>71.430305702924315</c:v>
                </c:pt>
                <c:pt idx="1362">
                  <c:v>72.136652238815415</c:v>
                </c:pt>
                <c:pt idx="1363">
                  <c:v>72.849949121760901</c:v>
                </c:pt>
                <c:pt idx="1364">
                  <c:v>73.570263099626402</c:v>
                </c:pt>
                <c:pt idx="1365">
                  <c:v>74.297661504285102</c:v>
                </c:pt>
                <c:pt idx="1366">
                  <c:v>75.032212254457747</c:v>
                </c:pt>
                <c:pt idx="1367">
                  <c:v>75.77398385845774</c:v>
                </c:pt>
                <c:pt idx="1368">
                  <c:v>76.523045416834492</c:v>
                </c:pt>
                <c:pt idx="1369">
                  <c:v>77.279466624908196</c:v>
                </c:pt>
                <c:pt idx="1370">
                  <c:v>78.04331777518864</c:v>
                </c:pt>
                <c:pt idx="1371">
                  <c:v>78.814669759670295</c:v>
                </c:pt>
                <c:pt idx="1372">
                  <c:v>79.593594071995525</c:v>
                </c:pt>
                <c:pt idx="1373">
                  <c:v>80.380162809477312</c:v>
                </c:pt>
                <c:pt idx="1374">
                  <c:v>81.174448674972425</c:v>
                </c:pt>
                <c:pt idx="1375">
                  <c:v>81.976524978595478</c:v>
                </c:pt>
                <c:pt idx="1376">
                  <c:v>82.786465639263881</c:v>
                </c:pt>
                <c:pt idx="1377">
                  <c:v>83.604345186062943</c:v>
                </c:pt>
                <c:pt idx="1378">
                  <c:v>84.430238759420092</c:v>
                </c:pt>
                <c:pt idx="1379">
                  <c:v>85.26422211207624</c:v>
                </c:pt>
                <c:pt idx="1380">
                  <c:v>86.1063716098421</c:v>
                </c:pt>
                <c:pt idx="1381">
                  <c:v>86.956764232126062</c:v>
                </c:pt>
                <c:pt idx="1382">
                  <c:v>87.815477572219962</c:v>
                </c:pt>
                <c:pt idx="1383">
                  <c:v>88.682589837328294</c:v>
                </c:pt>
                <c:pt idx="1384">
                  <c:v>89.55817984832504</c:v>
                </c:pt>
                <c:pt idx="1385">
                  <c:v>90.442327039222391</c:v>
                </c:pt>
                <c:pt idx="1386">
                  <c:v>91.335111456333848</c:v>
                </c:pt>
                <c:pt idx="1387">
                  <c:v>92.236613757113773</c:v>
                </c:pt>
                <c:pt idx="1388">
                  <c:v>93.146915208654349</c:v>
                </c:pt>
                <c:pt idx="1389">
                  <c:v>94.066097685819656</c:v>
                </c:pt>
                <c:pt idx="1390">
                  <c:v>94.994243668995665</c:v>
                </c:pt>
                <c:pt idx="1391">
                  <c:v>95.931436241433701</c:v>
                </c:pt>
                <c:pt idx="1392">
                  <c:v>96.877759086163564</c:v>
                </c:pt>
                <c:pt idx="1393">
                  <c:v>97.833296482451331</c:v>
                </c:pt>
                <c:pt idx="1394">
                  <c:v>98.798133301775195</c:v>
                </c:pt>
                <c:pt idx="1395">
                  <c:v>99.772355003291523</c:v>
                </c:pt>
                <c:pt idx="1396">
                  <c:v>100.75604762876135</c:v>
                </c:pt>
                <c:pt idx="1397">
                  <c:v>101.74929779690626</c:v>
                </c:pt>
                <c:pt idx="1398">
                  <c:v>102.75219269716032</c:v>
                </c:pt>
                <c:pt idx="1399">
                  <c:v>103.7648200827832</c:v>
                </c:pt>
                <c:pt idx="1400">
                  <c:v>104.78726826329762</c:v>
                </c:pt>
                <c:pt idx="1401">
                  <c:v>105.81962609621164</c:v>
                </c:pt>
                <c:pt idx="1402">
                  <c:v>106.86198297798475</c:v>
                </c:pt>
                <c:pt idx="1403">
                  <c:v>107.91442883419363</c:v>
                </c:pt>
                <c:pt idx="1404">
                  <c:v>108.97705410885138</c:v>
                </c:pt>
                <c:pt idx="1405">
                  <c:v>110.0499497528309</c:v>
                </c:pt>
                <c:pt idx="1406">
                  <c:v>111.13320721134056</c:v>
                </c:pt>
                <c:pt idx="1407">
                  <c:v>112.22691841039699</c:v>
                </c:pt>
                <c:pt idx="1408">
                  <c:v>113.33117574223661</c:v>
                </c:pt>
                <c:pt idx="1409">
                  <c:v>114.44607204960396</c:v>
                </c:pt>
                <c:pt idx="1410">
                  <c:v>115.57170060885144</c:v>
                </c:pt>
                <c:pt idx="1411">
                  <c:v>116.70815511178078</c:v>
                </c:pt>
                <c:pt idx="1412">
                  <c:v>117.85552964615272</c:v>
                </c:pt>
                <c:pt idx="1413">
                  <c:v>119.01391867478648</c:v>
                </c:pt>
                <c:pt idx="1414">
                  <c:v>120.18341701316649</c:v>
                </c:pt>
                <c:pt idx="1415">
                  <c:v>121.36411980546806</c:v>
                </c:pt>
                <c:pt idx="1416">
                  <c:v>122.55612249890895</c:v>
                </c:pt>
                <c:pt idx="1417">
                  <c:v>123.75952081632747</c:v>
                </c:pt>
                <c:pt idx="1418">
                  <c:v>124.97441072688221</c:v>
                </c:pt>
                <c:pt idx="1419">
                  <c:v>126.20088841476149</c:v>
                </c:pt>
                <c:pt idx="1420">
                  <c:v>127.439050245784</c:v>
                </c:pt>
                <c:pt idx="1421">
                  <c:v>128.68899273176447</c:v>
                </c:pt>
                <c:pt idx="1422">
                  <c:v>129.95081249251055</c:v>
                </c:pt>
                <c:pt idx="1423">
                  <c:v>131.22460621530851</c:v>
                </c:pt>
                <c:pt idx="1424">
                  <c:v>132.51047061174643</c:v>
                </c:pt>
                <c:pt idx="1425">
                  <c:v>133.8085023717137</c:v>
                </c:pt>
                <c:pt idx="1426">
                  <c:v>135.1187981144061</c:v>
                </c:pt>
                <c:pt idx="1427">
                  <c:v>136.44145433615401</c:v>
                </c:pt>
                <c:pt idx="1428">
                  <c:v>137.77656735488009</c:v>
                </c:pt>
                <c:pt idx="1429">
                  <c:v>139.12423325098032</c:v>
                </c:pt>
                <c:pt idx="1430">
                  <c:v>140.48454780440878</c:v>
                </c:pt>
                <c:pt idx="1431">
                  <c:v>141.85760642773218</c:v>
                </c:pt>
                <c:pt idx="1432">
                  <c:v>143.24350409490566</c:v>
                </c:pt>
                <c:pt idx="1433">
                  <c:v>144.64233526550433</c:v>
                </c:pt>
                <c:pt idx="1434">
                  <c:v>146.05419380412786</c:v>
                </c:pt>
                <c:pt idx="1435">
                  <c:v>147.4791728946773</c:v>
                </c:pt>
                <c:pt idx="1436">
                  <c:v>148.91736494918294</c:v>
                </c:pt>
                <c:pt idx="1437">
                  <c:v>150.36886151084076</c:v>
                </c:pt>
                <c:pt idx="1438">
                  <c:v>151.83375315089268</c:v>
                </c:pt>
                <c:pt idx="1439">
                  <c:v>153.31212935896127</c:v>
                </c:pt>
                <c:pt idx="1440">
                  <c:v>154.80407842642325</c:v>
                </c:pt>
                <c:pt idx="1441">
                  <c:v>156.30968732237878</c:v>
                </c:pt>
                <c:pt idx="1442">
                  <c:v>157.82904156174317</c:v>
                </c:pt>
                <c:pt idx="1443">
                  <c:v>159.36222506495633</c:v>
                </c:pt>
                <c:pt idx="1444">
                  <c:v>160.90932000876995</c:v>
                </c:pt>
                <c:pt idx="1445">
                  <c:v>162.47040666753728</c:v>
                </c:pt>
                <c:pt idx="1446">
                  <c:v>164.04556324438948</c:v>
                </c:pt>
                <c:pt idx="1447">
                  <c:v>165.63486569164198</c:v>
                </c:pt>
                <c:pt idx="1448">
                  <c:v>167.2383875197277</c:v>
                </c:pt>
                <c:pt idx="1449">
                  <c:v>168.85619959390732</c:v>
                </c:pt>
                <c:pt idx="1450">
                  <c:v>170.48836991795341</c:v>
                </c:pt>
                <c:pt idx="1451">
                  <c:v>172.13496340395128</c:v>
                </c:pt>
                <c:pt idx="1452">
                  <c:v>173.79604162729859</c:v>
                </c:pt>
                <c:pt idx="1453">
                  <c:v>175.47166256592342</c:v>
                </c:pt>
                <c:pt idx="1454">
                  <c:v>177.1618803226711</c:v>
                </c:pt>
                <c:pt idx="1455">
                  <c:v>178.86674482973777</c:v>
                </c:pt>
                <c:pt idx="1456">
                  <c:v>180.58630153394978</c:v>
                </c:pt>
                <c:pt idx="1457">
                  <c:v>182.3205910616042</c:v>
                </c:pt>
                <c:pt idx="1458">
                  <c:v>184.06964886149569</c:v>
                </c:pt>
                <c:pt idx="1459">
                  <c:v>185.83350482465863</c:v>
                </c:pt>
                <c:pt idx="1460">
                  <c:v>187.6121828792497</c:v>
                </c:pt>
                <c:pt idx="1461">
                  <c:v>189.40570055888605</c:v>
                </c:pt>
                <c:pt idx="1462">
                  <c:v>191.21406854263483</c:v>
                </c:pt>
                <c:pt idx="1463">
                  <c:v>193.03729016472386</c:v>
                </c:pt>
                <c:pt idx="1464">
                  <c:v>194.87536089190633</c:v>
                </c:pt>
                <c:pt idx="1465">
                  <c:v>196.72826776626795</c:v>
                </c:pt>
                <c:pt idx="1466">
                  <c:v>198.59598881110838</c:v>
                </c:pt>
                <c:pt idx="1467">
                  <c:v>200.47849239736348</c:v>
                </c:pt>
                <c:pt idx="1468">
                  <c:v>202.37573656785605</c:v>
                </c:pt>
                <c:pt idx="1469">
                  <c:v>204.2876683164732</c:v>
                </c:pt>
                <c:pt idx="1470">
                  <c:v>206.21422281916551</c:v>
                </c:pt>
                <c:pt idx="1471">
                  <c:v>208.15532261344617</c:v>
                </c:pt>
                <c:pt idx="1472">
                  <c:v>210.11087672283807</c:v>
                </c:pt>
                <c:pt idx="1473">
                  <c:v>212.0807797224692</c:v>
                </c:pt>
                <c:pt idx="1474">
                  <c:v>214.06491074175673</c:v>
                </c:pt>
                <c:pt idx="1475">
                  <c:v>216.06313239983885</c:v>
                </c:pt>
                <c:pt idx="1476">
                  <c:v>218.07528966911954</c:v>
                </c:pt>
                <c:pt idx="1477">
                  <c:v>220.10120866197533</c:v>
                </c:pt>
                <c:pt idx="1478">
                  <c:v>222.14069533534089</c:v>
                </c:pt>
                <c:pt idx="1479">
                  <c:v>224.19353410753757</c:v>
                </c:pt>
                <c:pt idx="1480">
                  <c:v>226.25948638133642</c:v>
                </c:pt>
                <c:pt idx="1481">
                  <c:v>228.33828896685506</c:v>
                </c:pt>
                <c:pt idx="1482">
                  <c:v>230.42965239747463</c:v>
                </c:pt>
                <c:pt idx="1483">
                  <c:v>232.53325913152938</c:v>
                </c:pt>
                <c:pt idx="1484">
                  <c:v>234.64876163206944</c:v>
                </c:pt>
                <c:pt idx="1485">
                  <c:v>236.77578031652311</c:v>
                </c:pt>
                <c:pt idx="1486">
                  <c:v>238.91390136759506</c:v>
                </c:pt>
                <c:pt idx="1487">
                  <c:v>241.06267439622798</c:v>
                </c:pt>
                <c:pt idx="1488">
                  <c:v>243.2216099469334</c:v>
                </c:pt>
                <c:pt idx="1489">
                  <c:v>245.39017683526166</c:v>
                </c:pt>
                <c:pt idx="1490">
                  <c:v>247.56779930663834</c:v>
                </c:pt>
                <c:pt idx="1491">
                  <c:v>249.75385400524723</c:v>
                </c:pt>
                <c:pt idx="1492">
                  <c:v>251.94766674109448</c:v>
                </c:pt>
                <c:pt idx="1493">
                  <c:v>254.14850904285325</c:v>
                </c:pt>
                <c:pt idx="1494">
                  <c:v>256.35559448356912</c:v>
                </c:pt>
                <c:pt idx="1495">
                  <c:v>258.56807476581679</c:v>
                </c:pt>
                <c:pt idx="1496">
                  <c:v>260.78503555245067</c:v>
                </c:pt>
                <c:pt idx="1497">
                  <c:v>263.005492028699</c:v>
                </c:pt>
                <c:pt idx="1498">
                  <c:v>265.22838418103441</c:v>
                </c:pt>
                <c:pt idx="1499">
                  <c:v>267.45257177803376</c:v>
                </c:pt>
                <c:pt idx="1500">
                  <c:v>269.67682903834049</c:v>
                </c:pt>
                <c:pt idx="1501">
                  <c:v>271.89983897089792</c:v>
                </c:pt>
                <c:pt idx="1502">
                  <c:v>274.12018737286195</c:v>
                </c:pt>
                <c:pt idx="1503">
                  <c:v>276.33635647107246</c:v>
                </c:pt>
                <c:pt idx="1504">
                  <c:v>278.54671819370554</c:v>
                </c:pt>
                <c:pt idx="1505">
                  <c:v>280.74952705980706</c:v>
                </c:pt>
                <c:pt idx="1506">
                  <c:v>282.94291267587477</c:v>
                </c:pt>
                <c:pt idx="1507">
                  <c:v>285.12487183059142</c:v>
                </c:pt>
                <c:pt idx="1508">
                  <c:v>287.29326018129262</c:v>
                </c:pt>
                <c:pt idx="1509">
                  <c:v>289.44578352887692</c:v>
                </c:pt>
                <c:pt idx="1510">
                  <c:v>291.57998868173127</c:v>
                </c:pt>
                <c:pt idx="1511">
                  <c:v>293.69325391397871</c:v>
                </c:pt>
                <c:pt idx="1512">
                  <c:v>295.78277902907968</c:v>
                </c:pt>
                <c:pt idx="1513">
                  <c:v>297.84557504668436</c:v>
                </c:pt>
                <c:pt idx="1514">
                  <c:v>299.87845353880056</c:v>
                </c:pt>
                <c:pt idx="1515">
                  <c:v>301.87801565097936</c:v>
                </c:pt>
                <c:pt idx="1516">
                  <c:v>303.84064085552194</c:v>
                </c:pt>
                <c:pt idx="1517">
                  <c:v>305.7624754968711</c:v>
                </c:pt>
                <c:pt idx="1518">
                  <c:v>307.63942120458069</c:v>
                </c:pt>
                <c:pt idx="1519">
                  <c:v>309.46712326677005</c:v>
                </c:pt>
                <c:pt idx="1520">
                  <c:v>311.2409590769841</c:v>
                </c:pt>
                <c:pt idx="1521">
                  <c:v>312.95602679010159</c:v>
                </c:pt>
                <c:pt idx="1522">
                  <c:v>314.60713434856251</c:v>
                </c:pt>
                <c:pt idx="1523">
                  <c:v>316.18878906887954</c:v>
                </c:pt>
                <c:pt idx="1524">
                  <c:v>317.69518801028858</c:v>
                </c:pt>
                <c:pt idx="1525">
                  <c:v>319.12020938253795</c:v>
                </c:pt>
                <c:pt idx="1526">
                  <c:v>320.45740528818902</c:v>
                </c:pt>
                <c:pt idx="1527">
                  <c:v>321.6999961362709</c:v>
                </c:pt>
                <c:pt idx="1528">
                  <c:v>322.84086710841194</c:v>
                </c:pt>
                <c:pt idx="1529">
                  <c:v>323.87256710519404</c:v>
                </c:pt>
                <c:pt idx="1530">
                  <c:v>324.78731064874989</c:v>
                </c:pt>
                <c:pt idx="1531">
                  <c:v>325.57698326657606</c:v>
                </c:pt>
                <c:pt idx="1532">
                  <c:v>326.23315092987536</c:v>
                </c:pt>
                <c:pt idx="1533">
                  <c:v>326.74707416578826</c:v>
                </c:pt>
                <c:pt idx="1534">
                  <c:v>327.10972750452657</c:v>
                </c:pt>
                <c:pt idx="1535">
                  <c:v>327.31182495709646</c:v>
                </c:pt>
                <c:pt idx="1536">
                  <c:v>327.34385224389035</c:v>
                </c:pt>
                <c:pt idx="1537">
                  <c:v>327.19610650530939</c:v>
                </c:pt>
                <c:pt idx="1538">
                  <c:v>326.85874421857869</c:v>
                </c:pt>
                <c:pt idx="1539">
                  <c:v>326.3218380153815</c:v>
                </c:pt>
                <c:pt idx="1540">
                  <c:v>325.57544303780077</c:v>
                </c:pt>
                <c:pt idx="1541">
                  <c:v>324.60967337998903</c:v>
                </c:pt>
                <c:pt idx="1542">
                  <c:v>323.41478903461706</c:v>
                </c:pt>
                <c:pt idx="1543">
                  <c:v>321.9812935913443</c:v>
                </c:pt>
                <c:pt idx="1544">
                  <c:v>320.30004271481897</c:v>
                </c:pt>
                <c:pt idx="1545">
                  <c:v>318.36236315866097</c:v>
                </c:pt>
                <c:pt idx="1546">
                  <c:v>316.1601817478047</c:v>
                </c:pt>
                <c:pt idx="1547">
                  <c:v>313.68616338508474</c:v>
                </c:pt>
                <c:pt idx="1548">
                  <c:v>310.93385671264883</c:v>
                </c:pt>
                <c:pt idx="1549">
                  <c:v>307.89784559196426</c:v>
                </c:pt>
                <c:pt idx="1550">
                  <c:v>304.57390406942721</c:v>
                </c:pt>
                <c:pt idx="1551">
                  <c:v>300.95915198422642</c:v>
                </c:pt>
                <c:pt idx="1552">
                  <c:v>297.0522078724573</c:v>
                </c:pt>
                <c:pt idx="1553">
                  <c:v>292.8533353526804</c:v>
                </c:pt>
                <c:pt idx="1554">
                  <c:v>288.36457877356179</c:v>
                </c:pt>
                <c:pt idx="1555">
                  <c:v>283.5898835974325</c:v>
                </c:pt>
                <c:pt idx="1556">
                  <c:v>278.53519681946221</c:v>
                </c:pt>
                <c:pt idx="1557">
                  <c:v>273.20854271462247</c:v>
                </c:pt>
                <c:pt idx="1558">
                  <c:v>267.62006939392143</c:v>
                </c:pt>
                <c:pt idx="1559">
                  <c:v>261.78206206075612</c:v>
                </c:pt>
                <c:pt idx="1560">
                  <c:v>255.70891950063901</c:v>
                </c:pt>
                <c:pt idx="1561">
                  <c:v>249.41709121268258</c:v>
                </c:pt>
                <c:pt idx="1562">
                  <c:v>242.9249736830208</c:v>
                </c:pt>
                <c:pt idx="1563">
                  <c:v>236.25276557565076</c:v>
                </c:pt>
                <c:pt idx="1564">
                  <c:v>229.42228302477628</c:v>
                </c:pt>
                <c:pt idx="1565">
                  <c:v>222.45673768906101</c:v>
                </c:pt>
                <c:pt idx="1566">
                  <c:v>215.38048169481536</c:v>
                </c:pt>
                <c:pt idx="1567">
                  <c:v>208.2187249678536</c:v>
                </c:pt>
                <c:pt idx="1568">
                  <c:v>200.9972316479971</c:v>
                </c:pt>
                <c:pt idx="1569">
                  <c:v>193.74200321807953</c:v>
                </c:pt>
                <c:pt idx="1570">
                  <c:v>186.47895659663092</c:v>
                </c:pt>
                <c:pt idx="1571">
                  <c:v>179.23360569576795</c:v>
                </c:pt>
                <c:pt idx="1572">
                  <c:v>172.03075481305714</c:v>
                </c:pt>
                <c:pt idx="1573">
                  <c:v>164.89421171459105</c:v>
                </c:pt>
                <c:pt idx="1574">
                  <c:v>157.84652740874239</c:v>
                </c:pt>
                <c:pt idx="1575">
                  <c:v>150.9087684618336</c:v>
                </c:pt>
                <c:pt idx="1576">
                  <c:v>144.10032634226653</c:v>
                </c:pt>
                <c:pt idx="1577">
                  <c:v>137.43876678398823</c:v>
                </c:pt>
                <c:pt idx="1578">
                  <c:v>130.93972062304246</c:v>
                </c:pt>
                <c:pt idx="1579">
                  <c:v>124.61681606852935</c:v>
                </c:pt>
                <c:pt idx="1580">
                  <c:v>118.48165099784865</c:v>
                </c:pt>
                <c:pt idx="1581">
                  <c:v>112.54380267702317</c:v>
                </c:pt>
                <c:pt idx="1582">
                  <c:v>106.81087134354523</c:v>
                </c:pt>
                <c:pt idx="1583">
                  <c:v>101.28855337572804</c:v>
                </c:pt>
                <c:pt idx="1584">
                  <c:v>95.980739314634974</c:v>
                </c:pt>
                <c:pt idx="1585">
                  <c:v>90.889631791641222</c:v>
                </c:pt>
                <c:pt idx="1586">
                  <c:v>86.015878422799091</c:v>
                </c:pt>
                <c:pt idx="1587">
                  <c:v>81.358714927378159</c:v>
                </c:pt>
                <c:pt idx="1588">
                  <c:v>76.916114073755097</c:v>
                </c:pt>
                <c:pt idx="1589">
                  <c:v>72.684936510923237</c:v>
                </c:pt>
                <c:pt idx="1590">
                  <c:v>68.661080069159524</c:v>
                </c:pt>
                <c:pt idx="1591">
                  <c:v>64.839624673211404</c:v>
                </c:pt>
                <c:pt idx="1592">
                  <c:v>61.214970575196922</c:v>
                </c:pt>
                <c:pt idx="1593">
                  <c:v>57.780968157589697</c:v>
                </c:pt>
                <c:pt idx="1594">
                  <c:v>54.531038060649472</c:v>
                </c:pt>
                <c:pt idx="1595">
                  <c:v>51.458280840771607</c:v>
                </c:pt>
                <c:pt idx="1596">
                  <c:v>48.555575759032344</c:v>
                </c:pt>
                <c:pt idx="1597">
                  <c:v>45.815668629709613</c:v>
                </c:pt>
                <c:pt idx="1598">
                  <c:v>43.231248927320856</c:v>
                </c:pt>
                <c:pt idx="1599">
                  <c:v>40.795016560953727</c:v>
                </c:pt>
                <c:pt idx="1600">
                  <c:v>38.499738881418438</c:v>
                </c:pt>
                <c:pt idx="1601">
                  <c:v>36.338298596179385</c:v>
                </c:pt>
                <c:pt idx="1602">
                  <c:v>34.303733335807564</c:v>
                </c:pt>
                <c:pt idx="1603">
                  <c:v>32.389267650573245</c:v>
                </c:pt>
                <c:pt idx="1604">
                  <c:v>30.588338223231236</c:v>
                </c:pt>
                <c:pt idx="1605">
                  <c:v>28.894613069993859</c:v>
                </c:pt>
                <c:pt idx="1606">
                  <c:v>27.302005471449061</c:v>
                </c:pt>
                <c:pt idx="1607">
                  <c:v>25.80468333336314</c:v>
                </c:pt>
                <c:pt idx="1608">
                  <c:v>24.397074627788918</c:v>
                </c:pt>
                <c:pt idx="1609">
                  <c:v>23.073869510868342</c:v>
                </c:pt>
                <c:pt idx="1610">
                  <c:v>21.830019657722318</c:v>
                </c:pt>
                <c:pt idx="1611">
                  <c:v>20.660735298839736</c:v>
                </c:pt>
                <c:pt idx="1612">
                  <c:v>19.561480387897149</c:v>
                </c:pt>
                <c:pt idx="1613">
                  <c:v>18.527966279027531</c:v>
                </c:pt>
                <c:pt idx="1614">
                  <c:v>17.556144242932319</c:v>
                </c:pt>
                <c:pt idx="1615">
                  <c:v>16.642197106337765</c:v>
                </c:pt>
                <c:pt idx="1616">
                  <c:v>15.782530258357168</c:v>
                </c:pt>
                <c:pt idx="1617">
                  <c:v>14.973762230388433</c:v>
                </c:pt>
                <c:pt idx="1618">
                  <c:v>14.212715023180067</c:v>
                </c:pt>
                <c:pt idx="1619">
                  <c:v>13.496404325476899</c:v>
                </c:pt>
                <c:pt idx="1620">
                  <c:v>12.822029742987514</c:v>
                </c:pt>
                <c:pt idx="1621">
                  <c:v>12.186965134039035</c:v>
                </c:pt>
                <c:pt idx="1622">
                  <c:v>11.588749128922075</c:v>
                </c:pt>
                <c:pt idx="1623">
                  <c:v>11.025075893293613</c:v>
                </c:pt>
                <c:pt idx="1624">
                  <c:v>10.493786181816219</c:v>
                </c:pt>
                <c:pt idx="1625">
                  <c:v>9.9928587161969418</c:v>
                </c:pt>
                <c:pt idx="1626">
                  <c:v>9.5204019116922964</c:v>
                </c:pt>
                <c:pt idx="1627">
                  <c:v>9.0746459677293796</c:v>
                </c:pt>
                <c:pt idx="1628">
                  <c:v>8.6539353313392873</c:v>
                </c:pt>
                <c:pt idx="1629">
                  <c:v>8.2567215364103301</c:v>
                </c:pt>
                <c:pt idx="1630">
                  <c:v>7.881556417167479</c:v>
                </c:pt>
                <c:pt idx="1631">
                  <c:v>7.5270856906133004</c:v>
                </c:pt>
                <c:pt idx="1632">
                  <c:v>7.1920428997845036</c:v>
                </c:pt>
                <c:pt idx="1633">
                  <c:v>6.8752437074645476</c:v>
                </c:pt>
                <c:pt idx="1634">
                  <c:v>6.5755805283393807</c:v>
                </c:pt>
                <c:pt idx="1635">
                  <c:v>6.2920174863973628</c:v>
                </c:pt>
                <c:pt idx="1636">
                  <c:v>6.023585683575341</c:v>
                </c:pt>
                <c:pt idx="1637">
                  <c:v>5.7693787651717567</c:v>
                </c:pt>
                <c:pt idx="1638">
                  <c:v>5.5285487673254643</c:v>
                </c:pt>
                <c:pt idx="1639">
                  <c:v>5.3003022318454018</c:v>
                </c:pt>
                <c:pt idx="1640">
                  <c:v>5.083896573828822</c:v>
                </c:pt>
                <c:pt idx="1641">
                  <c:v>4.8786366877885543</c:v>
                </c:pt>
                <c:pt idx="1642">
                  <c:v>4.6838717783926889</c:v>
                </c:pt>
                <c:pt idx="1643">
                  <c:v>4.4989924023779961</c:v>
                </c:pt>
                <c:pt idx="1644">
                  <c:v>4.3234277087106028</c:v>
                </c:pt>
                <c:pt idx="1645">
                  <c:v>4.1566428646166855</c:v>
                </c:pt>
                <c:pt idx="1646">
                  <c:v>3.9981366556783344</c:v>
                </c:pt>
                <c:pt idx="1647">
                  <c:v>3.847439248773763</c:v>
                </c:pt>
                <c:pt idx="1648">
                  <c:v>3.7041101072277085</c:v>
                </c:pt>
                <c:pt idx="1649">
                  <c:v>3.567736048119813</c:v>
                </c:pt>
                <c:pt idx="1650">
                  <c:v>3.4379294322704106</c:v>
                </c:pt>
                <c:pt idx="1651">
                  <c:v>3.3143264779800501</c:v>
                </c:pt>
                <c:pt idx="1652">
                  <c:v>3.1965856901380456</c:v>
                </c:pt>
                <c:pt idx="1653">
                  <c:v>3.0843863968339433</c:v>
                </c:pt>
                <c:pt idx="1654">
                  <c:v>2.9774273861024612</c:v>
                </c:pt>
                <c:pt idx="1655">
                  <c:v>2.8754256359061143</c:v>
                </c:pt>
                <c:pt idx="1656">
                  <c:v>2.778115130909883</c:v>
                </c:pt>
                <c:pt idx="1657">
                  <c:v>2.6852457600287529</c:v>
                </c:pt>
                <c:pt idx="1658">
                  <c:v>2.5965822891319132</c:v>
                </c:pt>
                <c:pt idx="1659">
                  <c:v>2.5119034036672541</c:v>
                </c:pt>
                <c:pt idx="1660">
                  <c:v>2.4310008163271219</c:v>
                </c:pt>
                <c:pt idx="1661">
                  <c:v>2.353678435211823</c:v>
                </c:pt>
                <c:pt idx="1662">
                  <c:v>2.2797515882619153</c:v>
                </c:pt>
                <c:pt idx="1663">
                  <c:v>2.2090463000247897</c:v>
                </c:pt>
                <c:pt idx="1664">
                  <c:v>2.1413986170963715</c:v>
                </c:pt>
                <c:pt idx="1665">
                  <c:v>2.0766539788358855</c:v>
                </c:pt>
                <c:pt idx="1666">
                  <c:v>2.0146666301915555</c:v>
                </c:pt>
                <c:pt idx="1667">
                  <c:v>1.9552990736987306</c:v>
                </c:pt>
                <c:pt idx="1668">
                  <c:v>1.8984215579202648</c:v>
                </c:pt>
                <c:pt idx="1669">
                  <c:v>1.8439115997928757</c:v>
                </c:pt>
                <c:pt idx="1670">
                  <c:v>1.7916535385236187</c:v>
                </c:pt>
                <c:pt idx="1671">
                  <c:v>1.7415381188483379</c:v>
                </c:pt>
                <c:pt idx="1672">
                  <c:v>1.6934621016198494</c:v>
                </c:pt>
                <c:pt idx="1673">
                  <c:v>1.6473278998384402</c:v>
                </c:pt>
                <c:pt idx="1674">
                  <c:v>1.6030432383717568</c:v>
                </c:pt>
                <c:pt idx="1675">
                  <c:v>1.5605208357360403</c:v>
                </c:pt>
                <c:pt idx="1676">
                  <c:v>1.5196781064265616</c:v>
                </c:pt>
                <c:pt idx="1677">
                  <c:v>1.4804368823926819</c:v>
                </c:pt>
                <c:pt idx="1678">
                  <c:v>1.4427231523527579</c:v>
                </c:pt>
                <c:pt idx="1679">
                  <c:v>1.4064668177367108</c:v>
                </c:pt>
                <c:pt idx="1680">
                  <c:v>1.3716014641299596</c:v>
                </c:pt>
                <c:pt idx="1681">
                  <c:v>1.3380641471720978</c:v>
                </c:pt>
                <c:pt idx="1682">
                  <c:v>1.305795191937583</c:v>
                </c:pt>
                <c:pt idx="1683">
                  <c:v>1.2747380048942563</c:v>
                </c:pt>
                <c:pt idx="1684">
                  <c:v>1.2448388975990743</c:v>
                </c:pt>
                <c:pt idx="1685">
                  <c:v>1.2160469213494127</c:v>
                </c:pt>
                <c:pt idx="1686">
                  <c:v>1.1883137120629899</c:v>
                </c:pt>
                <c:pt idx="1687">
                  <c:v>1.1615933447102029</c:v>
                </c:pt>
                <c:pt idx="1688">
                  <c:v>1.1358421966697425</c:v>
                </c:pt>
                <c:pt idx="1689">
                  <c:v>1.1110188194220223</c:v>
                </c:pt>
                <c:pt idx="1690">
                  <c:v>1.0870838180354894</c:v>
                </c:pt>
                <c:pt idx="1691">
                  <c:v>1.0639997379384871</c:v>
                </c:pt>
                <c:pt idx="1692">
                  <c:v>1.0417309585042516</c:v>
                </c:pt>
                <c:pt idx="1693">
                  <c:v>1.0202435930090228</c:v>
                </c:pt>
                <c:pt idx="1694">
                  <c:v>0.9995053945533392</c:v>
                </c:pt>
                <c:pt idx="1695">
                  <c:v>0.97948566756451527</c:v>
                </c:pt>
                <c:pt idx="1696">
                  <c:v>0.96015518452425019</c:v>
                </c:pt>
                <c:pt idx="1697">
                  <c:v>0.94148610758941265</c:v>
                </c:pt>
                <c:pt idx="1698">
                  <c:v>0.92345191479644095</c:v>
                </c:pt>
                <c:pt idx="1699">
                  <c:v>0.90602733056060325</c:v>
                </c:pt>
                <c:pt idx="1700">
                  <c:v>0.88918826020070096</c:v>
                </c:pt>
                <c:pt idx="1701">
                  <c:v>0.87291172823778163</c:v>
                </c:pt>
                <c:pt idx="1702">
                  <c:v>0.85717582023314043</c:v>
                </c:pt>
                <c:pt idx="1703">
                  <c:v>0.84195962794644219</c:v>
                </c:pt>
                <c:pt idx="1704">
                  <c:v>0.82724319760925613</c:v>
                </c:pt>
                <c:pt idx="1705">
                  <c:v>0.81300748112275834</c:v>
                </c:pt>
                <c:pt idx="1706">
                  <c:v>0.7992342900008782</c:v>
                </c:pt>
                <c:pt idx="1707">
                  <c:v>0.78590625189182928</c:v>
                </c:pt>
                <c:pt idx="1708">
                  <c:v>0.7730067695218199</c:v>
                </c:pt>
                <c:pt idx="1709">
                  <c:v>0.76051998191485237</c:v>
                </c:pt>
                <c:pt idx="1710">
                  <c:v>0.74843072775193908</c:v>
                </c:pt>
                <c:pt idx="1711">
                  <c:v>0.73672451074184175</c:v>
                </c:pt>
                <c:pt idx="1712">
                  <c:v>0.72538746688362254</c:v>
                </c:pt>
                <c:pt idx="1713">
                  <c:v>0.71440633350892191</c:v>
                </c:pt>
                <c:pt idx="1714">
                  <c:v>0.7037684199989922</c:v>
                </c:pt>
                <c:pt idx="1715">
                  <c:v>0.69346158007814862</c:v>
                </c:pt>
                <c:pt idx="1716">
                  <c:v>0.6834741855914922</c:v>
                </c:pt>
                <c:pt idx="1717">
                  <c:v>0.67379510168053236</c:v>
                </c:pt>
                <c:pt idx="1718">
                  <c:v>0.66441366327573204</c:v>
                </c:pt>
                <c:pt idx="1719">
                  <c:v>0.65531965283003157</c:v>
                </c:pt>
                <c:pt idx="1720">
                  <c:v>0.6465032792221117</c:v>
                </c:pt>
                <c:pt idx="1721">
                  <c:v>0.63795515776254719</c:v>
                </c:pt>
                <c:pt idx="1722">
                  <c:v>0.62966629124010942</c:v>
                </c:pt>
                <c:pt idx="1723">
                  <c:v>0.62162805194931192</c:v>
                </c:pt>
                <c:pt idx="1724">
                  <c:v>0.61383216464388213</c:v>
                </c:pt>
                <c:pt idx="1725">
                  <c:v>0.60627069036419556</c:v>
                </c:pt>
                <c:pt idx="1726">
                  <c:v>0.59893601108984806</c:v>
                </c:pt>
                <c:pt idx="1727">
                  <c:v>0.59182081517147822</c:v>
                </c:pt>
                <c:pt idx="1728">
                  <c:v>0.58491808349869956</c:v>
                </c:pt>
                <c:pt idx="1729">
                  <c:v>0.57822107636357645</c:v>
                </c:pt>
                <c:pt idx="1730">
                  <c:v>0.57172332098148471</c:v>
                </c:pt>
                <c:pt idx="1731">
                  <c:v>0.56541859963345709</c:v>
                </c:pt>
                <c:pt idx="1732">
                  <c:v>0.55930093839622586</c:v>
                </c:pt>
                <c:pt idx="1733">
                  <c:v>0.55336459642815794</c:v>
                </c:pt>
                <c:pt idx="1734">
                  <c:v>0.54760405578113402</c:v>
                </c:pt>
                <c:pt idx="1735">
                  <c:v>0.54201401171016517</c:v>
                </c:pt>
                <c:pt idx="1736">
                  <c:v>0.53658936345417441</c:v>
                </c:pt>
                <c:pt idx="1737">
                  <c:v>0.53132520546290118</c:v>
                </c:pt>
                <c:pt idx="1738">
                  <c:v>0.52621681904632756</c:v>
                </c:pt>
                <c:pt idx="1739">
                  <c:v>0.52125966442437044</c:v>
                </c:pt>
                <c:pt idx="1740">
                  <c:v>0.51644937315585548</c:v>
                </c:pt>
                <c:pt idx="1741">
                  <c:v>0.51178174092697515</c:v>
                </c:pt>
                <c:pt idx="1742">
                  <c:v>0.50725272068055216</c:v>
                </c:pt>
                <c:pt idx="1743">
                  <c:v>0.50285841606847947</c:v>
                </c:pt>
                <c:pt idx="1744">
                  <c:v>0.49859507521069651</c:v>
                </c:pt>
                <c:pt idx="1745">
                  <c:v>0.49445908474498523</c:v>
                </c:pt>
                <c:pt idx="1746">
                  <c:v>0.4904469641527468</c:v>
                </c:pt>
                <c:pt idx="1747">
                  <c:v>0.4865553603467363</c:v>
                </c:pt>
                <c:pt idx="1748">
                  <c:v>0.48278104250750675</c:v>
                </c:pt>
                <c:pt idx="1749">
                  <c:v>0.47912089715603939</c:v>
                </c:pt>
                <c:pt idx="1750">
                  <c:v>0.47557192345072102</c:v>
                </c:pt>
                <c:pt idx="1751">
                  <c:v>0.47213122869747287</c:v>
                </c:pt>
                <c:pt idx="1752">
                  <c:v>0.46879602406244059</c:v>
                </c:pt>
                <c:pt idx="1753">
                  <c:v>0.46556362047722755</c:v>
                </c:pt>
                <c:pt idx="1754">
                  <c:v>0.4624314247271899</c:v>
                </c:pt>
                <c:pt idx="1755">
                  <c:v>0.45939693571381968</c:v>
                </c:pt>
                <c:pt idx="1756">
                  <c:v>0.45645774088271912</c:v>
                </c:pt>
                <c:pt idx="1757">
                  <c:v>0.45361151280912088</c:v>
                </c:pt>
                <c:pt idx="1758">
                  <c:v>0.45085600593333269</c:v>
                </c:pt>
                <c:pt idx="1759">
                  <c:v>0.4481890534388861</c:v>
                </c:pt>
                <c:pt idx="1760">
                  <c:v>0.44560856426654671</c:v>
                </c:pt>
                <c:pt idx="1761">
                  <c:v>0.4431125202577012</c:v>
                </c:pt>
                <c:pt idx="1762">
                  <c:v>0.44069897342097097</c:v>
                </c:pt>
                <c:pt idx="1763">
                  <c:v>0.43836604331622264</c:v>
                </c:pt>
                <c:pt idx="1764">
                  <c:v>0.43611191455044462</c:v>
                </c:pt>
                <c:pt idx="1765">
                  <c:v>0.43393483438024244</c:v>
                </c:pt>
                <c:pt idx="1766">
                  <c:v>0.43183311041597461</c:v>
                </c:pt>
                <c:pt idx="1767">
                  <c:v>0.4298051084228029</c:v>
                </c:pt>
                <c:pt idx="1768">
                  <c:v>0.42784925021417097</c:v>
                </c:pt>
                <c:pt idx="1769">
                  <c:v>0.42596401163345166</c:v>
                </c:pt>
                <c:pt idx="1770">
                  <c:v>0.4241479206197169</c:v>
                </c:pt>
                <c:pt idx="1771">
                  <c:v>0.42239955535378715</c:v>
                </c:pt>
                <c:pt idx="1772">
                  <c:v>0.42071754248090837</c:v>
                </c:pt>
                <c:pt idx="1773">
                  <c:v>0.41910055540658636</c:v>
                </c:pt>
                <c:pt idx="1774">
                  <c:v>0.41754731266227907</c:v>
                </c:pt>
                <c:pt idx="1775">
                  <c:v>0.41605657633781079</c:v>
                </c:pt>
                <c:pt idx="1776">
                  <c:v>0.41462715057752564</c:v>
                </c:pt>
                <c:pt idx="1777">
                  <c:v>0.41325788013734299</c:v>
                </c:pt>
                <c:pt idx="1778">
                  <c:v>0.41194764900001624</c:v>
                </c:pt>
                <c:pt idx="1779">
                  <c:v>0.41069537904602643</c:v>
                </c:pt>
                <c:pt idx="1780">
                  <c:v>0.40950002877766695</c:v>
                </c:pt>
                <c:pt idx="1781">
                  <c:v>0.40836059209399206</c:v>
                </c:pt>
                <c:pt idx="1782">
                  <c:v>0.40727609711441454</c:v>
                </c:pt>
                <c:pt idx="1783">
                  <c:v>0.40624560504884177</c:v>
                </c:pt>
                <c:pt idx="1784">
                  <c:v>0.40526820911234201</c:v>
                </c:pt>
                <c:pt idx="1785">
                  <c:v>0.40434303348242551</c:v>
                </c:pt>
                <c:pt idx="1786">
                  <c:v>0.40346923229711662</c:v>
                </c:pt>
                <c:pt idx="1787">
                  <c:v>0.40264598869207852</c:v>
                </c:pt>
                <c:pt idx="1788">
                  <c:v>0.40187251387513284</c:v>
                </c:pt>
                <c:pt idx="1789">
                  <c:v>0.40114804623659484</c:v>
                </c:pt>
                <c:pt idx="1790">
                  <c:v>0.40047185049391615</c:v>
                </c:pt>
                <c:pt idx="1791">
                  <c:v>0.3998432168691996</c:v>
                </c:pt>
                <c:pt idx="1792">
                  <c:v>0.39926146029821363</c:v>
                </c:pt>
                <c:pt idx="1793">
                  <c:v>0.39872591966959903</c:v>
                </c:pt>
                <c:pt idx="1794">
                  <c:v>0.3982359570930194</c:v>
                </c:pt>
                <c:pt idx="1795">
                  <c:v>0.39779095719506402</c:v>
                </c:pt>
                <c:pt idx="1796">
                  <c:v>0.39739032644176514</c:v>
                </c:pt>
                <c:pt idx="1797">
                  <c:v>0.39703349248664382</c:v>
                </c:pt>
                <c:pt idx="1798">
                  <c:v>0.39671990354324721</c:v>
                </c:pt>
                <c:pt idx="1799">
                  <c:v>0.39644902778118613</c:v>
                </c:pt>
                <c:pt idx="1800">
                  <c:v>0.39622035274472645</c:v>
                </c:pt>
                <c:pt idx="1801">
                  <c:v>0.39603338479302985</c:v>
                </c:pt>
                <c:pt idx="1802">
                  <c:v>0.39588764856117969</c:v>
                </c:pt>
                <c:pt idx="1803">
                  <c:v>0.3957826864411656</c:v>
                </c:pt>
                <c:pt idx="1804">
                  <c:v>0.39571805808203669</c:v>
                </c:pt>
                <c:pt idx="1805">
                  <c:v>0.39569333990846883</c:v>
                </c:pt>
                <c:pt idx="1806">
                  <c:v>0.39570812465702254</c:v>
                </c:pt>
                <c:pt idx="1807">
                  <c:v>0.39576202092940199</c:v>
                </c:pt>
                <c:pt idx="1808">
                  <c:v>0.39585465276205284</c:v>
                </c:pt>
                <c:pt idx="1809">
                  <c:v>0.39598565921146733</c:v>
                </c:pt>
                <c:pt idx="1810">
                  <c:v>0.3961546939545913</c:v>
                </c:pt>
                <c:pt idx="1811">
                  <c:v>0.39636142490375353</c:v>
                </c:pt>
                <c:pt idx="1812">
                  <c:v>0.39660553383556313</c:v>
                </c:pt>
                <c:pt idx="1813">
                  <c:v>0.39688671603324427</c:v>
                </c:pt>
                <c:pt idx="1814">
                  <c:v>0.3972046799418994</c:v>
                </c:pt>
                <c:pt idx="1815">
                  <c:v>0.39755914683621402</c:v>
                </c:pt>
                <c:pt idx="1816">
                  <c:v>0.39794985050013726</c:v>
                </c:pt>
                <c:pt idx="1817">
                  <c:v>0.39837653691809066</c:v>
                </c:pt>
                <c:pt idx="1818">
                  <c:v>0.39883896397727714</c:v>
                </c:pt>
                <c:pt idx="1819">
                  <c:v>0.39933690118068021</c:v>
                </c:pt>
                <c:pt idx="1820">
                  <c:v>0.39987012937035954</c:v>
                </c:pt>
                <c:pt idx="1821">
                  <c:v>0.40043844046066662</c:v>
                </c:pt>
                <c:pt idx="1822">
                  <c:v>0.40104163718101782</c:v>
                </c:pt>
                <c:pt idx="1823">
                  <c:v>0.40167953282787994</c:v>
                </c:pt>
                <c:pt idx="1824">
                  <c:v>0.40235195102563398</c:v>
                </c:pt>
                <c:pt idx="1825">
                  <c:v>0.40305872549599986</c:v>
                </c:pt>
                <c:pt idx="1826">
                  <c:v>0.40379969983571518</c:v>
                </c:pt>
                <c:pt idx="1827">
                  <c:v>0.40457472730217459</c:v>
                </c:pt>
                <c:pt idx="1828">
                  <c:v>0.40538367060674912</c:v>
                </c:pt>
                <c:pt idx="1829">
                  <c:v>0.40622640171551377</c:v>
                </c:pt>
                <c:pt idx="1830">
                  <c:v>0.40710280165712526</c:v>
                </c:pt>
                <c:pt idx="1831">
                  <c:v>0.40801276033759987</c:v>
                </c:pt>
                <c:pt idx="1832">
                  <c:v>0.40895617636175274</c:v>
                </c:pt>
                <c:pt idx="1833">
                  <c:v>0.40993295686106929</c:v>
                </c:pt>
                <c:pt idx="1834">
                  <c:v>0.41094301732778771</c:v>
                </c:pt>
                <c:pt idx="1835">
                  <c:v>0.41198628145498117</c:v>
                </c:pt>
                <c:pt idx="1836">
                  <c:v>0.41306268098243587</c:v>
                </c:pt>
                <c:pt idx="1837">
                  <c:v>0.41417215554813014</c:v>
                </c:pt>
                <c:pt idx="1838">
                  <c:v>0.41531465254512612</c:v>
                </c:pt>
                <c:pt idx="1839">
                  <c:v>0.41649012698369409</c:v>
                </c:pt>
                <c:pt idx="1840">
                  <c:v>0.41769854135849593</c:v>
                </c:pt>
                <c:pt idx="1841">
                  <c:v>0.41893986552066065</c:v>
                </c:pt>
                <c:pt idx="1842">
                  <c:v>0.4202140765545922</c:v>
                </c:pt>
                <c:pt idx="1843">
                  <c:v>0.4215211586593553</c:v>
                </c:pt>
                <c:pt idx="1844">
                  <c:v>0.42286110303449131</c:v>
                </c:pt>
                <c:pt idx="1845">
                  <c:v>0.42423390777012154</c:v>
                </c:pt>
                <c:pt idx="1846">
                  <c:v>0.42563957774120115</c:v>
                </c:pt>
                <c:pt idx="1847">
                  <c:v>0.42707812450579202</c:v>
                </c:pt>
                <c:pt idx="1848">
                  <c:v>0.42854956620722734</c:v>
                </c:pt>
                <c:pt idx="1849">
                  <c:v>0.43005392748004684</c:v>
                </c:pt>
                <c:pt idx="1850">
                  <c:v>0.4315912393595846</c:v>
                </c:pt>
                <c:pt idx="1851">
                  <c:v>0.43316153919509731</c:v>
                </c:pt>
                <c:pt idx="1852">
                  <c:v>0.43476487056632379</c:v>
                </c:pt>
                <c:pt idx="1853">
                  <c:v>0.43640128320337129</c:v>
                </c:pt>
                <c:pt idx="1854">
                  <c:v>0.43807083290982873</c:v>
                </c:pt>
                <c:pt idx="1855">
                  <c:v>0.4397735814890093</c:v>
                </c:pt>
                <c:pt idx="1856">
                  <c:v>0.44150959667322942</c:v>
                </c:pt>
                <c:pt idx="1857">
                  <c:v>0.44327895205603474</c:v>
                </c:pt>
                <c:pt idx="1858">
                  <c:v>0.44508172702728638</c:v>
                </c:pt>
                <c:pt idx="1859">
                  <c:v>0.44691800671102422</c:v>
                </c:pt>
                <c:pt idx="1860">
                  <c:v>0.44878788190602786</c:v>
                </c:pt>
                <c:pt idx="1861">
                  <c:v>0.45069144902899733</c:v>
                </c:pt>
                <c:pt idx="1862">
                  <c:v>0.45262881006027972</c:v>
                </c:pt>
                <c:pt idx="1863">
                  <c:v>0.45460007249207046</c:v>
                </c:pt>
                <c:pt idx="1864">
                  <c:v>0.45660534927901952</c:v>
                </c:pt>
                <c:pt idx="1865">
                  <c:v>0.45864475879117783</c:v>
                </c:pt>
                <c:pt idx="1866">
                  <c:v>0.46071842476921793</c:v>
                </c:pt>
                <c:pt idx="1867">
                  <c:v>0.46282647628186907</c:v>
                </c:pt>
                <c:pt idx="1868">
                  <c:v>0.46496904768550656</c:v>
                </c:pt>
                <c:pt idx="1869">
                  <c:v>0.46714627858583918</c:v>
                </c:pt>
                <c:pt idx="1870">
                  <c:v>0.46935831380163795</c:v>
                </c:pt>
                <c:pt idx="1871">
                  <c:v>0.47160530333045519</c:v>
                </c:pt>
                <c:pt idx="1872">
                  <c:v>0.4738874023162819</c:v>
                </c:pt>
                <c:pt idx="1873">
                  <c:v>0.47620477101909409</c:v>
                </c:pt>
                <c:pt idx="1874">
                  <c:v>0.478557574786241</c:v>
                </c:pt>
                <c:pt idx="1875">
                  <c:v>0.48094598402563005</c:v>
                </c:pt>
                <c:pt idx="1876">
                  <c:v>0.48337017418066297</c:v>
                </c:pt>
                <c:pt idx="1877">
                  <c:v>0.48583032570688323</c:v>
                </c:pt>
                <c:pt idx="1878">
                  <c:v>0.48832662405029109</c:v>
                </c:pt>
                <c:pt idx="1879">
                  <c:v>0.49085925962728977</c:v>
                </c:pt>
                <c:pt idx="1880">
                  <c:v>0.49342842780622231</c:v>
                </c:pt>
                <c:pt idx="1881">
                  <c:v>0.49603432889046478</c:v>
                </c:pt>
                <c:pt idx="1882">
                  <c:v>0.49867716810303886</c:v>
                </c:pt>
                <c:pt idx="1883">
                  <c:v>0.50135715557271165</c:v>
                </c:pt>
                <c:pt idx="1884">
                  <c:v>0.50407450632154904</c:v>
                </c:pt>
                <c:pt idx="1885">
                  <c:v>0.50682944025389109</c:v>
                </c:pt>
                <c:pt idx="1886">
                  <c:v>0.50962218214671995</c:v>
                </c:pt>
                <c:pt idx="1887">
                  <c:v>0.51245296164139065</c:v>
                </c:pt>
                <c:pt idx="1888">
                  <c:v>0.51532201323669713</c:v>
                </c:pt>
                <c:pt idx="1889">
                  <c:v>0.51822957628324617</c:v>
                </c:pt>
                <c:pt idx="1890">
                  <c:v>0.52117589497911332</c:v>
                </c:pt>
                <c:pt idx="1891">
                  <c:v>0.52416121836675578</c:v>
                </c:pt>
                <c:pt idx="1892">
                  <c:v>0.52718580033115847</c:v>
                </c:pt>
                <c:pt idx="1893">
                  <c:v>0.53024989959918967</c:v>
                </c:pt>
                <c:pt idx="1894">
                  <c:v>0.53335377974014442</c:v>
                </c:pt>
                <c:pt idx="1895">
                  <c:v>0.53649770916745387</c:v>
                </c:pt>
                <c:pt idx="1896">
                  <c:v>0.5396819611415401</c:v>
                </c:pt>
                <c:pt idx="1897">
                  <c:v>0.54290681377379668</c:v>
                </c:pt>
                <c:pt idx="1898">
                  <c:v>0.54617255003167609</c:v>
                </c:pt>
                <c:pt idx="1899">
                  <c:v>0.54947945774486484</c:v>
                </c:pt>
                <c:pt idx="1900">
                  <c:v>0.55282782961252996</c:v>
                </c:pt>
                <c:pt idx="1901">
                  <c:v>0.55621796321161932</c:v>
                </c:pt>
                <c:pt idx="1902">
                  <c:v>0.55965016100619869</c:v>
                </c:pt>
                <c:pt idx="1903">
                  <c:v>0.5631247303578123</c:v>
                </c:pt>
                <c:pt idx="1904">
                  <c:v>0.56664198353684936</c:v>
                </c:pt>
                <c:pt idx="1905">
                  <c:v>0.57020223773490375</c:v>
                </c:pt>
                <c:pt idx="1906">
                  <c:v>0.57380581507811312</c:v>
                </c:pt>
                <c:pt idx="1907">
                  <c:v>0.57745304264146335</c:v>
                </c:pt>
                <c:pt idx="1908">
                  <c:v>0.58114425246404644</c:v>
                </c:pt>
                <c:pt idx="1909">
                  <c:v>0.58487978156526022</c:v>
                </c:pt>
                <c:pt idx="1910">
                  <c:v>0.58865997196193676</c:v>
                </c:pt>
                <c:pt idx="1911">
                  <c:v>0.59248517068639017</c:v>
                </c:pt>
                <c:pt idx="1912">
                  <c:v>0.5963557298053721</c:v>
                </c:pt>
                <c:pt idx="1913">
                  <c:v>0.60027200643992573</c:v>
                </c:pt>
                <c:pt idx="1914">
                  <c:v>0.60423436278612763</c:v>
                </c:pt>
                <c:pt idx="1915">
                  <c:v>0.60824316613670881</c:v>
                </c:pt>
                <c:pt idx="1916">
                  <c:v>0.61229878890354683</c:v>
                </c:pt>
                <c:pt idx="1917">
                  <c:v>0.61640160864101967</c:v>
                </c:pt>
                <c:pt idx="1918">
                  <c:v>0.62055200807021438</c:v>
                </c:pt>
                <c:pt idx="1919">
                  <c:v>0.62475037510398157</c:v>
                </c:pt>
                <c:pt idx="1920">
                  <c:v>0.62899710287283062</c:v>
                </c:pt>
                <c:pt idx="1921">
                  <c:v>0.63329258975165748</c:v>
                </c:pt>
                <c:pt idx="1922">
                  <c:v>0.63763723938729866</c:v>
                </c:pt>
                <c:pt idx="1923">
                  <c:v>0.64203146072690631</c:v>
                </c:pt>
                <c:pt idx="1924">
                  <c:v>0.64647566804713819</c:v>
                </c:pt>
                <c:pt idx="1925">
                  <c:v>0.65097028098415677</c:v>
                </c:pt>
                <c:pt idx="1926">
                  <c:v>0.6555157245644333</c:v>
                </c:pt>
                <c:pt idx="1927">
                  <c:v>0.66011242923635161</c:v>
                </c:pt>
                <c:pt idx="1928">
                  <c:v>0.66476083090260751</c:v>
                </c:pt>
                <c:pt idx="1929">
                  <c:v>0.66946137095339964</c:v>
                </c:pt>
                <c:pt idx="1930">
                  <c:v>0.67421449630040764</c:v>
                </c:pt>
                <c:pt idx="1931">
                  <c:v>0.67902065941155521</c:v>
                </c:pt>
                <c:pt idx="1932">
                  <c:v>0.68388031834655372</c:v>
                </c:pt>
                <c:pt idx="1933">
                  <c:v>0.68879393679322343</c:v>
                </c:pt>
                <c:pt idx="1934">
                  <c:v>0.69376198410459122</c:v>
                </c:pt>
                <c:pt idx="1935">
                  <c:v>0.69878493533676023</c:v>
                </c:pt>
                <c:pt idx="1936">
                  <c:v>0.70386327128755111</c:v>
                </c:pt>
                <c:pt idx="1937">
                  <c:v>0.70899747853591166</c:v>
                </c:pt>
                <c:pt idx="1938">
                  <c:v>0.7141880494820938</c:v>
                </c:pt>
                <c:pt idx="1939">
                  <c:v>0.71943548238859711</c:v>
                </c:pt>
                <c:pt idx="1940">
                  <c:v>0.72474028142187596</c:v>
                </c:pt>
                <c:pt idx="1941">
                  <c:v>0.73010295669481129</c:v>
                </c:pt>
                <c:pt idx="1942">
                  <c:v>0.73552402430994479</c:v>
                </c:pt>
                <c:pt idx="1943">
                  <c:v>0.74100400640347575</c:v>
                </c:pt>
                <c:pt idx="1944">
                  <c:v>0.74654343119002031</c:v>
                </c:pt>
                <c:pt idx="1945">
                  <c:v>0.75214283300813223</c:v>
                </c:pt>
                <c:pt idx="1946">
                  <c:v>0.75780275236658612</c:v>
                </c:pt>
                <c:pt idx="1947">
                  <c:v>0.7635237359914232</c:v>
                </c:pt>
                <c:pt idx="1948">
                  <c:v>0.76930633687376027</c:v>
                </c:pt>
                <c:pt idx="1949">
                  <c:v>0.77515111431836148</c:v>
                </c:pt>
                <c:pt idx="1950">
                  <c:v>0.78105863399297526</c:v>
                </c:pt>
                <c:pt idx="1951">
                  <c:v>0.78702946797843742</c:v>
                </c:pt>
                <c:pt idx="1952">
                  <c:v>0.79306419481954005</c:v>
                </c:pt>
                <c:pt idx="1953">
                  <c:v>0.79916339957666949</c:v>
                </c:pt>
                <c:pt idx="1954">
                  <c:v>0.80532767387821347</c:v>
                </c:pt>
                <c:pt idx="1955">
                  <c:v>0.81155761597374099</c:v>
                </c:pt>
                <c:pt idx="1956">
                  <c:v>0.81785383078795504</c:v>
                </c:pt>
                <c:pt idx="1957">
                  <c:v>0.82421692997542162</c:v>
                </c:pt>
                <c:pt idx="1958">
                  <c:v>0.83064753197607599</c:v>
                </c:pt>
                <c:pt idx="1959">
                  <c:v>0.83714626207151088</c:v>
                </c:pt>
                <c:pt idx="1960">
                  <c:v>0.84371375244204638</c:v>
                </c:pt>
                <c:pt idx="1961">
                  <c:v>0.85035064222458645</c:v>
                </c:pt>
                <c:pt idx="1962">
                  <c:v>0.85705757757126411</c:v>
                </c:pt>
                <c:pt idx="1963">
                  <c:v>0.86383521170887867</c:v>
                </c:pt>
                <c:pt idx="1964">
                  <c:v>0.87068420499912769</c:v>
                </c:pt>
                <c:pt idx="1965">
                  <c:v>0.87760522499963789</c:v>
                </c:pt>
                <c:pt idx="1966">
                  <c:v>0.88459894652579818</c:v>
                </c:pt>
                <c:pt idx="1967">
                  <c:v>0.89166605171339752</c:v>
                </c:pt>
                <c:pt idx="1968">
                  <c:v>0.89880723008207319</c:v>
                </c:pt>
                <c:pt idx="1969">
                  <c:v>0.90602317859957282</c:v>
                </c:pt>
                <c:pt idx="1970">
                  <c:v>0.91331460174683265</c:v>
                </c:pt>
                <c:pt idx="1971">
                  <c:v>0.92068221158387875</c:v>
                </c:pt>
                <c:pt idx="1972">
                  <c:v>0.92812672781655436</c:v>
                </c:pt>
                <c:pt idx="1973">
                  <c:v>0.93564887786407758</c:v>
                </c:pt>
                <c:pt idx="1974">
                  <c:v>0.94324939692743492</c:v>
                </c:pt>
                <c:pt idx="1975">
                  <c:v>0.95092902805861468</c:v>
                </c:pt>
                <c:pt idx="1976">
                  <c:v>0.95868852223068535</c:v>
                </c:pt>
                <c:pt idx="1977">
                  <c:v>0.96652863840872449</c:v>
                </c:pt>
                <c:pt idx="1978">
                  <c:v>0.97445014362160343</c:v>
                </c:pt>
                <c:pt idx="1979">
                  <c:v>0.98245381303463164</c:v>
                </c:pt>
                <c:pt idx="1980">
                  <c:v>0.99054043002306769</c:v>
                </c:pt>
                <c:pt idx="1981">
                  <c:v>0.99871078624650267</c:v>
                </c:pt>
                <c:pt idx="1982">
                  <c:v>1.0069656817241195</c:v>
                </c:pt>
                <c:pt idx="1983">
                  <c:v>1.0153059249108378</c:v>
                </c:pt>
                <c:pt idx="1984">
                  <c:v>1.0237323327743453</c:v>
                </c:pt>
                <c:pt idx="1985">
                  <c:v>1.0322457308730273</c:v>
                </c:pt>
                <c:pt idx="1986">
                  <c:v>1.0408469534347951</c:v>
                </c:pt>
                <c:pt idx="1987">
                  <c:v>1.0495368434368249</c:v>
                </c:pt>
                <c:pt idx="1988">
                  <c:v>1.0583162526862093</c:v>
                </c:pt>
                <c:pt idx="1989">
                  <c:v>1.0671860419015309</c:v>
                </c:pt>
                <c:pt idx="1990">
                  <c:v>1.0761470807953624</c:v>
                </c:pt>
                <c:pt idx="1991">
                  <c:v>1.0852002481577028</c:v>
                </c:pt>
                <c:pt idx="1992">
                  <c:v>1.0943464319403542</c:v>
                </c:pt>
                <c:pt idx="1993">
                  <c:v>1.1035865293422473</c:v>
                </c:pt>
                <c:pt idx="1994">
                  <c:v>1.1129214468957231</c:v>
                </c:pt>
                <c:pt idx="1995">
                  <c:v>1.122352100553778</c:v>
                </c:pt>
                <c:pt idx="1996">
                  <c:v>1.1318794157782783</c:v>
                </c:pt>
                <c:pt idx="1997">
                  <c:v>1.1415043276291552</c:v>
                </c:pt>
                <c:pt idx="1998">
                  <c:v>1.1512277808545834</c:v>
                </c:pt>
                <c:pt idx="1999">
                  <c:v>1.1610507299821555</c:v>
                </c:pt>
                <c:pt idx="2000">
                  <c:v>1.1709741394110571</c:v>
                </c:pt>
                <c:pt idx="2001">
                  <c:v>1.1809989835052521</c:v>
                </c:pt>
                <c:pt idx="2002">
                  <c:v>1.1911262466876862</c:v>
                </c:pt>
                <c:pt idx="2003">
                  <c:v>1.2013569235355159</c:v>
                </c:pt>
                <c:pt idx="2004">
                  <c:v>1.2116920188763745</c:v>
                </c:pt>
                <c:pt idx="2005">
                  <c:v>1.2221325478856793</c:v>
                </c:pt>
                <c:pt idx="2006">
                  <c:v>1.2326795361849918</c:v>
                </c:pt>
                <c:pt idx="2007">
                  <c:v>1.24333401994144</c:v>
                </c:pt>
                <c:pt idx="2008">
                  <c:v>1.2540970459682084</c:v>
                </c:pt>
                <c:pt idx="2009">
                  <c:v>1.2649696718261092</c:v>
                </c:pt>
                <c:pt idx="2010">
                  <c:v>1.2759529659262405</c:v>
                </c:pt>
                <c:pt idx="2011">
                  <c:v>1.2870480076337421</c:v>
                </c:pt>
                <c:pt idx="2012">
                  <c:v>1.2982558873726586</c:v>
                </c:pt>
                <c:pt idx="2013">
                  <c:v>1.3095777067319201</c:v>
                </c:pt>
                <c:pt idx="2014">
                  <c:v>1.3210145785724468</c:v>
                </c:pt>
                <c:pt idx="2015">
                  <c:v>1.3325676271353915</c:v>
                </c:pt>
                <c:pt idx="2016">
                  <c:v>1.3442379881515285</c:v>
                </c:pt>
                <c:pt idx="2017">
                  <c:v>1.3560268089517977</c:v>
                </c:pt>
                <c:pt idx="2018">
                  <c:v>1.3679352485790155</c:v>
                </c:pt>
                <c:pt idx="2019">
                  <c:v>1.379964477900762</c:v>
                </c:pt>
                <c:pt idx="2020">
                  <c:v>1.3921156797234568</c:v>
                </c:pt>
                <c:pt idx="2021">
                  <c:v>1.4043900489076306</c:v>
                </c:pt>
                <c:pt idx="2022">
                  <c:v>1.4167887924844083</c:v>
                </c:pt>
                <c:pt idx="2023">
                  <c:v>1.4293131297732087</c:v>
                </c:pt>
                <c:pt idx="2024">
                  <c:v>1.4419642925006755</c:v>
                </c:pt>
                <c:pt idx="2025">
                  <c:v>1.4547435249208516</c:v>
                </c:pt>
                <c:pt idx="2026">
                  <c:v>1.4676520839366045</c:v>
                </c:pt>
                <c:pt idx="2027">
                  <c:v>1.4806912392223164</c:v>
                </c:pt>
                <c:pt idx="2028">
                  <c:v>1.4938622733478508</c:v>
                </c:pt>
                <c:pt idx="2029">
                  <c:v>1.5071664819038064</c:v>
                </c:pt>
                <c:pt idx="2030">
                  <c:v>1.5206051736280688</c:v>
                </c:pt>
                <c:pt idx="2031">
                  <c:v>1.5341796705336768</c:v>
                </c:pt>
                <c:pt idx="2032">
                  <c:v>1.5478913080380099</c:v>
                </c:pt>
                <c:pt idx="2033">
                  <c:v>1.561741435093311</c:v>
                </c:pt>
                <c:pt idx="2034">
                  <c:v>1.5757314143185592</c:v>
                </c:pt>
                <c:pt idx="2035">
                  <c:v>1.589862622132701</c:v>
                </c:pt>
                <c:pt idx="2036">
                  <c:v>1.6041364488892567</c:v>
                </c:pt>
                <c:pt idx="2037">
                  <c:v>1.6185542990123112</c:v>
                </c:pt>
                <c:pt idx="2038">
                  <c:v>1.6331175911339051</c:v>
                </c:pt>
                <c:pt idx="2039">
                  <c:v>1.6478277582328378</c:v>
                </c:pt>
                <c:pt idx="2040">
                  <c:v>1.6626862477748934</c:v>
                </c:pt>
                <c:pt idx="2041">
                  <c:v>1.6776945218545105</c:v>
                </c:pt>
                <c:pt idx="2042">
                  <c:v>1.6928540573378985</c:v>
                </c:pt>
                <c:pt idx="2043">
                  <c:v>1.7081663460076242</c:v>
                </c:pt>
                <c:pt idx="2044">
                  <c:v>1.7236328947086759</c:v>
                </c:pt>
                <c:pt idx="2045">
                  <c:v>1.7392552254960225</c:v>
                </c:pt>
                <c:pt idx="2046">
                  <c:v>1.7550348757836798</c:v>
                </c:pt>
                <c:pt idx="2047">
                  <c:v>1.7709733984952987</c:v>
                </c:pt>
                <c:pt idx="2048">
                  <c:v>1.7870723622162921</c:v>
                </c:pt>
                <c:pt idx="2049">
                  <c:v>1.8033333513475105</c:v>
                </c:pt>
                <c:pt idx="2050">
                  <c:v>1.8197579662604857</c:v>
                </c:pt>
                <c:pt idx="2051">
                  <c:v>1.8363478234542543</c:v>
                </c:pt>
                <c:pt idx="2052">
                  <c:v>1.8531045557137789</c:v>
                </c:pt>
                <c:pt idx="2053">
                  <c:v>1.8700298122699781</c:v>
                </c:pt>
                <c:pt idx="2054">
                  <c:v>1.8871252589613865</c:v>
                </c:pt>
                <c:pt idx="2055">
                  <c:v>1.9043925783974534</c:v>
                </c:pt>
                <c:pt idx="2056">
                  <c:v>1.9218334701235031</c:v>
                </c:pt>
                <c:pt idx="2057">
                  <c:v>1.9394496507873678</c:v>
                </c:pt>
                <c:pt idx="2058">
                  <c:v>1.9572428543077103</c:v>
                </c:pt>
                <c:pt idx="2059">
                  <c:v>1.9752148320440528</c:v>
                </c:pt>
                <c:pt idx="2060">
                  <c:v>1.9933673529685305</c:v>
                </c:pt>
                <c:pt idx="2061">
                  <c:v>2.0117022038393824</c:v>
                </c:pt>
                <c:pt idx="2062">
                  <c:v>2.0302211893761979</c:v>
                </c:pt>
                <c:pt idx="2063">
                  <c:v>2.0489261324369408</c:v>
                </c:pt>
                <c:pt idx="2064">
                  <c:v>2.0678188741967576</c:v>
                </c:pt>
                <c:pt idx="2065">
                  <c:v>2.0869012743285991</c:v>
                </c:pt>
                <c:pt idx="2066">
                  <c:v>2.1061752111856604</c:v>
                </c:pt>
                <c:pt idx="2067">
                  <c:v>2.1256425819856721</c:v>
                </c:pt>
                <c:pt idx="2068">
                  <c:v>2.1453053029970439</c:v>
                </c:pt>
                <c:pt idx="2069">
                  <c:v>2.1651653097268921</c:v>
                </c:pt>
                <c:pt idx="2070">
                  <c:v>2.1852245571109616</c:v>
                </c:pt>
                <c:pt idx="2071">
                  <c:v>2.2054850197054638</c:v>
                </c:pt>
                <c:pt idx="2072">
                  <c:v>2.2259486918808493</c:v>
                </c:pt>
                <c:pt idx="2073">
                  <c:v>2.2466175880175316</c:v>
                </c:pt>
                <c:pt idx="2074">
                  <c:v>2.2674937427035817</c:v>
                </c:pt>
                <c:pt idx="2075">
                  <c:v>2.2885792109344179</c:v>
                </c:pt>
                <c:pt idx="2076">
                  <c:v>2.3098760683145008</c:v>
                </c:pt>
                <c:pt idx="2077">
                  <c:v>2.3313864112610596</c:v>
                </c:pt>
                <c:pt idx="2078">
                  <c:v>2.3531123572098704</c:v>
                </c:pt>
                <c:pt idx="2079">
                  <c:v>2.3750560448231015</c:v>
                </c:pt>
                <c:pt idx="2080">
                  <c:v>2.3972196341992484</c:v>
                </c:pt>
                <c:pt idx="2081">
                  <c:v>2.4196053070851802</c:v>
                </c:pt>
                <c:pt idx="2082">
                  <c:v>2.4422152670903161</c:v>
                </c:pt>
                <c:pt idx="2083">
                  <c:v>2.4650517399029521</c:v>
                </c:pt>
                <c:pt idx="2084">
                  <c:v>2.4881169735087645</c:v>
                </c:pt>
                <c:pt idx="2085">
                  <c:v>2.5114132384115013</c:v>
                </c:pt>
                <c:pt idx="2086">
                  <c:v>2.5349428278558936</c:v>
                </c:pt>
                <c:pt idx="2087">
                  <c:v>2.558708058052801</c:v>
                </c:pt>
                <c:pt idx="2088">
                  <c:v>2.582711268406618</c:v>
                </c:pt>
                <c:pt idx="2089">
                  <c:v>2.6069548217449605</c:v>
                </c:pt>
                <c:pt idx="2090">
                  <c:v>2.6314411045506536</c:v>
                </c:pt>
                <c:pt idx="2091">
                  <c:v>2.6561725271960479</c:v>
                </c:pt>
                <c:pt idx="2092">
                  <c:v>2.6811515241796835</c:v>
                </c:pt>
                <c:pt idx="2093">
                  <c:v>2.7063805543653259</c:v>
                </c:pt>
                <c:pt idx="2094">
                  <c:v>2.7318621012233946</c:v>
                </c:pt>
                <c:pt idx="2095">
                  <c:v>2.757598673074813</c:v>
                </c:pt>
                <c:pt idx="2096">
                  <c:v>2.783592803337299</c:v>
                </c:pt>
                <c:pt idx="2097">
                  <c:v>2.8098470507741218</c:v>
                </c:pt>
                <c:pt idx="2098">
                  <c:v>2.8363639997453491</c:v>
                </c:pt>
                <c:pt idx="2099">
                  <c:v>2.8631462604616065</c:v>
                </c:pt>
                <c:pt idx="2100">
                  <c:v>2.8901964692403816</c:v>
                </c:pt>
                <c:pt idx="2101">
                  <c:v>2.9175172887648864</c:v>
                </c:pt>
                <c:pt idx="2102">
                  <c:v>2.9451114083455132</c:v>
                </c:pt>
                <c:pt idx="2103">
                  <c:v>2.9729815441839036</c:v>
                </c:pt>
                <c:pt idx="2104">
                  <c:v>3.0011304396396592</c:v>
                </c:pt>
                <c:pt idx="2105">
                  <c:v>3.0295608654997186</c:v>
                </c:pt>
                <c:pt idx="2106">
                  <c:v>3.0582756202504231</c:v>
                </c:pt>
                <c:pt idx="2107">
                  <c:v>3.0872775303523103</c:v>
                </c:pt>
                <c:pt idx="2108">
                  <c:v>3.1165694505176447</c:v>
                </c:pt>
                <c:pt idx="2109">
                  <c:v>3.1461542639907263</c:v>
                </c:pt>
                <c:pt idx="2110">
                  <c:v>3.1760348828309977</c:v>
                </c:pt>
                <c:pt idx="2111">
                  <c:v>3.206214248198981</c:v>
                </c:pt>
                <c:pt idx="2112">
                  <c:v>3.2366953306450652</c:v>
                </c:pt>
                <c:pt idx="2113">
                  <c:v>3.2674811304011837</c:v>
                </c:pt>
                <c:pt idx="2114">
                  <c:v>3.2985746776753984</c:v>
                </c:pt>
                <c:pt idx="2115">
                  <c:v>3.3299790329494288</c:v>
                </c:pt>
                <c:pt idx="2116">
                  <c:v>3.3616972872791457</c:v>
                </c:pt>
                <c:pt idx="2117">
                  <c:v>3.3937325625980699</c:v>
                </c:pt>
                <c:pt idx="2118">
                  <c:v>3.4260880120238935</c:v>
                </c:pt>
                <c:pt idx="2119">
                  <c:v>3.4587668201680621</c:v>
                </c:pt>
                <c:pt idx="2120">
                  <c:v>3.4917722034484449</c:v>
                </c:pt>
                <c:pt idx="2121">
                  <c:v>3.5251074104051239</c:v>
                </c:pt>
                <c:pt idx="2122">
                  <c:v>3.5587757220193303</c:v>
                </c:pt>
                <c:pt idx="2123">
                  <c:v>3.5927804520355648</c:v>
                </c:pt>
                <c:pt idx="2124">
                  <c:v>3.627124947286926</c:v>
                </c:pt>
                <c:pt idx="2125">
                  <c:v>3.6618125880236829</c:v>
                </c:pt>
                <c:pt idx="2126">
                  <c:v>3.696846788245125</c:v>
                </c:pt>
                <c:pt idx="2127">
                  <c:v>3.7322309960347169</c:v>
                </c:pt>
                <c:pt idx="2128">
                  <c:v>3.7679686938985935</c:v>
                </c:pt>
                <c:pt idx="2129">
                  <c:v>3.8040633991074295</c:v>
                </c:pt>
                <c:pt idx="2130">
                  <c:v>3.840518664041713</c:v>
                </c:pt>
                <c:pt idx="2131">
                  <c:v>3.8773380765404597</c:v>
                </c:pt>
                <c:pt idx="2132">
                  <c:v>3.9145252602534031</c:v>
                </c:pt>
                <c:pt idx="2133">
                  <c:v>3.9520838749966853</c:v>
                </c:pt>
                <c:pt idx="2134">
                  <c:v>3.9900176171120982</c:v>
                </c:pt>
                <c:pt idx="2135">
                  <c:v>4.0283302198298978</c:v>
                </c:pt>
                <c:pt idx="2136">
                  <c:v>4.067025453635229</c:v>
                </c:pt>
                <c:pt idx="2137">
                  <c:v>4.1061071266382028</c:v>
                </c:pt>
                <c:pt idx="2138">
                  <c:v>4.1455790849476539</c:v>
                </c:pt>
                <c:pt idx="2139">
                  <c:v>4.1854452130486193</c:v>
                </c:pt>
                <c:pt idx="2140">
                  <c:v>4.2257094341835755</c:v>
                </c:pt>
                <c:pt idx="2141">
                  <c:v>4.2663757107374662</c:v>
                </c:pt>
                <c:pt idx="2142">
                  <c:v>4.3074480446265602</c:v>
                </c:pt>
                <c:pt idx="2143">
                  <c:v>4.3489304776911855</c:v>
                </c:pt>
                <c:pt idx="2144">
                  <c:v>4.3908270920923611</c:v>
                </c:pt>
                <c:pt idx="2145">
                  <c:v>4.4331420107123796</c:v>
                </c:pt>
                <c:pt idx="2146">
                  <c:v>4.4758793975593703</c:v>
                </c:pt>
                <c:pt idx="2147">
                  <c:v>4.5190434581758909</c:v>
                </c:pt>
                <c:pt idx="2148">
                  <c:v>4.5626384400515771</c:v>
                </c:pt>
                <c:pt idx="2149">
                  <c:v>4.6066686330398952</c:v>
                </c:pt>
                <c:pt idx="2150">
                  <c:v>4.6511383697790443</c:v>
                </c:pt>
                <c:pt idx="2151">
                  <c:v>4.6960520261170329</c:v>
                </c:pt>
                <c:pt idx="2152">
                  <c:v>4.7414140215409875</c:v>
                </c:pt>
                <c:pt idx="2153">
                  <c:v>4.7872288196107267</c:v>
                </c:pt>
                <c:pt idx="2154">
                  <c:v>4.8335009283966448</c:v>
                </c:pt>
                <c:pt idx="2155">
                  <c:v>4.8802349009219403</c:v>
                </c:pt>
                <c:pt idx="2156">
                  <c:v>4.9274353356092488</c:v>
                </c:pt>
                <c:pt idx="2157">
                  <c:v>4.9751068767317044</c:v>
                </c:pt>
                <c:pt idx="2158">
                  <c:v>5.0232542148684844</c:v>
                </c:pt>
                <c:pt idx="2159">
                  <c:v>5.0718820873648811</c:v>
                </c:pt>
                <c:pt idx="2160">
                  <c:v>5.1209952787969408</c:v>
                </c:pt>
                <c:pt idx="2161">
                  <c:v>5.1705986214407149</c:v>
                </c:pt>
                <c:pt idx="2162">
                  <c:v>5.2206969957461773</c:v>
                </c:pt>
                <c:pt idx="2163">
                  <c:v>5.2712953308158363</c:v>
                </c:pt>
                <c:pt idx="2164">
                  <c:v>5.3223986048881109</c:v>
                </c:pt>
                <c:pt idx="2165">
                  <c:v>5.3740118458254953</c:v>
                </c:pt>
                <c:pt idx="2166">
                  <c:v>5.4261401316075739</c:v>
                </c:pt>
                <c:pt idx="2167">
                  <c:v>5.4787885908289269</c:v>
                </c:pt>
                <c:pt idx="2168">
                  <c:v>5.5319624032019776</c:v>
                </c:pt>
                <c:pt idx="2169">
                  <c:v>5.5856668000648302</c:v>
                </c:pt>
                <c:pt idx="2170">
                  <c:v>5.6399070648941461</c:v>
                </c:pt>
                <c:pt idx="2171">
                  <c:v>5.694688533823105</c:v>
                </c:pt>
                <c:pt idx="2172">
                  <c:v>5.7500165961645093</c:v>
                </c:pt>
                <c:pt idx="2173">
                  <c:v>5.8058966949390731</c:v>
                </c:pt>
                <c:pt idx="2174">
                  <c:v>5.8623343274089494</c:v>
                </c:pt>
                <c:pt idx="2175">
                  <c:v>5.9193350456165517</c:v>
                </c:pt>
                <c:pt idx="2176">
                  <c:v>5.9769044569287173</c:v>
                </c:pt>
                <c:pt idx="2177">
                  <c:v>6.0350482245862604</c:v>
                </c:pt>
                <c:pt idx="2178">
                  <c:v>6.093772068258982</c:v>
                </c:pt>
                <c:pt idx="2179">
                  <c:v>6.1530817646061724</c:v>
                </c:pt>
                <c:pt idx="2180">
                  <c:v>6.2129831478426727</c:v>
                </c:pt>
                <c:pt idx="2181">
                  <c:v>6.2734821103105505</c:v>
                </c:pt>
                <c:pt idx="2182">
                  <c:v>6.3345846030564266</c:v>
                </c:pt>
                <c:pt idx="2183">
                  <c:v>6.3962966364145402</c:v>
                </c:pt>
                <c:pt idx="2184">
                  <c:v>6.4586242805955703</c:v>
                </c:pt>
                <c:pt idx="2185">
                  <c:v>6.5215736662813084</c:v>
                </c:pt>
                <c:pt idx="2186">
                  <c:v>6.5851509852252068</c:v>
                </c:pt>
                <c:pt idx="2187">
                  <c:v>6.6493624908588789</c:v>
                </c:pt>
                <c:pt idx="2188">
                  <c:v>6.7142144989046093</c:v>
                </c:pt>
                <c:pt idx="2189">
                  <c:v>6.7797133879939206</c:v>
                </c:pt>
                <c:pt idx="2190">
                  <c:v>6.84586560029227</c:v>
                </c:pt>
                <c:pt idx="2191">
                  <c:v>6.9126776421299221</c:v>
                </c:pt>
                <c:pt idx="2192">
                  <c:v>6.9801560846390736</c:v>
                </c:pt>
                <c:pt idx="2193">
                  <c:v>7.0483075643972803</c:v>
                </c:pt>
                <c:pt idx="2194">
                  <c:v>7.1171387840772429</c:v>
                </c:pt>
                <c:pt idx="2195">
                  <c:v>7.186656513103034</c:v>
                </c:pt>
                <c:pt idx="2196">
                  <c:v>7.256867588312808</c:v>
                </c:pt>
                <c:pt idx="2197">
                  <c:v>7.3277789146280661</c:v>
                </c:pt>
                <c:pt idx="2198">
                  <c:v>7.3993974657295407</c:v>
                </c:pt>
                <c:pt idx="2199">
                  <c:v>7.4717302847397677</c:v>
                </c:pt>
                <c:pt idx="2200">
                  <c:v>7.5447844849124008</c:v>
                </c:pt>
                <c:pt idx="2201">
                  <c:v>7.6185672503283399</c:v>
                </c:pt>
                <c:pt idx="2202">
                  <c:v>7.6930858365987467</c:v>
                </c:pt>
                <c:pt idx="2203">
                  <c:v>7.7683475715750001</c:v>
                </c:pt>
                <c:pt idx="2204">
                  <c:v>7.8443598560656724</c:v>
                </c:pt>
                <c:pt idx="2205">
                  <c:v>7.9211301645605854</c:v>
                </c:pt>
                <c:pt idx="2206">
                  <c:v>7.9986660459620218</c:v>
                </c:pt>
                <c:pt idx="2207">
                  <c:v>8.0769751243231553</c:v>
                </c:pt>
                <c:pt idx="2208">
                  <c:v>8.1560650995937749</c:v>
                </c:pt>
                <c:pt idx="2209">
                  <c:v>8.2359437483733746</c:v>
                </c:pt>
                <c:pt idx="2210">
                  <c:v>8.3166189246716744</c:v>
                </c:pt>
                <c:pt idx="2211">
                  <c:v>8.3980985606766492</c:v>
                </c:pt>
                <c:pt idx="2212">
                  <c:v>8.4803906675301359</c:v>
                </c:pt>
                <c:pt idx="2213">
                  <c:v>8.563503336111097</c:v>
                </c:pt>
                <c:pt idx="2214">
                  <c:v>8.6474447378266142</c:v>
                </c:pt>
                <c:pt idx="2215">
                  <c:v>8.7322231254106768</c:v>
                </c:pt>
                <c:pt idx="2216">
                  <c:v>8.8178468337308527</c:v>
                </c:pt>
                <c:pt idx="2217">
                  <c:v>8.9043242806029141</c:v>
                </c:pt>
                <c:pt idx="2218">
                  <c:v>8.9916639676134995</c:v>
                </c:pt>
                <c:pt idx="2219">
                  <c:v>9.0798744809508705</c:v>
                </c:pt>
                <c:pt idx="2220">
                  <c:v>9.1689644922438749</c:v>
                </c:pt>
                <c:pt idx="2221">
                  <c:v>9.258942759409166</c:v>
                </c:pt>
                <c:pt idx="2222">
                  <c:v>9.3498181275067704</c:v>
                </c:pt>
                <c:pt idx="2223">
                  <c:v>9.4415995296040833</c:v>
                </c:pt>
                <c:pt idx="2224">
                  <c:v>9.5342959876483775</c:v>
                </c:pt>
                <c:pt idx="2225">
                  <c:v>9.6279166133478942</c:v>
                </c:pt>
                <c:pt idx="2226">
                  <c:v>9.7224706090616202</c:v>
                </c:pt>
                <c:pt idx="2227">
                  <c:v>9.8179672686978137</c:v>
                </c:pt>
                <c:pt idx="2228">
                  <c:v>9.9144159786213724</c:v>
                </c:pt>
                <c:pt idx="2229">
                  <c:v>10.011826218570139</c:v>
                </c:pt>
                <c:pt idx="2230">
                  <c:v>10.110207562580204</c:v>
                </c:pt>
                <c:pt idx="2231">
                  <c:v>10.209569679920325</c:v>
                </c:pt>
                <c:pt idx="2232">
                  <c:v>10.30992233603552</c:v>
                </c:pt>
                <c:pt idx="2233">
                  <c:v>10.411275393499944</c:v>
                </c:pt>
                <c:pt idx="2234">
                  <c:v>10.513638812979131</c:v>
                </c:pt>
                <c:pt idx="2235">
                  <c:v>10.617022654201692</c:v>
                </c:pt>
                <c:pt idx="2236">
                  <c:v>10.721437076940546</c:v>
                </c:pt>
                <c:pt idx="2237">
                  <c:v>10.826892342003802</c:v>
                </c:pt>
                <c:pt idx="2238">
                  <c:v>10.933398812235371</c:v>
                </c:pt>
                <c:pt idx="2239">
                  <c:v>11.040966953525388</c:v>
                </c:pt>
                <c:pt idx="2240">
                  <c:v>11.149607335830561</c:v>
                </c:pt>
                <c:pt idx="2241">
                  <c:v>11.259330634204531</c:v>
                </c:pt>
                <c:pt idx="2242">
                  <c:v>11.370147629838332</c:v>
                </c:pt>
                <c:pt idx="2243">
                  <c:v>11.482069211111058</c:v>
                </c:pt>
                <c:pt idx="2244">
                  <c:v>11.595106374650838</c:v>
                </c:pt>
                <c:pt idx="2245">
                  <c:v>11.709270226406192</c:v>
                </c:pt>
                <c:pt idx="2246">
                  <c:v>11.824571982727912</c:v>
                </c:pt>
                <c:pt idx="2247">
                  <c:v>11.941022971461509</c:v>
                </c:pt>
                <c:pt idx="2248">
                  <c:v>12.058634633050382</c:v>
                </c:pt>
                <c:pt idx="2249">
                  <c:v>12.177418521649781</c:v>
                </c:pt>
                <c:pt idx="2250">
                  <c:v>12.297386306251674</c:v>
                </c:pt>
                <c:pt idx="2251">
                  <c:v>12.41854977182061</c:v>
                </c:pt>
                <c:pt idx="2252">
                  <c:v>12.540920820440702</c:v>
                </c:pt>
                <c:pt idx="2253">
                  <c:v>12.664511472473832</c:v>
                </c:pt>
                <c:pt idx="2254">
                  <c:v>12.789333867729157</c:v>
                </c:pt>
                <c:pt idx="2255">
                  <c:v>12.915400266644065</c:v>
                </c:pt>
                <c:pt idx="2256">
                  <c:v>13.042723051476658</c:v>
                </c:pt>
                <c:pt idx="2257">
                  <c:v>13.171314727509873</c:v>
                </c:pt>
                <c:pt idx="2258">
                  <c:v>13.301187924267374</c:v>
                </c:pt>
                <c:pt idx="2259">
                  <c:v>13.432355396741297</c:v>
                </c:pt>
                <c:pt idx="2260">
                  <c:v>13.564830026631972</c:v>
                </c:pt>
                <c:pt idx="2261">
                  <c:v>13.698624823599747</c:v>
                </c:pt>
                <c:pt idx="2262">
                  <c:v>13.833752926529</c:v>
                </c:pt>
                <c:pt idx="2263">
                  <c:v>13.970227604804476</c:v>
                </c:pt>
                <c:pt idx="2264">
                  <c:v>14.108062259600048</c:v>
                </c:pt>
                <c:pt idx="2265">
                  <c:v>14.247270425180044</c:v>
                </c:pt>
                <c:pt idx="2266">
                  <c:v>14.387865770213219</c:v>
                </c:pt>
                <c:pt idx="2267">
                  <c:v>14.529862099099516</c:v>
                </c:pt>
                <c:pt idx="2268">
                  <c:v>14.673273353309742</c:v>
                </c:pt>
                <c:pt idx="2269">
                  <c:v>14.818113612738252</c:v>
                </c:pt>
                <c:pt idx="2270">
                  <c:v>14.964397097068785</c:v>
                </c:pt>
                <c:pt idx="2271">
                  <c:v>15.11213816715355</c:v>
                </c:pt>
                <c:pt idx="2272">
                  <c:v>15.261351326405721</c:v>
                </c:pt>
                <c:pt idx="2273">
                  <c:v>15.412051222205431</c:v>
                </c:pt>
                <c:pt idx="2274">
                  <c:v>15.564252647319398</c:v>
                </c:pt>
                <c:pt idx="2275">
                  <c:v>15.717970541334322</c:v>
                </c:pt>
                <c:pt idx="2276">
                  <c:v>15.873219992104167</c:v>
                </c:pt>
                <c:pt idx="2277">
                  <c:v>16.030016237211456</c:v>
                </c:pt>
                <c:pt idx="2278">
                  <c:v>16.188374665442705</c:v>
                </c:pt>
                <c:pt idx="2279">
                  <c:v>16.348310818278154</c:v>
                </c:pt>
                <c:pt idx="2280">
                  <c:v>16.509840391395862</c:v>
                </c:pt>
                <c:pt idx="2281">
                  <c:v>16.672979236190375</c:v>
                </c:pt>
                <c:pt idx="2282">
                  <c:v>16.837743361306039</c:v>
                </c:pt>
                <c:pt idx="2283">
                  <c:v>17.004148934185118</c:v>
                </c:pt>
                <c:pt idx="2284">
                  <c:v>17.172212282630849</c:v>
                </c:pt>
                <c:pt idx="2285">
                  <c:v>17.341949896385565</c:v>
                </c:pt>
                <c:pt idx="2286">
                  <c:v>17.513378428724018</c:v>
                </c:pt>
                <c:pt idx="2287">
                  <c:v>17.686514698062059</c:v>
                </c:pt>
                <c:pt idx="2288">
                  <c:v>17.861375689580779</c:v>
                </c:pt>
                <c:pt idx="2289">
                  <c:v>18.037978556866271</c:v>
                </c:pt>
                <c:pt idx="2290">
                  <c:v>18.216340623565173</c:v>
                </c:pt>
                <c:pt idx="2291">
                  <c:v>18.396479385056079</c:v>
                </c:pt>
                <c:pt idx="2292">
                  <c:v>18.578412510137007</c:v>
                </c:pt>
                <c:pt idx="2293">
                  <c:v>18.762157842729049</c:v>
                </c:pt>
                <c:pt idx="2294">
                  <c:v>18.947733403596338</c:v>
                </c:pt>
                <c:pt idx="2295">
                  <c:v>19.135157392082494</c:v>
                </c:pt>
                <c:pt idx="2296">
                  <c:v>19.32444818786368</c:v>
                </c:pt>
                <c:pt idx="2297">
                  <c:v>19.515624352718408</c:v>
                </c:pt>
                <c:pt idx="2298">
                  <c:v>19.708704632314284</c:v>
                </c:pt>
                <c:pt idx="2299">
                  <c:v>19.903707958011761</c:v>
                </c:pt>
                <c:pt idx="2300">
                  <c:v>20.100653448685133</c:v>
                </c:pt>
                <c:pt idx="2301">
                  <c:v>20.299560412560851</c:v>
                </c:pt>
                <c:pt idx="2302">
                  <c:v>20.500448349073377</c:v>
                </c:pt>
                <c:pt idx="2303">
                  <c:v>20.703336950738645</c:v>
                </c:pt>
                <c:pt idx="2304">
                  <c:v>20.908246105045354</c:v>
                </c:pt>
                <c:pt idx="2305">
                  <c:v>21.115195896364217</c:v>
                </c:pt>
                <c:pt idx="2306">
                  <c:v>21.324206607875286</c:v>
                </c:pt>
                <c:pt idx="2307">
                  <c:v>21.535298723513584</c:v>
                </c:pt>
                <c:pt idx="2308">
                  <c:v>21.748492929933121</c:v>
                </c:pt>
                <c:pt idx="2309">
                  <c:v>21.963810118489487</c:v>
                </c:pt>
                <c:pt idx="2310">
                  <c:v>22.181271387241168</c:v>
                </c:pt>
                <c:pt idx="2311">
                  <c:v>22.40089804296974</c:v>
                </c:pt>
                <c:pt idx="2312">
                  <c:v>22.62271160321912</c:v>
                </c:pt>
                <c:pt idx="2313">
                  <c:v>22.846733798353984</c:v>
                </c:pt>
                <c:pt idx="2314">
                  <c:v>23.072986573637557</c:v>
                </c:pt>
                <c:pt idx="2315">
                  <c:v>23.301492091328896</c:v>
                </c:pt>
                <c:pt idx="2316">
                  <c:v>23.532272732799857</c:v>
                </c:pt>
                <c:pt idx="2317">
                  <c:v>23.765351100671886</c:v>
                </c:pt>
                <c:pt idx="2318">
                  <c:v>24.000750020972781</c:v>
                </c:pt>
                <c:pt idx="2319">
                  <c:v>24.238492545313616</c:v>
                </c:pt>
                <c:pt idx="2320">
                  <c:v>24.478601953085967</c:v>
                </c:pt>
                <c:pt idx="2321">
                  <c:v>24.721101753679584</c:v>
                </c:pt>
                <c:pt idx="2322">
                  <c:v>24.966015688720727</c:v>
                </c:pt>
                <c:pt idx="2323">
                  <c:v>25.213367734331257</c:v>
                </c:pt>
                <c:pt idx="2324">
                  <c:v>25.463182103408663</c:v>
                </c:pt>
                <c:pt idx="2325">
                  <c:v>25.715483247927239</c:v>
                </c:pt>
                <c:pt idx="2326">
                  <c:v>25.970295861260478</c:v>
                </c:pt>
                <c:pt idx="2327">
                  <c:v>26.227644880524924</c:v>
                </c:pt>
                <c:pt idx="2328">
                  <c:v>26.487555488945599</c:v>
                </c:pt>
                <c:pt idx="2329">
                  <c:v>26.750053118243184</c:v>
                </c:pt>
                <c:pt idx="2330">
                  <c:v>27.01516345104308</c:v>
                </c:pt>
                <c:pt idx="2331">
                  <c:v>27.282912423306577</c:v>
                </c:pt>
                <c:pt idx="2332">
                  <c:v>27.553326226784211</c:v>
                </c:pt>
                <c:pt idx="2333">
                  <c:v>27.826431311491504</c:v>
                </c:pt>
                <c:pt idx="2334">
                  <c:v>28.102254388207275</c:v>
                </c:pt>
                <c:pt idx="2335">
                  <c:v>28.380822430994598</c:v>
                </c:pt>
                <c:pt idx="2336">
                  <c:v>28.662162679744664</c:v>
                </c:pt>
                <c:pt idx="2337">
                  <c:v>28.946302642743607</c:v>
                </c:pt>
                <c:pt idx="2338">
                  <c:v>29.233270099262509</c:v>
                </c:pt>
                <c:pt idx="2339">
                  <c:v>29.523093102170719</c:v>
                </c:pt>
                <c:pt idx="2340">
                  <c:v>29.815799980572642</c:v>
                </c:pt>
                <c:pt idx="2341">
                  <c:v>30.111419342468121</c:v>
                </c:pt>
                <c:pt idx="2342">
                  <c:v>30.409980077436625</c:v>
                </c:pt>
                <c:pt idx="2343">
                  <c:v>30.711511359345298</c:v>
                </c:pt>
                <c:pt idx="2344">
                  <c:v>31.016042649081093</c:v>
                </c:pt>
                <c:pt idx="2345">
                  <c:v>31.323603697307135</c:v>
                </c:pt>
                <c:pt idx="2346">
                  <c:v>31.634224547243367</c:v>
                </c:pt>
                <c:pt idx="2347">
                  <c:v>31.947935537471711</c:v>
                </c:pt>
                <c:pt idx="2348">
                  <c:v>32.264767304765861</c:v>
                </c:pt>
                <c:pt idx="2349">
                  <c:v>32.584750786945804</c:v>
                </c:pt>
                <c:pt idx="2350">
                  <c:v>32.907917225757231</c:v>
                </c:pt>
                <c:pt idx="2351">
                  <c:v>33.23429816977599</c:v>
                </c:pt>
                <c:pt idx="2352">
                  <c:v>33.563925477337619</c:v>
                </c:pt>
                <c:pt idx="2353">
                  <c:v>33.896831319492236</c:v>
                </c:pt>
                <c:pt idx="2354">
                  <c:v>34.233048182984703</c:v>
                </c:pt>
                <c:pt idx="2355">
                  <c:v>34.572608873260364</c:v>
                </c:pt>
                <c:pt idx="2356">
                  <c:v>34.915546517496374</c:v>
                </c:pt>
                <c:pt idx="2357">
                  <c:v>35.261894567658715</c:v>
                </c:pt>
                <c:pt idx="2358">
                  <c:v>35.611686803585066</c:v>
                </c:pt>
                <c:pt idx="2359">
                  <c:v>35.96495733609359</c:v>
                </c:pt>
                <c:pt idx="2360">
                  <c:v>36.321740610117679</c:v>
                </c:pt>
                <c:pt idx="2361">
                  <c:v>36.68207140786685</c:v>
                </c:pt>
                <c:pt idx="2362">
                  <c:v>37.045984852013802</c:v>
                </c:pt>
                <c:pt idx="2363">
                  <c:v>37.413516408907711</c:v>
                </c:pt>
                <c:pt idx="2364">
                  <c:v>37.784701891813853</c:v>
                </c:pt>
                <c:pt idx="2365">
                  <c:v>38.159577464179641</c:v>
                </c:pt>
                <c:pt idx="2366">
                  <c:v>38.538179642927062</c:v>
                </c:pt>
                <c:pt idx="2367">
                  <c:v>38.920545301771611</c:v>
                </c:pt>
                <c:pt idx="2368">
                  <c:v>39.306711674567786</c:v>
                </c:pt>
                <c:pt idx="2369">
                  <c:v>39.696716358681087</c:v>
                </c:pt>
                <c:pt idx="2370">
                  <c:v>40.090597318386656</c:v>
                </c:pt>
                <c:pt idx="2371">
                  <c:v>40.488392888294477</c:v>
                </c:pt>
                <c:pt idx="2372">
                  <c:v>40.890141776801187</c:v>
                </c:pt>
                <c:pt idx="2373">
                  <c:v>41.295883069568475</c:v>
                </c:pt>
                <c:pt idx="2374">
                  <c:v>41.705656233028066</c:v>
                </c:pt>
                <c:pt idx="2375">
                  <c:v>42.119501117913252</c:v>
                </c:pt>
                <c:pt idx="2376">
                  <c:v>42.537457962816923</c:v>
                </c:pt>
                <c:pt idx="2377">
                  <c:v>42.95956739777607</c:v>
                </c:pt>
                <c:pt idx="2378">
                  <c:v>43.385870447882631</c:v>
                </c:pt>
                <c:pt idx="2379">
                  <c:v>43.816408536920697</c:v>
                </c:pt>
                <c:pt idx="2380">
                  <c:v>44.251223491029911</c:v>
                </c:pt>
                <c:pt idx="2381">
                  <c:v>44.690357542394928</c:v>
                </c:pt>
                <c:pt idx="2382">
                  <c:v>45.133853332960889</c:v>
                </c:pt>
                <c:pt idx="2383">
                  <c:v>45.581753918174712</c:v>
                </c:pt>
                <c:pt idx="2384">
                  <c:v>46.034102770752042</c:v>
                </c:pt>
                <c:pt idx="2385">
                  <c:v>46.490943784469671</c:v>
                </c:pt>
                <c:pt idx="2386">
                  <c:v>46.952321277983238</c:v>
                </c:pt>
                <c:pt idx="2387">
                  <c:v>47.41827999867003</c:v>
                </c:pt>
                <c:pt idx="2388">
                  <c:v>47.888865126496519</c:v>
                </c:pt>
                <c:pt idx="2389">
                  <c:v>48.364122277910504</c:v>
                </c:pt>
                <c:pt idx="2390">
                  <c:v>48.844097509757468</c:v>
                </c:pt>
                <c:pt idx="2391">
                  <c:v>49.328837323220853</c:v>
                </c:pt>
                <c:pt idx="2392">
                  <c:v>49.818388667785982</c:v>
                </c:pt>
                <c:pt idx="2393">
                  <c:v>50.312798945227122</c:v>
                </c:pt>
                <c:pt idx="2394">
                  <c:v>50.812116013617405</c:v>
                </c:pt>
                <c:pt idx="2395">
                  <c:v>51.316388191361064</c:v>
                </c:pt>
                <c:pt idx="2396">
                  <c:v>51.825664261247631</c:v>
                </c:pt>
                <c:pt idx="2397">
                  <c:v>52.339993474527517</c:v>
                </c:pt>
                <c:pt idx="2398">
                  <c:v>52.859425555008436</c:v>
                </c:pt>
                <c:pt idx="2399">
                  <c:v>53.384010703172123</c:v>
                </c:pt>
                <c:pt idx="2400">
                  <c:v>53.913799600310718</c:v>
                </c:pt>
                <c:pt idx="2401">
                  <c:v>54.448843412682166</c:v>
                </c:pt>
                <c:pt idx="2402">
                  <c:v>54.98919379568391</c:v>
                </c:pt>
                <c:pt idx="2403">
                  <c:v>55.534902898044109</c:v>
                </c:pt>
                <c:pt idx="2404">
                  <c:v>56.086023366029664</c:v>
                </c:pt>
                <c:pt idx="2405">
                  <c:v>56.642608347670091</c:v>
                </c:pt>
                <c:pt idx="2406">
                  <c:v>57.204711496996403</c:v>
                </c:pt>
                <c:pt idx="2407">
                  <c:v>57.772386978294044</c:v>
                </c:pt>
                <c:pt idx="2408">
                  <c:v>58.345689470368775</c:v>
                </c:pt>
                <c:pt idx="2409">
                  <c:v>58.924674170824538</c:v>
                </c:pt>
                <c:pt idx="2410">
                  <c:v>59.50939680035205</c:v>
                </c:pt>
                <c:pt idx="2411">
                  <c:v>60.099913607026927</c:v>
                </c:pt>
                <c:pt idx="2412">
                  <c:v>60.696281370616155</c:v>
                </c:pt>
                <c:pt idx="2413">
                  <c:v>61.298557406891277</c:v>
                </c:pt>
                <c:pt idx="2414">
                  <c:v>61.906799571947154</c:v>
                </c:pt>
                <c:pt idx="2415">
                  <c:v>62.521066266524521</c:v>
                </c:pt>
                <c:pt idx="2416">
                  <c:v>63.141416440334815</c:v>
                </c:pt>
                <c:pt idx="2417">
                  <c:v>63.767909596385572</c:v>
                </c:pt>
                <c:pt idx="2418">
                  <c:v>64.400605795304443</c:v>
                </c:pt>
                <c:pt idx="2419">
                  <c:v>65.039565659660113</c:v>
                </c:pt>
                <c:pt idx="2420">
                  <c:v>65.684850378277815</c:v>
                </c:pt>
                <c:pt idx="2421">
                  <c:v>66.336521710547558</c:v>
                </c:pt>
                <c:pt idx="2422">
                  <c:v>66.994641990722613</c:v>
                </c:pt>
                <c:pt idx="2423">
                  <c:v>67.65927413220588</c:v>
                </c:pt>
                <c:pt idx="2424">
                  <c:v>68.330481631821655</c:v>
                </c:pt>
                <c:pt idx="2425">
                  <c:v>69.008328574070049</c:v>
                </c:pt>
                <c:pt idx="2426">
                  <c:v>69.69287963536128</c:v>
                </c:pt>
                <c:pt idx="2427">
                  <c:v>70.384200088226834</c:v>
                </c:pt>
                <c:pt idx="2428">
                  <c:v>71.082355805504264</c:v>
                </c:pt>
                <c:pt idx="2429">
                  <c:v>71.787413264492372</c:v>
                </c:pt>
                <c:pt idx="2430">
                  <c:v>72.49943955107328</c:v>
                </c:pt>
                <c:pt idx="2431">
                  <c:v>73.218502363797541</c:v>
                </c:pt>
                <c:pt idx="2432">
                  <c:v>73.944670017928516</c:v>
                </c:pt>
                <c:pt idx="2433">
                  <c:v>74.678011449441797</c:v>
                </c:pt>
                <c:pt idx="2434">
                  <c:v>75.41859621897531</c:v>
                </c:pt>
                <c:pt idx="2435">
                  <c:v>76.166494515725503</c:v>
                </c:pt>
                <c:pt idx="2436">
                  <c:v>76.921777161284751</c:v>
                </c:pt>
                <c:pt idx="2437">
                  <c:v>77.684515613414845</c:v>
                </c:pt>
                <c:pt idx="2438">
                  <c:v>78.454781969751167</c:v>
                </c:pt>
                <c:pt idx="2439">
                  <c:v>79.232648971431729</c:v>
                </c:pt>
                <c:pt idx="2440">
                  <c:v>80.018190006645241</c:v>
                </c:pt>
                <c:pt idx="2441">
                  <c:v>80.811479114091597</c:v>
                </c:pt>
                <c:pt idx="2442">
                  <c:v>81.612590986348195</c:v>
                </c:pt>
                <c:pt idx="2443">
                  <c:v>82.421600973135071</c:v>
                </c:pt>
                <c:pt idx="2444">
                  <c:v>83.238585084471069</c:v>
                </c:pt>
                <c:pt idx="2445">
                  <c:v>84.063619993713516</c:v>
                </c:pt>
                <c:pt idx="2446">
                  <c:v>84.896783040472712</c:v>
                </c:pt>
                <c:pt idx="2447">
                  <c:v>85.738152233392682</c:v>
                </c:pt>
                <c:pt idx="2448">
                  <c:v>86.587806252788653</c:v>
                </c:pt>
                <c:pt idx="2449">
                  <c:v>87.445824453131621</c:v>
                </c:pt>
                <c:pt idx="2450">
                  <c:v>88.312286865369543</c:v>
                </c:pt>
                <c:pt idx="2451">
                  <c:v>89.187274199074196</c:v>
                </c:pt>
                <c:pt idx="2452">
                  <c:v>90.070867844402059</c:v>
                </c:pt>
                <c:pt idx="2453">
                  <c:v>90.963149873857105</c:v>
                </c:pt>
                <c:pt idx="2454">
                  <c:v>91.864203043842622</c:v>
                </c:pt>
                <c:pt idx="2455">
                  <c:v>92.774110795988065</c:v>
                </c:pt>
                <c:pt idx="2456">
                  <c:v>93.692957258236987</c:v>
                </c:pt>
                <c:pt idx="2457">
                  <c:v>94.620827245680459</c:v>
                </c:pt>
                <c:pt idx="2458">
                  <c:v>95.557806261119907</c:v>
                </c:pt>
                <c:pt idx="2459">
                  <c:v>96.503980495342518</c:v>
                </c:pt>
                <c:pt idx="2460">
                  <c:v>97.459436827090869</c:v>
                </c:pt>
                <c:pt idx="2461">
                  <c:v>98.424262822707973</c:v>
                </c:pt>
                <c:pt idx="2462">
                  <c:v>99.398546735437506</c:v>
                </c:pt>
                <c:pt idx="2463">
                  <c:v>100.38237750435782</c:v>
                </c:pt>
                <c:pt idx="2464">
                  <c:v>101.37584475292725</c:v>
                </c:pt>
                <c:pt idx="2465">
                  <c:v>102.37903878711685</c:v>
                </c:pt>
                <c:pt idx="2466">
                  <c:v>103.39205059310517</c:v>
                </c:pt>
                <c:pt idx="2467">
                  <c:v>104.41497183450845</c:v>
                </c:pt>
                <c:pt idx="2468">
                  <c:v>105.44789484911783</c:v>
                </c:pt>
                <c:pt idx="2469">
                  <c:v>106.49091264511355</c:v>
                </c:pt>
                <c:pt idx="2470">
                  <c:v>107.54411889672443</c:v>
                </c:pt>
                <c:pt idx="2471">
                  <c:v>108.60760793929887</c:v>
                </c:pt>
                <c:pt idx="2472">
                  <c:v>109.68147476375198</c:v>
                </c:pt>
                <c:pt idx="2473">
                  <c:v>110.76581501035051</c:v>
                </c:pt>
                <c:pt idx="2474">
                  <c:v>111.86072496179605</c:v>
                </c:pt>
                <c:pt idx="2475">
                  <c:v>112.96630153556379</c:v>
                </c:pt>
                <c:pt idx="2476">
                  <c:v>114.08264227545162</c:v>
                </c:pt>
                <c:pt idx="2477">
                  <c:v>115.2098453422922</c:v>
                </c:pt>
                <c:pt idx="2478">
                  <c:v>116.34800950377684</c:v>
                </c:pt>
                <c:pt idx="2479">
                  <c:v>117.49723412333786</c:v>
                </c:pt>
                <c:pt idx="2480">
                  <c:v>118.65761914803193</c:v>
                </c:pt>
                <c:pt idx="2481">
                  <c:v>119.82926509536402</c:v>
                </c:pt>
                <c:pt idx="2482">
                  <c:v>121.01227303898763</c:v>
                </c:pt>
                <c:pt idx="2483">
                  <c:v>122.2067445932128</c:v>
                </c:pt>
                <c:pt idx="2484">
                  <c:v>123.41278189624956</c:v>
                </c:pt>
                <c:pt idx="2485">
                  <c:v>124.63048759210919</c:v>
                </c:pt>
                <c:pt idx="2486">
                  <c:v>125.85996481108204</c:v>
                </c:pt>
                <c:pt idx="2487">
                  <c:v>127.10131714870406</c:v>
                </c:pt>
                <c:pt idx="2488">
                  <c:v>128.35464864311984</c:v>
                </c:pt>
                <c:pt idx="2489">
                  <c:v>129.62006375074341</c:v>
                </c:pt>
                <c:pt idx="2490">
                  <c:v>130.89766732011208</c:v>
                </c:pt>
                <c:pt idx="2491">
                  <c:v>132.18756456382155</c:v>
                </c:pt>
                <c:pt idx="2492">
                  <c:v>133.48986102842403</c:v>
                </c:pt>
                <c:pt idx="2493">
                  <c:v>134.80466256216249</c:v>
                </c:pt>
                <c:pt idx="2494">
                  <c:v>136.13207528040678</c:v>
                </c:pt>
                <c:pt idx="2495">
                  <c:v>137.47220552864832</c:v>
                </c:pt>
                <c:pt idx="2496">
                  <c:v>138.82515984290046</c:v>
                </c:pt>
                <c:pt idx="2497">
                  <c:v>140.19104490734205</c:v>
                </c:pt>
                <c:pt idx="2498">
                  <c:v>141.56996750903068</c:v>
                </c:pt>
                <c:pt idx="2499">
                  <c:v>142.96203448950078</c:v>
                </c:pt>
                <c:pt idx="2500">
                  <c:v>144.36735269304944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ウサギとキツネの生態系!$C$1:$C$3</c:f>
              <c:strCache>
                <c:ptCount val="1"/>
                <c:pt idx="0">
                  <c:v>b 0.02 Fox（匹）</c:v>
                </c:pt>
              </c:strCache>
            </c:strRef>
          </c:tx>
          <c:marker>
            <c:symbol val="none"/>
          </c:marker>
          <c:xVal>
            <c:numRef>
              <c:f>ウサギとキツネの生態系!$A$4:$A$2504</c:f>
              <c:numCache>
                <c:formatCode>General</c:formatCode>
                <c:ptCount val="2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6.9999999999999993E-2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2.0599999999999996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2.09</c:v>
                </c:pt>
                <c:pt idx="210">
                  <c:v>2.0999999999999996</c:v>
                </c:pt>
                <c:pt idx="211">
                  <c:v>2.11</c:v>
                </c:pt>
                <c:pt idx="212">
                  <c:v>2.1199999999999997</c:v>
                </c:pt>
                <c:pt idx="213">
                  <c:v>2.13</c:v>
                </c:pt>
                <c:pt idx="214">
                  <c:v>2.1399999999999997</c:v>
                </c:pt>
                <c:pt idx="215">
                  <c:v>2.15</c:v>
                </c:pt>
                <c:pt idx="216">
                  <c:v>2.1599999999999997</c:v>
                </c:pt>
                <c:pt idx="217">
                  <c:v>2.17</c:v>
                </c:pt>
                <c:pt idx="218">
                  <c:v>2.1799999999999997</c:v>
                </c:pt>
                <c:pt idx="219">
                  <c:v>2.19</c:v>
                </c:pt>
                <c:pt idx="220">
                  <c:v>2.1999999999999997</c:v>
                </c:pt>
                <c:pt idx="221">
                  <c:v>2.21</c:v>
                </c:pt>
                <c:pt idx="222">
                  <c:v>2.2199999999999998</c:v>
                </c:pt>
                <c:pt idx="223">
                  <c:v>2.23</c:v>
                </c:pt>
                <c:pt idx="224">
                  <c:v>2.2399999999999998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2.3299999999999996</c:v>
                </c:pt>
                <c:pt idx="234">
                  <c:v>2.34</c:v>
                </c:pt>
                <c:pt idx="235">
                  <c:v>2.3499999999999996</c:v>
                </c:pt>
                <c:pt idx="236">
                  <c:v>2.36</c:v>
                </c:pt>
                <c:pt idx="237">
                  <c:v>2.3699999999999997</c:v>
                </c:pt>
                <c:pt idx="238">
                  <c:v>2.38</c:v>
                </c:pt>
                <c:pt idx="239">
                  <c:v>2.3899999999999997</c:v>
                </c:pt>
                <c:pt idx="240">
                  <c:v>2.4</c:v>
                </c:pt>
                <c:pt idx="241">
                  <c:v>2.4099999999999997</c:v>
                </c:pt>
                <c:pt idx="242">
                  <c:v>2.42</c:v>
                </c:pt>
                <c:pt idx="243">
                  <c:v>2.4299999999999997</c:v>
                </c:pt>
                <c:pt idx="244">
                  <c:v>2.44</c:v>
                </c:pt>
                <c:pt idx="245">
                  <c:v>2.4499999999999997</c:v>
                </c:pt>
                <c:pt idx="246">
                  <c:v>2.46</c:v>
                </c:pt>
                <c:pt idx="247">
                  <c:v>2.4699999999999998</c:v>
                </c:pt>
                <c:pt idx="248">
                  <c:v>2.48</c:v>
                </c:pt>
                <c:pt idx="249">
                  <c:v>2.4899999999999998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2.5799999999999996</c:v>
                </c:pt>
                <c:pt idx="259">
                  <c:v>2.59</c:v>
                </c:pt>
                <c:pt idx="260">
                  <c:v>2.5999999999999996</c:v>
                </c:pt>
                <c:pt idx="261">
                  <c:v>2.61</c:v>
                </c:pt>
                <c:pt idx="262">
                  <c:v>2.6199999999999997</c:v>
                </c:pt>
                <c:pt idx="263">
                  <c:v>2.63</c:v>
                </c:pt>
                <c:pt idx="264">
                  <c:v>2.6399999999999997</c:v>
                </c:pt>
                <c:pt idx="265">
                  <c:v>2.65</c:v>
                </c:pt>
                <c:pt idx="266">
                  <c:v>2.6599999999999997</c:v>
                </c:pt>
                <c:pt idx="267">
                  <c:v>2.67</c:v>
                </c:pt>
                <c:pt idx="268">
                  <c:v>2.6799999999999997</c:v>
                </c:pt>
                <c:pt idx="269">
                  <c:v>2.69</c:v>
                </c:pt>
                <c:pt idx="270">
                  <c:v>2.6999999999999997</c:v>
                </c:pt>
                <c:pt idx="271">
                  <c:v>2.71</c:v>
                </c:pt>
                <c:pt idx="272">
                  <c:v>2.7199999999999998</c:v>
                </c:pt>
                <c:pt idx="273">
                  <c:v>2.73</c:v>
                </c:pt>
                <c:pt idx="274">
                  <c:v>2.7399999999999998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2.8299999999999996</c:v>
                </c:pt>
                <c:pt idx="284">
                  <c:v>2.84</c:v>
                </c:pt>
                <c:pt idx="285">
                  <c:v>2.8499999999999996</c:v>
                </c:pt>
                <c:pt idx="286">
                  <c:v>2.86</c:v>
                </c:pt>
                <c:pt idx="287">
                  <c:v>2.8699999999999997</c:v>
                </c:pt>
                <c:pt idx="288">
                  <c:v>2.88</c:v>
                </c:pt>
                <c:pt idx="289">
                  <c:v>2.8899999999999997</c:v>
                </c:pt>
                <c:pt idx="290">
                  <c:v>2.9</c:v>
                </c:pt>
                <c:pt idx="291">
                  <c:v>2.9099999999999997</c:v>
                </c:pt>
                <c:pt idx="292">
                  <c:v>2.92</c:v>
                </c:pt>
                <c:pt idx="293">
                  <c:v>2.9299999999999997</c:v>
                </c:pt>
                <c:pt idx="294">
                  <c:v>2.94</c:v>
                </c:pt>
                <c:pt idx="295">
                  <c:v>2.9499999999999997</c:v>
                </c:pt>
                <c:pt idx="296">
                  <c:v>2.96</c:v>
                </c:pt>
                <c:pt idx="297">
                  <c:v>2.9699999999999998</c:v>
                </c:pt>
                <c:pt idx="298">
                  <c:v>2.98</c:v>
                </c:pt>
                <c:pt idx="299">
                  <c:v>2.9899999999999998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3.0999999999999996</c:v>
                </c:pt>
                <c:pt idx="311">
                  <c:v>3.11</c:v>
                </c:pt>
                <c:pt idx="312">
                  <c:v>3.1199999999999997</c:v>
                </c:pt>
                <c:pt idx="313">
                  <c:v>3.13</c:v>
                </c:pt>
                <c:pt idx="314">
                  <c:v>3.1399999999999997</c:v>
                </c:pt>
                <c:pt idx="315">
                  <c:v>3.15</c:v>
                </c:pt>
                <c:pt idx="316">
                  <c:v>3.1599999999999997</c:v>
                </c:pt>
                <c:pt idx="317">
                  <c:v>3.17</c:v>
                </c:pt>
                <c:pt idx="318">
                  <c:v>3.1799999999999997</c:v>
                </c:pt>
                <c:pt idx="319">
                  <c:v>3.19</c:v>
                </c:pt>
                <c:pt idx="320">
                  <c:v>3.1999999999999997</c:v>
                </c:pt>
                <c:pt idx="321">
                  <c:v>3.21</c:v>
                </c:pt>
                <c:pt idx="322">
                  <c:v>3.2199999999999998</c:v>
                </c:pt>
                <c:pt idx="323">
                  <c:v>3.23</c:v>
                </c:pt>
                <c:pt idx="324">
                  <c:v>3.2399999999999998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3.3499999999999996</c:v>
                </c:pt>
                <c:pt idx="336">
                  <c:v>3.36</c:v>
                </c:pt>
                <c:pt idx="337">
                  <c:v>3.3699999999999997</c:v>
                </c:pt>
                <c:pt idx="338">
                  <c:v>3.38</c:v>
                </c:pt>
                <c:pt idx="339">
                  <c:v>3.3899999999999997</c:v>
                </c:pt>
                <c:pt idx="340">
                  <c:v>3.4</c:v>
                </c:pt>
                <c:pt idx="341">
                  <c:v>3.4099999999999997</c:v>
                </c:pt>
                <c:pt idx="342">
                  <c:v>3.42</c:v>
                </c:pt>
                <c:pt idx="343">
                  <c:v>3.4299999999999997</c:v>
                </c:pt>
                <c:pt idx="344">
                  <c:v>3.44</c:v>
                </c:pt>
                <c:pt idx="345">
                  <c:v>3.4499999999999997</c:v>
                </c:pt>
                <c:pt idx="346">
                  <c:v>3.46</c:v>
                </c:pt>
                <c:pt idx="347">
                  <c:v>3.4699999999999998</c:v>
                </c:pt>
                <c:pt idx="348">
                  <c:v>3.48</c:v>
                </c:pt>
                <c:pt idx="349">
                  <c:v>3.4899999999999998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3.5999999999999996</c:v>
                </c:pt>
                <c:pt idx="361">
                  <c:v>3.61</c:v>
                </c:pt>
                <c:pt idx="362">
                  <c:v>3.6199999999999997</c:v>
                </c:pt>
                <c:pt idx="363">
                  <c:v>3.63</c:v>
                </c:pt>
                <c:pt idx="364">
                  <c:v>3.6399999999999997</c:v>
                </c:pt>
                <c:pt idx="365">
                  <c:v>3.65</c:v>
                </c:pt>
                <c:pt idx="366">
                  <c:v>3.6599999999999997</c:v>
                </c:pt>
                <c:pt idx="367">
                  <c:v>3.67</c:v>
                </c:pt>
                <c:pt idx="368">
                  <c:v>3.6799999999999997</c:v>
                </c:pt>
                <c:pt idx="369">
                  <c:v>3.69</c:v>
                </c:pt>
                <c:pt idx="370">
                  <c:v>3.6999999999999997</c:v>
                </c:pt>
                <c:pt idx="371">
                  <c:v>3.71</c:v>
                </c:pt>
                <c:pt idx="372">
                  <c:v>3.7199999999999998</c:v>
                </c:pt>
                <c:pt idx="373">
                  <c:v>3.73</c:v>
                </c:pt>
                <c:pt idx="374">
                  <c:v>3.7399999999999998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3.8499999999999996</c:v>
                </c:pt>
                <c:pt idx="386">
                  <c:v>3.86</c:v>
                </c:pt>
                <c:pt idx="387">
                  <c:v>3.8699999999999997</c:v>
                </c:pt>
                <c:pt idx="388">
                  <c:v>3.88</c:v>
                </c:pt>
                <c:pt idx="389">
                  <c:v>3.8899999999999997</c:v>
                </c:pt>
                <c:pt idx="390">
                  <c:v>3.9</c:v>
                </c:pt>
                <c:pt idx="391">
                  <c:v>3.9099999999999997</c:v>
                </c:pt>
                <c:pt idx="392">
                  <c:v>3.92</c:v>
                </c:pt>
                <c:pt idx="393">
                  <c:v>3.9299999999999997</c:v>
                </c:pt>
                <c:pt idx="394">
                  <c:v>3.94</c:v>
                </c:pt>
                <c:pt idx="395">
                  <c:v>3.9499999999999997</c:v>
                </c:pt>
                <c:pt idx="396">
                  <c:v>3.96</c:v>
                </c:pt>
                <c:pt idx="397">
                  <c:v>3.9699999999999998</c:v>
                </c:pt>
                <c:pt idx="398">
                  <c:v>3.98</c:v>
                </c:pt>
                <c:pt idx="399">
                  <c:v>3.9899999999999998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4.1099999999999994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4.1499999999999995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4.1899999999999995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4.2299999999999995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4.3999999999999995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4.4399999999999995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4.4799999999999995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4.6499999999999995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4.6899999999999995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4.7299999999999995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4.8999999999999995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4.9399999999999995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4.9799999999999995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5.1499999999999995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5.1899999999999995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5.2299999999999995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5.3999999999999995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5.4399999999999995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5.4799999999999995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5.6499999999999995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5.6899999999999995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5.7299999999999995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5.8999999999999995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5.9399999999999995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5.9799999999999995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6.1899999999999995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6.2299999999999995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6.4399999999999995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6.4799999999999995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6.6899999999999995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6.7299999999999995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6.9399999999999995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6.9799999999999995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7.1899999999999995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7.2299999999999995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7.4399999999999995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7.4799999999999995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7.6899999999999995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7.7299999999999995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7.9799999999999995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8.2099999999999991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8.4599999999999991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  <c:pt idx="1001">
                  <c:v>10.01</c:v>
                </c:pt>
                <c:pt idx="1002">
                  <c:v>10.02</c:v>
                </c:pt>
                <c:pt idx="1003">
                  <c:v>10.029999999999999</c:v>
                </c:pt>
                <c:pt idx="1004">
                  <c:v>10.039999999999999</c:v>
                </c:pt>
                <c:pt idx="1005">
                  <c:v>10.050000000000001</c:v>
                </c:pt>
                <c:pt idx="1006">
                  <c:v>10.06</c:v>
                </c:pt>
                <c:pt idx="1007">
                  <c:v>10.07</c:v>
                </c:pt>
                <c:pt idx="1008">
                  <c:v>10.08</c:v>
                </c:pt>
                <c:pt idx="1009">
                  <c:v>10.09</c:v>
                </c:pt>
                <c:pt idx="1010">
                  <c:v>10.1</c:v>
                </c:pt>
                <c:pt idx="1011">
                  <c:v>10.11</c:v>
                </c:pt>
                <c:pt idx="1012">
                  <c:v>10.119999999999999</c:v>
                </c:pt>
                <c:pt idx="1013">
                  <c:v>10.130000000000001</c:v>
                </c:pt>
                <c:pt idx="1014">
                  <c:v>10.14</c:v>
                </c:pt>
                <c:pt idx="1015">
                  <c:v>10.15</c:v>
                </c:pt>
                <c:pt idx="1016">
                  <c:v>10.16</c:v>
                </c:pt>
                <c:pt idx="1017">
                  <c:v>10.17</c:v>
                </c:pt>
                <c:pt idx="1018">
                  <c:v>10.18</c:v>
                </c:pt>
                <c:pt idx="1019">
                  <c:v>10.19</c:v>
                </c:pt>
                <c:pt idx="1020">
                  <c:v>10.199999999999999</c:v>
                </c:pt>
                <c:pt idx="1021">
                  <c:v>10.210000000000001</c:v>
                </c:pt>
                <c:pt idx="1022">
                  <c:v>10.220000000000001</c:v>
                </c:pt>
                <c:pt idx="1023">
                  <c:v>10.23</c:v>
                </c:pt>
                <c:pt idx="1024">
                  <c:v>10.24</c:v>
                </c:pt>
                <c:pt idx="1025">
                  <c:v>10.25</c:v>
                </c:pt>
                <c:pt idx="1026">
                  <c:v>10.26</c:v>
                </c:pt>
                <c:pt idx="1027">
                  <c:v>10.27</c:v>
                </c:pt>
                <c:pt idx="1028">
                  <c:v>10.28</c:v>
                </c:pt>
                <c:pt idx="1029">
                  <c:v>10.29</c:v>
                </c:pt>
                <c:pt idx="1030">
                  <c:v>10.3</c:v>
                </c:pt>
                <c:pt idx="1031">
                  <c:v>10.31</c:v>
                </c:pt>
                <c:pt idx="1032">
                  <c:v>10.32</c:v>
                </c:pt>
                <c:pt idx="1033">
                  <c:v>10.33</c:v>
                </c:pt>
                <c:pt idx="1034">
                  <c:v>10.34</c:v>
                </c:pt>
                <c:pt idx="1035">
                  <c:v>10.35</c:v>
                </c:pt>
                <c:pt idx="1036">
                  <c:v>10.36</c:v>
                </c:pt>
                <c:pt idx="1037">
                  <c:v>10.37</c:v>
                </c:pt>
                <c:pt idx="1038">
                  <c:v>10.38</c:v>
                </c:pt>
                <c:pt idx="1039">
                  <c:v>10.39</c:v>
                </c:pt>
                <c:pt idx="1040">
                  <c:v>10.4</c:v>
                </c:pt>
                <c:pt idx="1041">
                  <c:v>10.41</c:v>
                </c:pt>
                <c:pt idx="1042">
                  <c:v>10.42</c:v>
                </c:pt>
                <c:pt idx="1043">
                  <c:v>10.43</c:v>
                </c:pt>
                <c:pt idx="1044">
                  <c:v>10.44</c:v>
                </c:pt>
                <c:pt idx="1045">
                  <c:v>10.45</c:v>
                </c:pt>
                <c:pt idx="1046">
                  <c:v>10.46</c:v>
                </c:pt>
                <c:pt idx="1047">
                  <c:v>10.47</c:v>
                </c:pt>
                <c:pt idx="1048">
                  <c:v>10.48</c:v>
                </c:pt>
                <c:pt idx="1049">
                  <c:v>10.49</c:v>
                </c:pt>
                <c:pt idx="1050">
                  <c:v>10.5</c:v>
                </c:pt>
                <c:pt idx="1051">
                  <c:v>10.51</c:v>
                </c:pt>
                <c:pt idx="1052">
                  <c:v>10.52</c:v>
                </c:pt>
                <c:pt idx="1053">
                  <c:v>10.53</c:v>
                </c:pt>
                <c:pt idx="1054">
                  <c:v>10.54</c:v>
                </c:pt>
                <c:pt idx="1055">
                  <c:v>10.55</c:v>
                </c:pt>
                <c:pt idx="1056">
                  <c:v>10.56</c:v>
                </c:pt>
                <c:pt idx="1057">
                  <c:v>10.57</c:v>
                </c:pt>
                <c:pt idx="1058">
                  <c:v>10.58</c:v>
                </c:pt>
                <c:pt idx="1059">
                  <c:v>10.59</c:v>
                </c:pt>
                <c:pt idx="1060">
                  <c:v>10.6</c:v>
                </c:pt>
                <c:pt idx="1061">
                  <c:v>10.61</c:v>
                </c:pt>
                <c:pt idx="1062">
                  <c:v>10.62</c:v>
                </c:pt>
                <c:pt idx="1063">
                  <c:v>10.63</c:v>
                </c:pt>
                <c:pt idx="1064">
                  <c:v>10.64</c:v>
                </c:pt>
                <c:pt idx="1065">
                  <c:v>10.65</c:v>
                </c:pt>
                <c:pt idx="1066">
                  <c:v>10.66</c:v>
                </c:pt>
                <c:pt idx="1067">
                  <c:v>10.67</c:v>
                </c:pt>
                <c:pt idx="1068">
                  <c:v>10.68</c:v>
                </c:pt>
                <c:pt idx="1069">
                  <c:v>10.69</c:v>
                </c:pt>
                <c:pt idx="1070">
                  <c:v>10.7</c:v>
                </c:pt>
                <c:pt idx="1071">
                  <c:v>10.71</c:v>
                </c:pt>
                <c:pt idx="1072">
                  <c:v>10.72</c:v>
                </c:pt>
                <c:pt idx="1073">
                  <c:v>10.73</c:v>
                </c:pt>
                <c:pt idx="1074">
                  <c:v>10.74</c:v>
                </c:pt>
                <c:pt idx="1075">
                  <c:v>10.75</c:v>
                </c:pt>
                <c:pt idx="1076">
                  <c:v>10.76</c:v>
                </c:pt>
                <c:pt idx="1077">
                  <c:v>10.77</c:v>
                </c:pt>
                <c:pt idx="1078">
                  <c:v>10.78</c:v>
                </c:pt>
                <c:pt idx="1079">
                  <c:v>10.79</c:v>
                </c:pt>
                <c:pt idx="1080">
                  <c:v>10.8</c:v>
                </c:pt>
                <c:pt idx="1081">
                  <c:v>10.81</c:v>
                </c:pt>
                <c:pt idx="1082">
                  <c:v>10.82</c:v>
                </c:pt>
                <c:pt idx="1083">
                  <c:v>10.83</c:v>
                </c:pt>
                <c:pt idx="1084">
                  <c:v>10.84</c:v>
                </c:pt>
                <c:pt idx="1085">
                  <c:v>10.85</c:v>
                </c:pt>
                <c:pt idx="1086">
                  <c:v>10.86</c:v>
                </c:pt>
                <c:pt idx="1087">
                  <c:v>10.87</c:v>
                </c:pt>
                <c:pt idx="1088">
                  <c:v>10.88</c:v>
                </c:pt>
                <c:pt idx="1089">
                  <c:v>10.89</c:v>
                </c:pt>
                <c:pt idx="1090">
                  <c:v>10.9</c:v>
                </c:pt>
                <c:pt idx="1091">
                  <c:v>10.91</c:v>
                </c:pt>
                <c:pt idx="1092">
                  <c:v>10.92</c:v>
                </c:pt>
                <c:pt idx="1093">
                  <c:v>10.93</c:v>
                </c:pt>
                <c:pt idx="1094">
                  <c:v>10.94</c:v>
                </c:pt>
                <c:pt idx="1095">
                  <c:v>10.95</c:v>
                </c:pt>
                <c:pt idx="1096">
                  <c:v>10.96</c:v>
                </c:pt>
                <c:pt idx="1097">
                  <c:v>10.97</c:v>
                </c:pt>
                <c:pt idx="1098">
                  <c:v>10.98</c:v>
                </c:pt>
                <c:pt idx="1099">
                  <c:v>10.99</c:v>
                </c:pt>
                <c:pt idx="1100">
                  <c:v>11</c:v>
                </c:pt>
                <c:pt idx="1101">
                  <c:v>11.01</c:v>
                </c:pt>
                <c:pt idx="1102">
                  <c:v>11.02</c:v>
                </c:pt>
                <c:pt idx="1103">
                  <c:v>11.03</c:v>
                </c:pt>
                <c:pt idx="1104">
                  <c:v>11.04</c:v>
                </c:pt>
                <c:pt idx="1105">
                  <c:v>11.05</c:v>
                </c:pt>
                <c:pt idx="1106">
                  <c:v>11.06</c:v>
                </c:pt>
                <c:pt idx="1107">
                  <c:v>11.07</c:v>
                </c:pt>
                <c:pt idx="1108">
                  <c:v>11.08</c:v>
                </c:pt>
                <c:pt idx="1109">
                  <c:v>11.09</c:v>
                </c:pt>
                <c:pt idx="1110">
                  <c:v>11.1</c:v>
                </c:pt>
                <c:pt idx="1111">
                  <c:v>11.11</c:v>
                </c:pt>
                <c:pt idx="1112">
                  <c:v>11.12</c:v>
                </c:pt>
                <c:pt idx="1113">
                  <c:v>11.13</c:v>
                </c:pt>
                <c:pt idx="1114">
                  <c:v>11.14</c:v>
                </c:pt>
                <c:pt idx="1115">
                  <c:v>11.15</c:v>
                </c:pt>
                <c:pt idx="1116">
                  <c:v>11.16</c:v>
                </c:pt>
                <c:pt idx="1117">
                  <c:v>11.17</c:v>
                </c:pt>
                <c:pt idx="1118">
                  <c:v>11.18</c:v>
                </c:pt>
                <c:pt idx="1119">
                  <c:v>11.19</c:v>
                </c:pt>
                <c:pt idx="1120">
                  <c:v>11.2</c:v>
                </c:pt>
                <c:pt idx="1121">
                  <c:v>11.21</c:v>
                </c:pt>
                <c:pt idx="1122">
                  <c:v>11.22</c:v>
                </c:pt>
                <c:pt idx="1123">
                  <c:v>11.23</c:v>
                </c:pt>
                <c:pt idx="1124">
                  <c:v>11.24</c:v>
                </c:pt>
                <c:pt idx="1125">
                  <c:v>11.25</c:v>
                </c:pt>
                <c:pt idx="1126">
                  <c:v>11.26</c:v>
                </c:pt>
                <c:pt idx="1127">
                  <c:v>11.27</c:v>
                </c:pt>
                <c:pt idx="1128">
                  <c:v>11.28</c:v>
                </c:pt>
                <c:pt idx="1129">
                  <c:v>11.29</c:v>
                </c:pt>
                <c:pt idx="1130">
                  <c:v>11.3</c:v>
                </c:pt>
                <c:pt idx="1131">
                  <c:v>11.31</c:v>
                </c:pt>
                <c:pt idx="1132">
                  <c:v>11.32</c:v>
                </c:pt>
                <c:pt idx="1133">
                  <c:v>11.33</c:v>
                </c:pt>
                <c:pt idx="1134">
                  <c:v>11.34</c:v>
                </c:pt>
                <c:pt idx="1135">
                  <c:v>11.35</c:v>
                </c:pt>
                <c:pt idx="1136">
                  <c:v>11.36</c:v>
                </c:pt>
                <c:pt idx="1137">
                  <c:v>11.37</c:v>
                </c:pt>
                <c:pt idx="1138">
                  <c:v>11.38</c:v>
                </c:pt>
                <c:pt idx="1139">
                  <c:v>11.39</c:v>
                </c:pt>
                <c:pt idx="1140">
                  <c:v>11.4</c:v>
                </c:pt>
                <c:pt idx="1141">
                  <c:v>11.41</c:v>
                </c:pt>
                <c:pt idx="1142">
                  <c:v>11.42</c:v>
                </c:pt>
                <c:pt idx="1143">
                  <c:v>11.43</c:v>
                </c:pt>
                <c:pt idx="1144">
                  <c:v>11.44</c:v>
                </c:pt>
                <c:pt idx="1145">
                  <c:v>11.45</c:v>
                </c:pt>
                <c:pt idx="1146">
                  <c:v>11.46</c:v>
                </c:pt>
                <c:pt idx="1147">
                  <c:v>11.47</c:v>
                </c:pt>
                <c:pt idx="1148">
                  <c:v>11.48</c:v>
                </c:pt>
                <c:pt idx="1149">
                  <c:v>11.49</c:v>
                </c:pt>
                <c:pt idx="1150">
                  <c:v>11.5</c:v>
                </c:pt>
                <c:pt idx="1151">
                  <c:v>11.51</c:v>
                </c:pt>
                <c:pt idx="1152">
                  <c:v>11.52</c:v>
                </c:pt>
                <c:pt idx="1153">
                  <c:v>11.53</c:v>
                </c:pt>
                <c:pt idx="1154">
                  <c:v>11.54</c:v>
                </c:pt>
                <c:pt idx="1155">
                  <c:v>11.55</c:v>
                </c:pt>
                <c:pt idx="1156">
                  <c:v>11.56</c:v>
                </c:pt>
                <c:pt idx="1157">
                  <c:v>11.57</c:v>
                </c:pt>
                <c:pt idx="1158">
                  <c:v>11.58</c:v>
                </c:pt>
                <c:pt idx="1159">
                  <c:v>11.59</c:v>
                </c:pt>
                <c:pt idx="1160">
                  <c:v>11.6</c:v>
                </c:pt>
                <c:pt idx="1161">
                  <c:v>11.61</c:v>
                </c:pt>
                <c:pt idx="1162">
                  <c:v>11.62</c:v>
                </c:pt>
                <c:pt idx="1163">
                  <c:v>11.63</c:v>
                </c:pt>
                <c:pt idx="1164">
                  <c:v>11.64</c:v>
                </c:pt>
                <c:pt idx="1165">
                  <c:v>11.65</c:v>
                </c:pt>
                <c:pt idx="1166">
                  <c:v>11.66</c:v>
                </c:pt>
                <c:pt idx="1167">
                  <c:v>11.67</c:v>
                </c:pt>
                <c:pt idx="1168">
                  <c:v>11.68</c:v>
                </c:pt>
                <c:pt idx="1169">
                  <c:v>11.69</c:v>
                </c:pt>
                <c:pt idx="1170">
                  <c:v>11.7</c:v>
                </c:pt>
                <c:pt idx="1171">
                  <c:v>11.71</c:v>
                </c:pt>
                <c:pt idx="1172">
                  <c:v>11.72</c:v>
                </c:pt>
                <c:pt idx="1173">
                  <c:v>11.73</c:v>
                </c:pt>
                <c:pt idx="1174">
                  <c:v>11.74</c:v>
                </c:pt>
                <c:pt idx="1175">
                  <c:v>11.75</c:v>
                </c:pt>
                <c:pt idx="1176">
                  <c:v>11.76</c:v>
                </c:pt>
                <c:pt idx="1177">
                  <c:v>11.77</c:v>
                </c:pt>
                <c:pt idx="1178">
                  <c:v>11.78</c:v>
                </c:pt>
                <c:pt idx="1179">
                  <c:v>11.79</c:v>
                </c:pt>
                <c:pt idx="1180">
                  <c:v>11.8</c:v>
                </c:pt>
                <c:pt idx="1181">
                  <c:v>11.81</c:v>
                </c:pt>
                <c:pt idx="1182">
                  <c:v>11.82</c:v>
                </c:pt>
                <c:pt idx="1183">
                  <c:v>11.83</c:v>
                </c:pt>
                <c:pt idx="1184">
                  <c:v>11.84</c:v>
                </c:pt>
                <c:pt idx="1185">
                  <c:v>11.85</c:v>
                </c:pt>
                <c:pt idx="1186">
                  <c:v>11.86</c:v>
                </c:pt>
                <c:pt idx="1187">
                  <c:v>11.87</c:v>
                </c:pt>
                <c:pt idx="1188">
                  <c:v>11.88</c:v>
                </c:pt>
                <c:pt idx="1189">
                  <c:v>11.89</c:v>
                </c:pt>
                <c:pt idx="1190">
                  <c:v>11.9</c:v>
                </c:pt>
                <c:pt idx="1191">
                  <c:v>11.91</c:v>
                </c:pt>
                <c:pt idx="1192">
                  <c:v>11.92</c:v>
                </c:pt>
                <c:pt idx="1193">
                  <c:v>11.93</c:v>
                </c:pt>
                <c:pt idx="1194">
                  <c:v>11.94</c:v>
                </c:pt>
                <c:pt idx="1195">
                  <c:v>11.95</c:v>
                </c:pt>
                <c:pt idx="1196">
                  <c:v>11.96</c:v>
                </c:pt>
                <c:pt idx="1197">
                  <c:v>11.97</c:v>
                </c:pt>
                <c:pt idx="1198">
                  <c:v>11.98</c:v>
                </c:pt>
                <c:pt idx="1199">
                  <c:v>11.99</c:v>
                </c:pt>
                <c:pt idx="1200">
                  <c:v>12</c:v>
                </c:pt>
                <c:pt idx="1201">
                  <c:v>12.01</c:v>
                </c:pt>
                <c:pt idx="1202">
                  <c:v>12.02</c:v>
                </c:pt>
                <c:pt idx="1203">
                  <c:v>12.03</c:v>
                </c:pt>
                <c:pt idx="1204">
                  <c:v>12.040000000000001</c:v>
                </c:pt>
                <c:pt idx="1205">
                  <c:v>12.05</c:v>
                </c:pt>
                <c:pt idx="1206">
                  <c:v>12.06</c:v>
                </c:pt>
                <c:pt idx="1207">
                  <c:v>12.07</c:v>
                </c:pt>
                <c:pt idx="1208">
                  <c:v>12.08</c:v>
                </c:pt>
                <c:pt idx="1209">
                  <c:v>12.09</c:v>
                </c:pt>
                <c:pt idx="1210">
                  <c:v>12.1</c:v>
                </c:pt>
                <c:pt idx="1211">
                  <c:v>12.11</c:v>
                </c:pt>
                <c:pt idx="1212">
                  <c:v>12.12</c:v>
                </c:pt>
                <c:pt idx="1213">
                  <c:v>12.13</c:v>
                </c:pt>
                <c:pt idx="1214">
                  <c:v>12.14</c:v>
                </c:pt>
                <c:pt idx="1215">
                  <c:v>12.15</c:v>
                </c:pt>
                <c:pt idx="1216">
                  <c:v>12.16</c:v>
                </c:pt>
                <c:pt idx="1217">
                  <c:v>12.17</c:v>
                </c:pt>
                <c:pt idx="1218">
                  <c:v>12.18</c:v>
                </c:pt>
                <c:pt idx="1219">
                  <c:v>12.19</c:v>
                </c:pt>
                <c:pt idx="1220">
                  <c:v>12.2</c:v>
                </c:pt>
                <c:pt idx="1221">
                  <c:v>12.21</c:v>
                </c:pt>
                <c:pt idx="1222">
                  <c:v>12.22</c:v>
                </c:pt>
                <c:pt idx="1223">
                  <c:v>12.23</c:v>
                </c:pt>
                <c:pt idx="1224">
                  <c:v>12.24</c:v>
                </c:pt>
                <c:pt idx="1225">
                  <c:v>12.25</c:v>
                </c:pt>
                <c:pt idx="1226">
                  <c:v>12.26</c:v>
                </c:pt>
                <c:pt idx="1227">
                  <c:v>12.27</c:v>
                </c:pt>
                <c:pt idx="1228">
                  <c:v>12.28</c:v>
                </c:pt>
                <c:pt idx="1229">
                  <c:v>12.290000000000001</c:v>
                </c:pt>
                <c:pt idx="1230">
                  <c:v>12.3</c:v>
                </c:pt>
                <c:pt idx="1231">
                  <c:v>12.31</c:v>
                </c:pt>
                <c:pt idx="1232">
                  <c:v>12.32</c:v>
                </c:pt>
                <c:pt idx="1233">
                  <c:v>12.33</c:v>
                </c:pt>
                <c:pt idx="1234">
                  <c:v>12.34</c:v>
                </c:pt>
                <c:pt idx="1235">
                  <c:v>12.35</c:v>
                </c:pt>
                <c:pt idx="1236">
                  <c:v>12.36</c:v>
                </c:pt>
                <c:pt idx="1237">
                  <c:v>12.37</c:v>
                </c:pt>
                <c:pt idx="1238">
                  <c:v>12.38</c:v>
                </c:pt>
                <c:pt idx="1239">
                  <c:v>12.39</c:v>
                </c:pt>
                <c:pt idx="1240">
                  <c:v>12.4</c:v>
                </c:pt>
                <c:pt idx="1241">
                  <c:v>12.41</c:v>
                </c:pt>
                <c:pt idx="1242">
                  <c:v>12.42</c:v>
                </c:pt>
                <c:pt idx="1243">
                  <c:v>12.43</c:v>
                </c:pt>
                <c:pt idx="1244">
                  <c:v>12.44</c:v>
                </c:pt>
                <c:pt idx="1245">
                  <c:v>12.45</c:v>
                </c:pt>
                <c:pt idx="1246">
                  <c:v>12.46</c:v>
                </c:pt>
                <c:pt idx="1247">
                  <c:v>12.47</c:v>
                </c:pt>
                <c:pt idx="1248">
                  <c:v>12.48</c:v>
                </c:pt>
                <c:pt idx="1249">
                  <c:v>12.49</c:v>
                </c:pt>
                <c:pt idx="1250">
                  <c:v>12.5</c:v>
                </c:pt>
                <c:pt idx="1251">
                  <c:v>12.51</c:v>
                </c:pt>
                <c:pt idx="1252">
                  <c:v>12.52</c:v>
                </c:pt>
                <c:pt idx="1253">
                  <c:v>12.53</c:v>
                </c:pt>
                <c:pt idx="1254">
                  <c:v>12.540000000000001</c:v>
                </c:pt>
                <c:pt idx="1255">
                  <c:v>12.55</c:v>
                </c:pt>
                <c:pt idx="1256">
                  <c:v>12.56</c:v>
                </c:pt>
                <c:pt idx="1257">
                  <c:v>12.57</c:v>
                </c:pt>
                <c:pt idx="1258">
                  <c:v>12.58</c:v>
                </c:pt>
                <c:pt idx="1259">
                  <c:v>12.59</c:v>
                </c:pt>
                <c:pt idx="1260">
                  <c:v>12.6</c:v>
                </c:pt>
                <c:pt idx="1261">
                  <c:v>12.61</c:v>
                </c:pt>
                <c:pt idx="1262">
                  <c:v>12.62</c:v>
                </c:pt>
                <c:pt idx="1263">
                  <c:v>12.63</c:v>
                </c:pt>
                <c:pt idx="1264">
                  <c:v>12.64</c:v>
                </c:pt>
                <c:pt idx="1265">
                  <c:v>12.65</c:v>
                </c:pt>
                <c:pt idx="1266">
                  <c:v>12.66</c:v>
                </c:pt>
                <c:pt idx="1267">
                  <c:v>12.67</c:v>
                </c:pt>
                <c:pt idx="1268">
                  <c:v>12.68</c:v>
                </c:pt>
                <c:pt idx="1269">
                  <c:v>12.69</c:v>
                </c:pt>
                <c:pt idx="1270">
                  <c:v>12.7</c:v>
                </c:pt>
                <c:pt idx="1271">
                  <c:v>12.71</c:v>
                </c:pt>
                <c:pt idx="1272">
                  <c:v>12.72</c:v>
                </c:pt>
                <c:pt idx="1273">
                  <c:v>12.73</c:v>
                </c:pt>
                <c:pt idx="1274">
                  <c:v>12.74</c:v>
                </c:pt>
                <c:pt idx="1275">
                  <c:v>12.75</c:v>
                </c:pt>
                <c:pt idx="1276">
                  <c:v>12.76</c:v>
                </c:pt>
                <c:pt idx="1277">
                  <c:v>12.77</c:v>
                </c:pt>
                <c:pt idx="1278">
                  <c:v>12.78</c:v>
                </c:pt>
                <c:pt idx="1279">
                  <c:v>12.790000000000001</c:v>
                </c:pt>
                <c:pt idx="1280">
                  <c:v>12.8</c:v>
                </c:pt>
                <c:pt idx="1281">
                  <c:v>12.81</c:v>
                </c:pt>
                <c:pt idx="1282">
                  <c:v>12.82</c:v>
                </c:pt>
                <c:pt idx="1283">
                  <c:v>12.83</c:v>
                </c:pt>
                <c:pt idx="1284">
                  <c:v>12.84</c:v>
                </c:pt>
                <c:pt idx="1285">
                  <c:v>12.85</c:v>
                </c:pt>
                <c:pt idx="1286">
                  <c:v>12.86</c:v>
                </c:pt>
                <c:pt idx="1287">
                  <c:v>12.87</c:v>
                </c:pt>
                <c:pt idx="1288">
                  <c:v>12.88</c:v>
                </c:pt>
                <c:pt idx="1289">
                  <c:v>12.89</c:v>
                </c:pt>
                <c:pt idx="1290">
                  <c:v>12.9</c:v>
                </c:pt>
                <c:pt idx="1291">
                  <c:v>12.91</c:v>
                </c:pt>
                <c:pt idx="1292">
                  <c:v>12.92</c:v>
                </c:pt>
                <c:pt idx="1293">
                  <c:v>12.93</c:v>
                </c:pt>
                <c:pt idx="1294">
                  <c:v>12.94</c:v>
                </c:pt>
                <c:pt idx="1295">
                  <c:v>12.95</c:v>
                </c:pt>
                <c:pt idx="1296">
                  <c:v>12.96</c:v>
                </c:pt>
                <c:pt idx="1297">
                  <c:v>12.97</c:v>
                </c:pt>
                <c:pt idx="1298">
                  <c:v>12.98</c:v>
                </c:pt>
                <c:pt idx="1299">
                  <c:v>12.99</c:v>
                </c:pt>
                <c:pt idx="1300">
                  <c:v>13</c:v>
                </c:pt>
                <c:pt idx="1301">
                  <c:v>13.01</c:v>
                </c:pt>
                <c:pt idx="1302">
                  <c:v>13.02</c:v>
                </c:pt>
                <c:pt idx="1303">
                  <c:v>13.03</c:v>
                </c:pt>
                <c:pt idx="1304">
                  <c:v>13.040000000000001</c:v>
                </c:pt>
                <c:pt idx="1305">
                  <c:v>13.05</c:v>
                </c:pt>
                <c:pt idx="1306">
                  <c:v>13.06</c:v>
                </c:pt>
                <c:pt idx="1307">
                  <c:v>13.07</c:v>
                </c:pt>
                <c:pt idx="1308">
                  <c:v>13.08</c:v>
                </c:pt>
                <c:pt idx="1309">
                  <c:v>13.09</c:v>
                </c:pt>
                <c:pt idx="1310">
                  <c:v>13.1</c:v>
                </c:pt>
                <c:pt idx="1311">
                  <c:v>13.11</c:v>
                </c:pt>
                <c:pt idx="1312">
                  <c:v>13.12</c:v>
                </c:pt>
                <c:pt idx="1313">
                  <c:v>13.13</c:v>
                </c:pt>
                <c:pt idx="1314">
                  <c:v>13.14</c:v>
                </c:pt>
                <c:pt idx="1315">
                  <c:v>13.15</c:v>
                </c:pt>
                <c:pt idx="1316">
                  <c:v>13.16</c:v>
                </c:pt>
                <c:pt idx="1317">
                  <c:v>13.17</c:v>
                </c:pt>
                <c:pt idx="1318">
                  <c:v>13.18</c:v>
                </c:pt>
                <c:pt idx="1319">
                  <c:v>13.19</c:v>
                </c:pt>
                <c:pt idx="1320">
                  <c:v>13.2</c:v>
                </c:pt>
                <c:pt idx="1321">
                  <c:v>13.21</c:v>
                </c:pt>
                <c:pt idx="1322">
                  <c:v>13.22</c:v>
                </c:pt>
                <c:pt idx="1323">
                  <c:v>13.23</c:v>
                </c:pt>
                <c:pt idx="1324">
                  <c:v>13.24</c:v>
                </c:pt>
                <c:pt idx="1325">
                  <c:v>13.25</c:v>
                </c:pt>
                <c:pt idx="1326">
                  <c:v>13.26</c:v>
                </c:pt>
                <c:pt idx="1327">
                  <c:v>13.27</c:v>
                </c:pt>
                <c:pt idx="1328">
                  <c:v>13.28</c:v>
                </c:pt>
                <c:pt idx="1329">
                  <c:v>13.290000000000001</c:v>
                </c:pt>
                <c:pt idx="1330">
                  <c:v>13.3</c:v>
                </c:pt>
                <c:pt idx="1331">
                  <c:v>13.31</c:v>
                </c:pt>
                <c:pt idx="1332">
                  <c:v>13.32</c:v>
                </c:pt>
                <c:pt idx="1333">
                  <c:v>13.33</c:v>
                </c:pt>
                <c:pt idx="1334">
                  <c:v>13.34</c:v>
                </c:pt>
                <c:pt idx="1335">
                  <c:v>13.35</c:v>
                </c:pt>
                <c:pt idx="1336">
                  <c:v>13.36</c:v>
                </c:pt>
                <c:pt idx="1337">
                  <c:v>13.37</c:v>
                </c:pt>
                <c:pt idx="1338">
                  <c:v>13.38</c:v>
                </c:pt>
                <c:pt idx="1339">
                  <c:v>13.39</c:v>
                </c:pt>
                <c:pt idx="1340">
                  <c:v>13.4</c:v>
                </c:pt>
                <c:pt idx="1341">
                  <c:v>13.41</c:v>
                </c:pt>
                <c:pt idx="1342">
                  <c:v>13.42</c:v>
                </c:pt>
                <c:pt idx="1343">
                  <c:v>13.43</c:v>
                </c:pt>
                <c:pt idx="1344">
                  <c:v>13.44</c:v>
                </c:pt>
                <c:pt idx="1345">
                  <c:v>13.45</c:v>
                </c:pt>
                <c:pt idx="1346">
                  <c:v>13.46</c:v>
                </c:pt>
                <c:pt idx="1347">
                  <c:v>13.47</c:v>
                </c:pt>
                <c:pt idx="1348">
                  <c:v>13.48</c:v>
                </c:pt>
                <c:pt idx="1349">
                  <c:v>13.49</c:v>
                </c:pt>
                <c:pt idx="1350">
                  <c:v>13.5</c:v>
                </c:pt>
                <c:pt idx="1351">
                  <c:v>13.51</c:v>
                </c:pt>
                <c:pt idx="1352">
                  <c:v>13.52</c:v>
                </c:pt>
                <c:pt idx="1353">
                  <c:v>13.53</c:v>
                </c:pt>
                <c:pt idx="1354">
                  <c:v>13.540000000000001</c:v>
                </c:pt>
                <c:pt idx="1355">
                  <c:v>13.55</c:v>
                </c:pt>
                <c:pt idx="1356">
                  <c:v>13.56</c:v>
                </c:pt>
                <c:pt idx="1357">
                  <c:v>13.57</c:v>
                </c:pt>
                <c:pt idx="1358">
                  <c:v>13.58</c:v>
                </c:pt>
                <c:pt idx="1359">
                  <c:v>13.59</c:v>
                </c:pt>
                <c:pt idx="1360">
                  <c:v>13.6</c:v>
                </c:pt>
                <c:pt idx="1361">
                  <c:v>13.61</c:v>
                </c:pt>
                <c:pt idx="1362">
                  <c:v>13.62</c:v>
                </c:pt>
                <c:pt idx="1363">
                  <c:v>13.63</c:v>
                </c:pt>
                <c:pt idx="1364">
                  <c:v>13.64</c:v>
                </c:pt>
                <c:pt idx="1365">
                  <c:v>13.65</c:v>
                </c:pt>
                <c:pt idx="1366">
                  <c:v>13.66</c:v>
                </c:pt>
                <c:pt idx="1367">
                  <c:v>13.67</c:v>
                </c:pt>
                <c:pt idx="1368">
                  <c:v>13.68</c:v>
                </c:pt>
                <c:pt idx="1369">
                  <c:v>13.69</c:v>
                </c:pt>
                <c:pt idx="1370">
                  <c:v>13.7</c:v>
                </c:pt>
                <c:pt idx="1371">
                  <c:v>13.71</c:v>
                </c:pt>
                <c:pt idx="1372">
                  <c:v>13.72</c:v>
                </c:pt>
                <c:pt idx="1373">
                  <c:v>13.73</c:v>
                </c:pt>
                <c:pt idx="1374">
                  <c:v>13.74</c:v>
                </c:pt>
                <c:pt idx="1375">
                  <c:v>13.75</c:v>
                </c:pt>
                <c:pt idx="1376">
                  <c:v>13.76</c:v>
                </c:pt>
                <c:pt idx="1377">
                  <c:v>13.77</c:v>
                </c:pt>
                <c:pt idx="1378">
                  <c:v>13.78</c:v>
                </c:pt>
                <c:pt idx="1379">
                  <c:v>13.790000000000001</c:v>
                </c:pt>
                <c:pt idx="1380">
                  <c:v>13.8</c:v>
                </c:pt>
                <c:pt idx="1381">
                  <c:v>13.81</c:v>
                </c:pt>
                <c:pt idx="1382">
                  <c:v>13.82</c:v>
                </c:pt>
                <c:pt idx="1383">
                  <c:v>13.83</c:v>
                </c:pt>
                <c:pt idx="1384">
                  <c:v>13.84</c:v>
                </c:pt>
                <c:pt idx="1385">
                  <c:v>13.85</c:v>
                </c:pt>
                <c:pt idx="1386">
                  <c:v>13.86</c:v>
                </c:pt>
                <c:pt idx="1387">
                  <c:v>13.87</c:v>
                </c:pt>
                <c:pt idx="1388">
                  <c:v>13.88</c:v>
                </c:pt>
                <c:pt idx="1389">
                  <c:v>13.89</c:v>
                </c:pt>
                <c:pt idx="1390">
                  <c:v>13.9</c:v>
                </c:pt>
                <c:pt idx="1391">
                  <c:v>13.91</c:v>
                </c:pt>
                <c:pt idx="1392">
                  <c:v>13.92</c:v>
                </c:pt>
                <c:pt idx="1393">
                  <c:v>13.93</c:v>
                </c:pt>
                <c:pt idx="1394">
                  <c:v>13.94</c:v>
                </c:pt>
                <c:pt idx="1395">
                  <c:v>13.95</c:v>
                </c:pt>
                <c:pt idx="1396">
                  <c:v>13.96</c:v>
                </c:pt>
                <c:pt idx="1397">
                  <c:v>13.97</c:v>
                </c:pt>
                <c:pt idx="1398">
                  <c:v>13.98</c:v>
                </c:pt>
                <c:pt idx="1399">
                  <c:v>13.99</c:v>
                </c:pt>
                <c:pt idx="1400">
                  <c:v>14</c:v>
                </c:pt>
                <c:pt idx="1401">
                  <c:v>14.01</c:v>
                </c:pt>
                <c:pt idx="1402">
                  <c:v>14.02</c:v>
                </c:pt>
                <c:pt idx="1403">
                  <c:v>14.03</c:v>
                </c:pt>
                <c:pt idx="1404">
                  <c:v>14.040000000000001</c:v>
                </c:pt>
                <c:pt idx="1405">
                  <c:v>14.05</c:v>
                </c:pt>
                <c:pt idx="1406">
                  <c:v>14.06</c:v>
                </c:pt>
                <c:pt idx="1407">
                  <c:v>14.07</c:v>
                </c:pt>
                <c:pt idx="1408">
                  <c:v>14.08</c:v>
                </c:pt>
                <c:pt idx="1409">
                  <c:v>14.09</c:v>
                </c:pt>
                <c:pt idx="1410">
                  <c:v>14.1</c:v>
                </c:pt>
                <c:pt idx="1411">
                  <c:v>14.11</c:v>
                </c:pt>
                <c:pt idx="1412">
                  <c:v>14.12</c:v>
                </c:pt>
                <c:pt idx="1413">
                  <c:v>14.13</c:v>
                </c:pt>
                <c:pt idx="1414">
                  <c:v>14.14</c:v>
                </c:pt>
                <c:pt idx="1415">
                  <c:v>14.15</c:v>
                </c:pt>
                <c:pt idx="1416">
                  <c:v>14.16</c:v>
                </c:pt>
                <c:pt idx="1417">
                  <c:v>14.17</c:v>
                </c:pt>
                <c:pt idx="1418">
                  <c:v>14.18</c:v>
                </c:pt>
                <c:pt idx="1419">
                  <c:v>14.19</c:v>
                </c:pt>
                <c:pt idx="1420">
                  <c:v>14.2</c:v>
                </c:pt>
                <c:pt idx="1421">
                  <c:v>14.21</c:v>
                </c:pt>
                <c:pt idx="1422">
                  <c:v>14.22</c:v>
                </c:pt>
                <c:pt idx="1423">
                  <c:v>14.23</c:v>
                </c:pt>
                <c:pt idx="1424">
                  <c:v>14.24</c:v>
                </c:pt>
                <c:pt idx="1425">
                  <c:v>14.25</c:v>
                </c:pt>
                <c:pt idx="1426">
                  <c:v>14.26</c:v>
                </c:pt>
                <c:pt idx="1427">
                  <c:v>14.27</c:v>
                </c:pt>
                <c:pt idx="1428">
                  <c:v>14.28</c:v>
                </c:pt>
                <c:pt idx="1429">
                  <c:v>14.290000000000001</c:v>
                </c:pt>
                <c:pt idx="1430">
                  <c:v>14.3</c:v>
                </c:pt>
                <c:pt idx="1431">
                  <c:v>14.31</c:v>
                </c:pt>
                <c:pt idx="1432">
                  <c:v>14.32</c:v>
                </c:pt>
                <c:pt idx="1433">
                  <c:v>14.33</c:v>
                </c:pt>
                <c:pt idx="1434">
                  <c:v>14.34</c:v>
                </c:pt>
                <c:pt idx="1435">
                  <c:v>14.35</c:v>
                </c:pt>
                <c:pt idx="1436">
                  <c:v>14.36</c:v>
                </c:pt>
                <c:pt idx="1437">
                  <c:v>14.37</c:v>
                </c:pt>
                <c:pt idx="1438">
                  <c:v>14.38</c:v>
                </c:pt>
                <c:pt idx="1439">
                  <c:v>14.39</c:v>
                </c:pt>
                <c:pt idx="1440">
                  <c:v>14.4</c:v>
                </c:pt>
                <c:pt idx="1441">
                  <c:v>14.41</c:v>
                </c:pt>
                <c:pt idx="1442">
                  <c:v>14.42</c:v>
                </c:pt>
                <c:pt idx="1443">
                  <c:v>14.43</c:v>
                </c:pt>
                <c:pt idx="1444">
                  <c:v>14.44</c:v>
                </c:pt>
                <c:pt idx="1445">
                  <c:v>14.45</c:v>
                </c:pt>
                <c:pt idx="1446">
                  <c:v>14.46</c:v>
                </c:pt>
                <c:pt idx="1447">
                  <c:v>14.47</c:v>
                </c:pt>
                <c:pt idx="1448">
                  <c:v>14.48</c:v>
                </c:pt>
                <c:pt idx="1449">
                  <c:v>14.49</c:v>
                </c:pt>
                <c:pt idx="1450">
                  <c:v>14.5</c:v>
                </c:pt>
                <c:pt idx="1451">
                  <c:v>14.51</c:v>
                </c:pt>
                <c:pt idx="1452">
                  <c:v>14.52</c:v>
                </c:pt>
                <c:pt idx="1453">
                  <c:v>14.53</c:v>
                </c:pt>
                <c:pt idx="1454">
                  <c:v>14.540000000000001</c:v>
                </c:pt>
                <c:pt idx="1455">
                  <c:v>14.55</c:v>
                </c:pt>
                <c:pt idx="1456">
                  <c:v>14.56</c:v>
                </c:pt>
                <c:pt idx="1457">
                  <c:v>14.57</c:v>
                </c:pt>
                <c:pt idx="1458">
                  <c:v>14.58</c:v>
                </c:pt>
                <c:pt idx="1459">
                  <c:v>14.59</c:v>
                </c:pt>
                <c:pt idx="1460">
                  <c:v>14.6</c:v>
                </c:pt>
                <c:pt idx="1461">
                  <c:v>14.61</c:v>
                </c:pt>
                <c:pt idx="1462">
                  <c:v>14.62</c:v>
                </c:pt>
                <c:pt idx="1463">
                  <c:v>14.63</c:v>
                </c:pt>
                <c:pt idx="1464">
                  <c:v>14.64</c:v>
                </c:pt>
                <c:pt idx="1465">
                  <c:v>14.65</c:v>
                </c:pt>
                <c:pt idx="1466">
                  <c:v>14.66</c:v>
                </c:pt>
                <c:pt idx="1467">
                  <c:v>14.67</c:v>
                </c:pt>
                <c:pt idx="1468">
                  <c:v>14.68</c:v>
                </c:pt>
                <c:pt idx="1469">
                  <c:v>14.69</c:v>
                </c:pt>
                <c:pt idx="1470">
                  <c:v>14.7</c:v>
                </c:pt>
                <c:pt idx="1471">
                  <c:v>14.71</c:v>
                </c:pt>
                <c:pt idx="1472">
                  <c:v>14.72</c:v>
                </c:pt>
                <c:pt idx="1473">
                  <c:v>14.73</c:v>
                </c:pt>
                <c:pt idx="1474">
                  <c:v>14.74</c:v>
                </c:pt>
                <c:pt idx="1475">
                  <c:v>14.75</c:v>
                </c:pt>
                <c:pt idx="1476">
                  <c:v>14.76</c:v>
                </c:pt>
                <c:pt idx="1477">
                  <c:v>14.77</c:v>
                </c:pt>
                <c:pt idx="1478">
                  <c:v>14.78</c:v>
                </c:pt>
                <c:pt idx="1479">
                  <c:v>14.790000000000001</c:v>
                </c:pt>
                <c:pt idx="1480">
                  <c:v>14.8</c:v>
                </c:pt>
                <c:pt idx="1481">
                  <c:v>14.81</c:v>
                </c:pt>
                <c:pt idx="1482">
                  <c:v>14.82</c:v>
                </c:pt>
                <c:pt idx="1483">
                  <c:v>14.83</c:v>
                </c:pt>
                <c:pt idx="1484">
                  <c:v>14.84</c:v>
                </c:pt>
                <c:pt idx="1485">
                  <c:v>14.85</c:v>
                </c:pt>
                <c:pt idx="1486">
                  <c:v>14.86</c:v>
                </c:pt>
                <c:pt idx="1487">
                  <c:v>14.87</c:v>
                </c:pt>
                <c:pt idx="1488">
                  <c:v>14.88</c:v>
                </c:pt>
                <c:pt idx="1489">
                  <c:v>14.89</c:v>
                </c:pt>
                <c:pt idx="1490">
                  <c:v>14.9</c:v>
                </c:pt>
                <c:pt idx="1491">
                  <c:v>14.91</c:v>
                </c:pt>
                <c:pt idx="1492">
                  <c:v>14.92</c:v>
                </c:pt>
                <c:pt idx="1493">
                  <c:v>14.93</c:v>
                </c:pt>
                <c:pt idx="1494">
                  <c:v>14.94</c:v>
                </c:pt>
                <c:pt idx="1495">
                  <c:v>14.95</c:v>
                </c:pt>
                <c:pt idx="1496">
                  <c:v>14.96</c:v>
                </c:pt>
                <c:pt idx="1497">
                  <c:v>14.97</c:v>
                </c:pt>
                <c:pt idx="1498">
                  <c:v>14.98</c:v>
                </c:pt>
                <c:pt idx="1499">
                  <c:v>14.99</c:v>
                </c:pt>
                <c:pt idx="1500">
                  <c:v>15</c:v>
                </c:pt>
                <c:pt idx="1501">
                  <c:v>15.01</c:v>
                </c:pt>
                <c:pt idx="1502">
                  <c:v>15.02</c:v>
                </c:pt>
                <c:pt idx="1503">
                  <c:v>15.03</c:v>
                </c:pt>
                <c:pt idx="1504">
                  <c:v>15.040000000000001</c:v>
                </c:pt>
                <c:pt idx="1505">
                  <c:v>15.05</c:v>
                </c:pt>
                <c:pt idx="1506">
                  <c:v>15.06</c:v>
                </c:pt>
                <c:pt idx="1507">
                  <c:v>15.07</c:v>
                </c:pt>
                <c:pt idx="1508">
                  <c:v>15.08</c:v>
                </c:pt>
                <c:pt idx="1509">
                  <c:v>15.09</c:v>
                </c:pt>
                <c:pt idx="1510">
                  <c:v>15.1</c:v>
                </c:pt>
                <c:pt idx="1511">
                  <c:v>15.11</c:v>
                </c:pt>
                <c:pt idx="1512">
                  <c:v>15.12</c:v>
                </c:pt>
                <c:pt idx="1513">
                  <c:v>15.13</c:v>
                </c:pt>
                <c:pt idx="1514">
                  <c:v>15.14</c:v>
                </c:pt>
                <c:pt idx="1515">
                  <c:v>15.15</c:v>
                </c:pt>
                <c:pt idx="1516">
                  <c:v>15.16</c:v>
                </c:pt>
                <c:pt idx="1517">
                  <c:v>15.17</c:v>
                </c:pt>
                <c:pt idx="1518">
                  <c:v>15.18</c:v>
                </c:pt>
                <c:pt idx="1519">
                  <c:v>15.19</c:v>
                </c:pt>
                <c:pt idx="1520">
                  <c:v>15.2</c:v>
                </c:pt>
                <c:pt idx="1521">
                  <c:v>15.21</c:v>
                </c:pt>
                <c:pt idx="1522">
                  <c:v>15.22</c:v>
                </c:pt>
                <c:pt idx="1523">
                  <c:v>15.23</c:v>
                </c:pt>
                <c:pt idx="1524">
                  <c:v>15.24</c:v>
                </c:pt>
                <c:pt idx="1525">
                  <c:v>15.25</c:v>
                </c:pt>
                <c:pt idx="1526">
                  <c:v>15.26</c:v>
                </c:pt>
                <c:pt idx="1527">
                  <c:v>15.27</c:v>
                </c:pt>
                <c:pt idx="1528">
                  <c:v>15.28</c:v>
                </c:pt>
                <c:pt idx="1529">
                  <c:v>15.290000000000001</c:v>
                </c:pt>
                <c:pt idx="1530">
                  <c:v>15.3</c:v>
                </c:pt>
                <c:pt idx="1531">
                  <c:v>15.31</c:v>
                </c:pt>
                <c:pt idx="1532">
                  <c:v>15.32</c:v>
                </c:pt>
                <c:pt idx="1533">
                  <c:v>15.33</c:v>
                </c:pt>
                <c:pt idx="1534">
                  <c:v>15.34</c:v>
                </c:pt>
                <c:pt idx="1535">
                  <c:v>15.35</c:v>
                </c:pt>
                <c:pt idx="1536">
                  <c:v>15.36</c:v>
                </c:pt>
                <c:pt idx="1537">
                  <c:v>15.37</c:v>
                </c:pt>
                <c:pt idx="1538">
                  <c:v>15.38</c:v>
                </c:pt>
                <c:pt idx="1539">
                  <c:v>15.39</c:v>
                </c:pt>
                <c:pt idx="1540">
                  <c:v>15.4</c:v>
                </c:pt>
                <c:pt idx="1541">
                  <c:v>15.41</c:v>
                </c:pt>
                <c:pt idx="1542">
                  <c:v>15.42</c:v>
                </c:pt>
                <c:pt idx="1543">
                  <c:v>15.43</c:v>
                </c:pt>
                <c:pt idx="1544">
                  <c:v>15.44</c:v>
                </c:pt>
                <c:pt idx="1545">
                  <c:v>15.45</c:v>
                </c:pt>
                <c:pt idx="1546">
                  <c:v>15.46</c:v>
                </c:pt>
                <c:pt idx="1547">
                  <c:v>15.47</c:v>
                </c:pt>
                <c:pt idx="1548">
                  <c:v>15.48</c:v>
                </c:pt>
                <c:pt idx="1549">
                  <c:v>15.49</c:v>
                </c:pt>
                <c:pt idx="1550">
                  <c:v>15.5</c:v>
                </c:pt>
                <c:pt idx="1551">
                  <c:v>15.51</c:v>
                </c:pt>
                <c:pt idx="1552">
                  <c:v>15.52</c:v>
                </c:pt>
                <c:pt idx="1553">
                  <c:v>15.53</c:v>
                </c:pt>
                <c:pt idx="1554">
                  <c:v>15.540000000000001</c:v>
                </c:pt>
                <c:pt idx="1555">
                  <c:v>15.55</c:v>
                </c:pt>
                <c:pt idx="1556">
                  <c:v>15.56</c:v>
                </c:pt>
                <c:pt idx="1557">
                  <c:v>15.57</c:v>
                </c:pt>
                <c:pt idx="1558">
                  <c:v>15.58</c:v>
                </c:pt>
                <c:pt idx="1559">
                  <c:v>15.59</c:v>
                </c:pt>
                <c:pt idx="1560">
                  <c:v>15.6</c:v>
                </c:pt>
                <c:pt idx="1561">
                  <c:v>15.61</c:v>
                </c:pt>
                <c:pt idx="1562">
                  <c:v>15.620000000000001</c:v>
                </c:pt>
                <c:pt idx="1563">
                  <c:v>15.63</c:v>
                </c:pt>
                <c:pt idx="1564">
                  <c:v>15.64</c:v>
                </c:pt>
                <c:pt idx="1565">
                  <c:v>15.65</c:v>
                </c:pt>
                <c:pt idx="1566">
                  <c:v>15.66</c:v>
                </c:pt>
                <c:pt idx="1567">
                  <c:v>15.67</c:v>
                </c:pt>
                <c:pt idx="1568">
                  <c:v>15.68</c:v>
                </c:pt>
                <c:pt idx="1569">
                  <c:v>15.69</c:v>
                </c:pt>
                <c:pt idx="1570">
                  <c:v>15.7</c:v>
                </c:pt>
                <c:pt idx="1571">
                  <c:v>15.71</c:v>
                </c:pt>
                <c:pt idx="1572">
                  <c:v>15.72</c:v>
                </c:pt>
                <c:pt idx="1573">
                  <c:v>15.73</c:v>
                </c:pt>
                <c:pt idx="1574">
                  <c:v>15.74</c:v>
                </c:pt>
                <c:pt idx="1575">
                  <c:v>15.75</c:v>
                </c:pt>
                <c:pt idx="1576">
                  <c:v>15.76</c:v>
                </c:pt>
                <c:pt idx="1577">
                  <c:v>15.77</c:v>
                </c:pt>
                <c:pt idx="1578">
                  <c:v>15.78</c:v>
                </c:pt>
                <c:pt idx="1579">
                  <c:v>15.790000000000001</c:v>
                </c:pt>
                <c:pt idx="1580">
                  <c:v>15.8</c:v>
                </c:pt>
                <c:pt idx="1581">
                  <c:v>15.81</c:v>
                </c:pt>
                <c:pt idx="1582">
                  <c:v>15.82</c:v>
                </c:pt>
                <c:pt idx="1583">
                  <c:v>15.83</c:v>
                </c:pt>
                <c:pt idx="1584">
                  <c:v>15.84</c:v>
                </c:pt>
                <c:pt idx="1585">
                  <c:v>15.85</c:v>
                </c:pt>
                <c:pt idx="1586">
                  <c:v>15.86</c:v>
                </c:pt>
                <c:pt idx="1587">
                  <c:v>15.870000000000001</c:v>
                </c:pt>
                <c:pt idx="1588">
                  <c:v>15.88</c:v>
                </c:pt>
                <c:pt idx="1589">
                  <c:v>15.89</c:v>
                </c:pt>
                <c:pt idx="1590">
                  <c:v>15.9</c:v>
                </c:pt>
                <c:pt idx="1591">
                  <c:v>15.91</c:v>
                </c:pt>
                <c:pt idx="1592">
                  <c:v>15.92</c:v>
                </c:pt>
                <c:pt idx="1593">
                  <c:v>15.93</c:v>
                </c:pt>
                <c:pt idx="1594">
                  <c:v>15.94</c:v>
                </c:pt>
                <c:pt idx="1595">
                  <c:v>15.95</c:v>
                </c:pt>
                <c:pt idx="1596">
                  <c:v>15.96</c:v>
                </c:pt>
                <c:pt idx="1597">
                  <c:v>15.97</c:v>
                </c:pt>
                <c:pt idx="1598">
                  <c:v>15.98</c:v>
                </c:pt>
                <c:pt idx="1599">
                  <c:v>15.99</c:v>
                </c:pt>
                <c:pt idx="1600">
                  <c:v>16</c:v>
                </c:pt>
                <c:pt idx="1601">
                  <c:v>16.010000000000002</c:v>
                </c:pt>
                <c:pt idx="1602">
                  <c:v>16.020000000000003</c:v>
                </c:pt>
                <c:pt idx="1603">
                  <c:v>16.03</c:v>
                </c:pt>
                <c:pt idx="1604">
                  <c:v>16.040000000000003</c:v>
                </c:pt>
                <c:pt idx="1605">
                  <c:v>16.05</c:v>
                </c:pt>
                <c:pt idx="1606">
                  <c:v>16.060000000000002</c:v>
                </c:pt>
                <c:pt idx="1607">
                  <c:v>16.07</c:v>
                </c:pt>
                <c:pt idx="1608">
                  <c:v>16.080000000000002</c:v>
                </c:pt>
                <c:pt idx="1609">
                  <c:v>16.090000000000003</c:v>
                </c:pt>
                <c:pt idx="1610">
                  <c:v>16.100000000000001</c:v>
                </c:pt>
                <c:pt idx="1611">
                  <c:v>16.110000000000003</c:v>
                </c:pt>
                <c:pt idx="1612">
                  <c:v>16.12</c:v>
                </c:pt>
                <c:pt idx="1613">
                  <c:v>16.130000000000003</c:v>
                </c:pt>
                <c:pt idx="1614">
                  <c:v>16.14</c:v>
                </c:pt>
                <c:pt idx="1615">
                  <c:v>16.150000000000002</c:v>
                </c:pt>
                <c:pt idx="1616">
                  <c:v>16.16</c:v>
                </c:pt>
                <c:pt idx="1617">
                  <c:v>16.170000000000002</c:v>
                </c:pt>
                <c:pt idx="1618">
                  <c:v>16.180000000000003</c:v>
                </c:pt>
                <c:pt idx="1619">
                  <c:v>16.190000000000001</c:v>
                </c:pt>
                <c:pt idx="1620">
                  <c:v>16.200000000000003</c:v>
                </c:pt>
                <c:pt idx="1621">
                  <c:v>16.21</c:v>
                </c:pt>
                <c:pt idx="1622">
                  <c:v>16.220000000000002</c:v>
                </c:pt>
                <c:pt idx="1623">
                  <c:v>16.23</c:v>
                </c:pt>
                <c:pt idx="1624">
                  <c:v>16.240000000000002</c:v>
                </c:pt>
                <c:pt idx="1625">
                  <c:v>16.250000000000004</c:v>
                </c:pt>
                <c:pt idx="1626">
                  <c:v>16.260000000000002</c:v>
                </c:pt>
                <c:pt idx="1627">
                  <c:v>16.270000000000003</c:v>
                </c:pt>
                <c:pt idx="1628">
                  <c:v>16.28</c:v>
                </c:pt>
                <c:pt idx="1629">
                  <c:v>16.290000000000003</c:v>
                </c:pt>
                <c:pt idx="1630">
                  <c:v>16.3</c:v>
                </c:pt>
                <c:pt idx="1631">
                  <c:v>16.310000000000002</c:v>
                </c:pt>
                <c:pt idx="1632">
                  <c:v>16.32</c:v>
                </c:pt>
                <c:pt idx="1633">
                  <c:v>16.330000000000002</c:v>
                </c:pt>
                <c:pt idx="1634">
                  <c:v>16.340000000000003</c:v>
                </c:pt>
                <c:pt idx="1635">
                  <c:v>16.350000000000001</c:v>
                </c:pt>
                <c:pt idx="1636">
                  <c:v>16.360000000000003</c:v>
                </c:pt>
                <c:pt idx="1637">
                  <c:v>16.37</c:v>
                </c:pt>
                <c:pt idx="1638">
                  <c:v>16.380000000000003</c:v>
                </c:pt>
                <c:pt idx="1639">
                  <c:v>16.39</c:v>
                </c:pt>
                <c:pt idx="1640">
                  <c:v>16.400000000000002</c:v>
                </c:pt>
                <c:pt idx="1641">
                  <c:v>16.41</c:v>
                </c:pt>
                <c:pt idx="1642">
                  <c:v>16.420000000000002</c:v>
                </c:pt>
                <c:pt idx="1643">
                  <c:v>16.430000000000003</c:v>
                </c:pt>
                <c:pt idx="1644">
                  <c:v>16.440000000000001</c:v>
                </c:pt>
                <c:pt idx="1645">
                  <c:v>16.450000000000003</c:v>
                </c:pt>
                <c:pt idx="1646">
                  <c:v>16.46</c:v>
                </c:pt>
                <c:pt idx="1647">
                  <c:v>16.470000000000002</c:v>
                </c:pt>
                <c:pt idx="1648">
                  <c:v>16.48</c:v>
                </c:pt>
                <c:pt idx="1649">
                  <c:v>16.490000000000002</c:v>
                </c:pt>
                <c:pt idx="1650">
                  <c:v>16.500000000000004</c:v>
                </c:pt>
                <c:pt idx="1651">
                  <c:v>16.510000000000002</c:v>
                </c:pt>
                <c:pt idx="1652">
                  <c:v>16.520000000000003</c:v>
                </c:pt>
                <c:pt idx="1653">
                  <c:v>16.53</c:v>
                </c:pt>
                <c:pt idx="1654">
                  <c:v>16.540000000000003</c:v>
                </c:pt>
                <c:pt idx="1655">
                  <c:v>16.55</c:v>
                </c:pt>
                <c:pt idx="1656">
                  <c:v>16.560000000000002</c:v>
                </c:pt>
                <c:pt idx="1657">
                  <c:v>16.57</c:v>
                </c:pt>
                <c:pt idx="1658">
                  <c:v>16.580000000000002</c:v>
                </c:pt>
                <c:pt idx="1659">
                  <c:v>16.590000000000003</c:v>
                </c:pt>
                <c:pt idx="1660">
                  <c:v>16.600000000000001</c:v>
                </c:pt>
                <c:pt idx="1661">
                  <c:v>16.610000000000003</c:v>
                </c:pt>
                <c:pt idx="1662">
                  <c:v>16.62</c:v>
                </c:pt>
                <c:pt idx="1663">
                  <c:v>16.630000000000003</c:v>
                </c:pt>
                <c:pt idx="1664">
                  <c:v>16.64</c:v>
                </c:pt>
                <c:pt idx="1665">
                  <c:v>16.650000000000002</c:v>
                </c:pt>
                <c:pt idx="1666">
                  <c:v>16.66</c:v>
                </c:pt>
                <c:pt idx="1667">
                  <c:v>16.670000000000002</c:v>
                </c:pt>
                <c:pt idx="1668">
                  <c:v>16.680000000000003</c:v>
                </c:pt>
                <c:pt idx="1669">
                  <c:v>16.690000000000001</c:v>
                </c:pt>
                <c:pt idx="1670">
                  <c:v>16.700000000000003</c:v>
                </c:pt>
                <c:pt idx="1671">
                  <c:v>16.71</c:v>
                </c:pt>
                <c:pt idx="1672">
                  <c:v>16.720000000000002</c:v>
                </c:pt>
                <c:pt idx="1673">
                  <c:v>16.73</c:v>
                </c:pt>
                <c:pt idx="1674">
                  <c:v>16.740000000000002</c:v>
                </c:pt>
                <c:pt idx="1675">
                  <c:v>16.750000000000004</c:v>
                </c:pt>
                <c:pt idx="1676">
                  <c:v>16.760000000000002</c:v>
                </c:pt>
                <c:pt idx="1677">
                  <c:v>16.770000000000003</c:v>
                </c:pt>
                <c:pt idx="1678">
                  <c:v>16.78</c:v>
                </c:pt>
                <c:pt idx="1679">
                  <c:v>16.790000000000003</c:v>
                </c:pt>
                <c:pt idx="1680">
                  <c:v>16.8</c:v>
                </c:pt>
                <c:pt idx="1681">
                  <c:v>16.810000000000002</c:v>
                </c:pt>
                <c:pt idx="1682">
                  <c:v>16.82</c:v>
                </c:pt>
                <c:pt idx="1683">
                  <c:v>16.830000000000002</c:v>
                </c:pt>
                <c:pt idx="1684">
                  <c:v>16.840000000000003</c:v>
                </c:pt>
                <c:pt idx="1685">
                  <c:v>16.850000000000001</c:v>
                </c:pt>
                <c:pt idx="1686">
                  <c:v>16.860000000000003</c:v>
                </c:pt>
                <c:pt idx="1687">
                  <c:v>16.87</c:v>
                </c:pt>
                <c:pt idx="1688">
                  <c:v>16.880000000000003</c:v>
                </c:pt>
                <c:pt idx="1689">
                  <c:v>16.89</c:v>
                </c:pt>
                <c:pt idx="1690">
                  <c:v>16.900000000000002</c:v>
                </c:pt>
                <c:pt idx="1691">
                  <c:v>16.91</c:v>
                </c:pt>
                <c:pt idx="1692">
                  <c:v>16.920000000000002</c:v>
                </c:pt>
                <c:pt idx="1693">
                  <c:v>16.930000000000003</c:v>
                </c:pt>
                <c:pt idx="1694">
                  <c:v>16.940000000000001</c:v>
                </c:pt>
                <c:pt idx="1695">
                  <c:v>16.950000000000003</c:v>
                </c:pt>
                <c:pt idx="1696">
                  <c:v>16.96</c:v>
                </c:pt>
                <c:pt idx="1697">
                  <c:v>16.970000000000002</c:v>
                </c:pt>
                <c:pt idx="1698">
                  <c:v>16.98</c:v>
                </c:pt>
                <c:pt idx="1699">
                  <c:v>16.990000000000002</c:v>
                </c:pt>
                <c:pt idx="1700">
                  <c:v>17.000000000000004</c:v>
                </c:pt>
                <c:pt idx="1701">
                  <c:v>17.010000000000002</c:v>
                </c:pt>
                <c:pt idx="1702">
                  <c:v>17.020000000000003</c:v>
                </c:pt>
                <c:pt idx="1703">
                  <c:v>17.03</c:v>
                </c:pt>
                <c:pt idx="1704">
                  <c:v>17.040000000000003</c:v>
                </c:pt>
                <c:pt idx="1705">
                  <c:v>17.05</c:v>
                </c:pt>
                <c:pt idx="1706">
                  <c:v>17.060000000000002</c:v>
                </c:pt>
                <c:pt idx="1707">
                  <c:v>17.07</c:v>
                </c:pt>
                <c:pt idx="1708">
                  <c:v>17.080000000000002</c:v>
                </c:pt>
                <c:pt idx="1709">
                  <c:v>17.090000000000003</c:v>
                </c:pt>
                <c:pt idx="1710">
                  <c:v>17.100000000000001</c:v>
                </c:pt>
                <c:pt idx="1711">
                  <c:v>17.110000000000003</c:v>
                </c:pt>
                <c:pt idx="1712">
                  <c:v>17.12</c:v>
                </c:pt>
                <c:pt idx="1713">
                  <c:v>17.130000000000003</c:v>
                </c:pt>
                <c:pt idx="1714">
                  <c:v>17.14</c:v>
                </c:pt>
                <c:pt idx="1715">
                  <c:v>17.150000000000002</c:v>
                </c:pt>
                <c:pt idx="1716">
                  <c:v>17.160000000000004</c:v>
                </c:pt>
                <c:pt idx="1717">
                  <c:v>17.170000000000002</c:v>
                </c:pt>
                <c:pt idx="1718">
                  <c:v>17.180000000000003</c:v>
                </c:pt>
                <c:pt idx="1719">
                  <c:v>17.190000000000001</c:v>
                </c:pt>
                <c:pt idx="1720">
                  <c:v>17.200000000000003</c:v>
                </c:pt>
                <c:pt idx="1721">
                  <c:v>17.21</c:v>
                </c:pt>
                <c:pt idx="1722">
                  <c:v>17.220000000000002</c:v>
                </c:pt>
                <c:pt idx="1723">
                  <c:v>17.23</c:v>
                </c:pt>
                <c:pt idx="1724">
                  <c:v>17.240000000000002</c:v>
                </c:pt>
                <c:pt idx="1725">
                  <c:v>17.250000000000004</c:v>
                </c:pt>
                <c:pt idx="1726">
                  <c:v>17.260000000000002</c:v>
                </c:pt>
                <c:pt idx="1727">
                  <c:v>17.270000000000003</c:v>
                </c:pt>
                <c:pt idx="1728">
                  <c:v>17.28</c:v>
                </c:pt>
                <c:pt idx="1729">
                  <c:v>17.290000000000003</c:v>
                </c:pt>
                <c:pt idx="1730">
                  <c:v>17.3</c:v>
                </c:pt>
                <c:pt idx="1731">
                  <c:v>17.310000000000002</c:v>
                </c:pt>
                <c:pt idx="1732">
                  <c:v>17.32</c:v>
                </c:pt>
                <c:pt idx="1733">
                  <c:v>17.330000000000002</c:v>
                </c:pt>
                <c:pt idx="1734">
                  <c:v>17.340000000000003</c:v>
                </c:pt>
                <c:pt idx="1735">
                  <c:v>17.350000000000001</c:v>
                </c:pt>
                <c:pt idx="1736">
                  <c:v>17.360000000000003</c:v>
                </c:pt>
                <c:pt idx="1737">
                  <c:v>17.37</c:v>
                </c:pt>
                <c:pt idx="1738">
                  <c:v>17.380000000000003</c:v>
                </c:pt>
                <c:pt idx="1739">
                  <c:v>17.39</c:v>
                </c:pt>
                <c:pt idx="1740">
                  <c:v>17.400000000000002</c:v>
                </c:pt>
                <c:pt idx="1741">
                  <c:v>17.410000000000004</c:v>
                </c:pt>
                <c:pt idx="1742">
                  <c:v>17.420000000000002</c:v>
                </c:pt>
                <c:pt idx="1743">
                  <c:v>17.430000000000003</c:v>
                </c:pt>
                <c:pt idx="1744">
                  <c:v>17.440000000000001</c:v>
                </c:pt>
                <c:pt idx="1745">
                  <c:v>17.450000000000003</c:v>
                </c:pt>
                <c:pt idx="1746">
                  <c:v>17.46</c:v>
                </c:pt>
                <c:pt idx="1747">
                  <c:v>17.470000000000002</c:v>
                </c:pt>
                <c:pt idx="1748">
                  <c:v>17.48</c:v>
                </c:pt>
                <c:pt idx="1749">
                  <c:v>17.490000000000002</c:v>
                </c:pt>
                <c:pt idx="1750">
                  <c:v>17.500000000000004</c:v>
                </c:pt>
                <c:pt idx="1751">
                  <c:v>17.510000000000002</c:v>
                </c:pt>
                <c:pt idx="1752">
                  <c:v>17.520000000000003</c:v>
                </c:pt>
                <c:pt idx="1753">
                  <c:v>17.53</c:v>
                </c:pt>
                <c:pt idx="1754">
                  <c:v>17.540000000000003</c:v>
                </c:pt>
                <c:pt idx="1755">
                  <c:v>17.55</c:v>
                </c:pt>
                <c:pt idx="1756">
                  <c:v>17.560000000000002</c:v>
                </c:pt>
                <c:pt idx="1757">
                  <c:v>17.57</c:v>
                </c:pt>
                <c:pt idx="1758">
                  <c:v>17.580000000000002</c:v>
                </c:pt>
                <c:pt idx="1759">
                  <c:v>17.590000000000003</c:v>
                </c:pt>
                <c:pt idx="1760">
                  <c:v>17.600000000000001</c:v>
                </c:pt>
                <c:pt idx="1761">
                  <c:v>17.610000000000003</c:v>
                </c:pt>
                <c:pt idx="1762">
                  <c:v>17.62</c:v>
                </c:pt>
                <c:pt idx="1763">
                  <c:v>17.630000000000003</c:v>
                </c:pt>
                <c:pt idx="1764">
                  <c:v>17.64</c:v>
                </c:pt>
                <c:pt idx="1765">
                  <c:v>17.650000000000002</c:v>
                </c:pt>
                <c:pt idx="1766">
                  <c:v>17.660000000000004</c:v>
                </c:pt>
                <c:pt idx="1767">
                  <c:v>17.670000000000002</c:v>
                </c:pt>
                <c:pt idx="1768">
                  <c:v>17.680000000000003</c:v>
                </c:pt>
                <c:pt idx="1769">
                  <c:v>17.690000000000001</c:v>
                </c:pt>
                <c:pt idx="1770">
                  <c:v>17.700000000000003</c:v>
                </c:pt>
                <c:pt idx="1771">
                  <c:v>17.71</c:v>
                </c:pt>
                <c:pt idx="1772">
                  <c:v>17.720000000000002</c:v>
                </c:pt>
                <c:pt idx="1773">
                  <c:v>17.73</c:v>
                </c:pt>
                <c:pt idx="1774">
                  <c:v>17.740000000000002</c:v>
                </c:pt>
                <c:pt idx="1775">
                  <c:v>17.750000000000004</c:v>
                </c:pt>
                <c:pt idx="1776">
                  <c:v>17.760000000000002</c:v>
                </c:pt>
                <c:pt idx="1777">
                  <c:v>17.770000000000003</c:v>
                </c:pt>
                <c:pt idx="1778">
                  <c:v>17.78</c:v>
                </c:pt>
                <c:pt idx="1779">
                  <c:v>17.790000000000003</c:v>
                </c:pt>
                <c:pt idx="1780">
                  <c:v>17.8</c:v>
                </c:pt>
                <c:pt idx="1781">
                  <c:v>17.810000000000002</c:v>
                </c:pt>
                <c:pt idx="1782">
                  <c:v>17.82</c:v>
                </c:pt>
                <c:pt idx="1783">
                  <c:v>17.830000000000002</c:v>
                </c:pt>
                <c:pt idx="1784">
                  <c:v>17.840000000000003</c:v>
                </c:pt>
                <c:pt idx="1785">
                  <c:v>17.850000000000001</c:v>
                </c:pt>
                <c:pt idx="1786">
                  <c:v>17.860000000000003</c:v>
                </c:pt>
                <c:pt idx="1787">
                  <c:v>17.87</c:v>
                </c:pt>
                <c:pt idx="1788">
                  <c:v>17.880000000000003</c:v>
                </c:pt>
                <c:pt idx="1789">
                  <c:v>17.89</c:v>
                </c:pt>
                <c:pt idx="1790">
                  <c:v>17.900000000000002</c:v>
                </c:pt>
                <c:pt idx="1791">
                  <c:v>17.910000000000004</c:v>
                </c:pt>
                <c:pt idx="1792">
                  <c:v>17.920000000000002</c:v>
                </c:pt>
                <c:pt idx="1793">
                  <c:v>17.930000000000003</c:v>
                </c:pt>
                <c:pt idx="1794">
                  <c:v>17.940000000000001</c:v>
                </c:pt>
                <c:pt idx="1795">
                  <c:v>17.950000000000003</c:v>
                </c:pt>
                <c:pt idx="1796">
                  <c:v>17.96</c:v>
                </c:pt>
                <c:pt idx="1797">
                  <c:v>17.970000000000002</c:v>
                </c:pt>
                <c:pt idx="1798">
                  <c:v>17.98</c:v>
                </c:pt>
                <c:pt idx="1799">
                  <c:v>17.990000000000002</c:v>
                </c:pt>
                <c:pt idx="1800">
                  <c:v>18.000000000000004</c:v>
                </c:pt>
                <c:pt idx="1801">
                  <c:v>18.010000000000002</c:v>
                </c:pt>
                <c:pt idx="1802">
                  <c:v>18.020000000000003</c:v>
                </c:pt>
                <c:pt idx="1803">
                  <c:v>18.03</c:v>
                </c:pt>
                <c:pt idx="1804">
                  <c:v>18.040000000000003</c:v>
                </c:pt>
                <c:pt idx="1805">
                  <c:v>18.05</c:v>
                </c:pt>
                <c:pt idx="1806">
                  <c:v>18.060000000000002</c:v>
                </c:pt>
                <c:pt idx="1807">
                  <c:v>18.07</c:v>
                </c:pt>
                <c:pt idx="1808">
                  <c:v>18.080000000000002</c:v>
                </c:pt>
                <c:pt idx="1809">
                  <c:v>18.090000000000003</c:v>
                </c:pt>
                <c:pt idx="1810">
                  <c:v>18.100000000000001</c:v>
                </c:pt>
                <c:pt idx="1811">
                  <c:v>18.110000000000003</c:v>
                </c:pt>
                <c:pt idx="1812">
                  <c:v>18.12</c:v>
                </c:pt>
                <c:pt idx="1813">
                  <c:v>18.130000000000003</c:v>
                </c:pt>
                <c:pt idx="1814">
                  <c:v>18.14</c:v>
                </c:pt>
                <c:pt idx="1815">
                  <c:v>18.150000000000002</c:v>
                </c:pt>
                <c:pt idx="1816">
                  <c:v>18.160000000000004</c:v>
                </c:pt>
                <c:pt idx="1817">
                  <c:v>18.170000000000002</c:v>
                </c:pt>
                <c:pt idx="1818">
                  <c:v>18.180000000000003</c:v>
                </c:pt>
                <c:pt idx="1819">
                  <c:v>18.190000000000001</c:v>
                </c:pt>
                <c:pt idx="1820">
                  <c:v>18.200000000000003</c:v>
                </c:pt>
                <c:pt idx="1821">
                  <c:v>18.21</c:v>
                </c:pt>
                <c:pt idx="1822">
                  <c:v>18.220000000000002</c:v>
                </c:pt>
                <c:pt idx="1823">
                  <c:v>18.23</c:v>
                </c:pt>
                <c:pt idx="1824">
                  <c:v>18.240000000000002</c:v>
                </c:pt>
                <c:pt idx="1825">
                  <c:v>18.250000000000004</c:v>
                </c:pt>
                <c:pt idx="1826">
                  <c:v>18.260000000000002</c:v>
                </c:pt>
                <c:pt idx="1827">
                  <c:v>18.270000000000003</c:v>
                </c:pt>
                <c:pt idx="1828">
                  <c:v>18.28</c:v>
                </c:pt>
                <c:pt idx="1829">
                  <c:v>18.290000000000003</c:v>
                </c:pt>
                <c:pt idx="1830">
                  <c:v>18.3</c:v>
                </c:pt>
                <c:pt idx="1831">
                  <c:v>18.310000000000002</c:v>
                </c:pt>
                <c:pt idx="1832">
                  <c:v>18.32</c:v>
                </c:pt>
                <c:pt idx="1833">
                  <c:v>18.330000000000002</c:v>
                </c:pt>
                <c:pt idx="1834">
                  <c:v>18.340000000000003</c:v>
                </c:pt>
                <c:pt idx="1835">
                  <c:v>18.350000000000001</c:v>
                </c:pt>
                <c:pt idx="1836">
                  <c:v>18.360000000000003</c:v>
                </c:pt>
                <c:pt idx="1837">
                  <c:v>18.37</c:v>
                </c:pt>
                <c:pt idx="1838">
                  <c:v>18.380000000000003</c:v>
                </c:pt>
                <c:pt idx="1839">
                  <c:v>18.39</c:v>
                </c:pt>
                <c:pt idx="1840">
                  <c:v>18.400000000000002</c:v>
                </c:pt>
                <c:pt idx="1841">
                  <c:v>18.410000000000004</c:v>
                </c:pt>
                <c:pt idx="1842">
                  <c:v>18.420000000000002</c:v>
                </c:pt>
                <c:pt idx="1843">
                  <c:v>18.430000000000003</c:v>
                </c:pt>
                <c:pt idx="1844">
                  <c:v>18.440000000000001</c:v>
                </c:pt>
                <c:pt idx="1845">
                  <c:v>18.450000000000003</c:v>
                </c:pt>
                <c:pt idx="1846">
                  <c:v>18.46</c:v>
                </c:pt>
                <c:pt idx="1847">
                  <c:v>18.470000000000002</c:v>
                </c:pt>
                <c:pt idx="1848">
                  <c:v>18.48</c:v>
                </c:pt>
                <c:pt idx="1849">
                  <c:v>18.490000000000002</c:v>
                </c:pt>
                <c:pt idx="1850">
                  <c:v>18.500000000000004</c:v>
                </c:pt>
                <c:pt idx="1851">
                  <c:v>18.510000000000002</c:v>
                </c:pt>
                <c:pt idx="1852">
                  <c:v>18.520000000000003</c:v>
                </c:pt>
                <c:pt idx="1853">
                  <c:v>18.53</c:v>
                </c:pt>
                <c:pt idx="1854">
                  <c:v>18.540000000000003</c:v>
                </c:pt>
                <c:pt idx="1855">
                  <c:v>18.55</c:v>
                </c:pt>
                <c:pt idx="1856">
                  <c:v>18.560000000000002</c:v>
                </c:pt>
                <c:pt idx="1857">
                  <c:v>18.57</c:v>
                </c:pt>
                <c:pt idx="1858">
                  <c:v>18.580000000000002</c:v>
                </c:pt>
                <c:pt idx="1859">
                  <c:v>18.590000000000003</c:v>
                </c:pt>
                <c:pt idx="1860">
                  <c:v>18.600000000000001</c:v>
                </c:pt>
                <c:pt idx="1861">
                  <c:v>18.610000000000003</c:v>
                </c:pt>
                <c:pt idx="1862">
                  <c:v>18.62</c:v>
                </c:pt>
                <c:pt idx="1863">
                  <c:v>18.630000000000003</c:v>
                </c:pt>
                <c:pt idx="1864">
                  <c:v>18.64</c:v>
                </c:pt>
                <c:pt idx="1865">
                  <c:v>18.650000000000002</c:v>
                </c:pt>
                <c:pt idx="1866">
                  <c:v>18.660000000000004</c:v>
                </c:pt>
                <c:pt idx="1867">
                  <c:v>18.670000000000002</c:v>
                </c:pt>
                <c:pt idx="1868">
                  <c:v>18.680000000000003</c:v>
                </c:pt>
                <c:pt idx="1869">
                  <c:v>18.690000000000001</c:v>
                </c:pt>
                <c:pt idx="1870">
                  <c:v>18.700000000000003</c:v>
                </c:pt>
                <c:pt idx="1871">
                  <c:v>18.71</c:v>
                </c:pt>
                <c:pt idx="1872">
                  <c:v>18.720000000000002</c:v>
                </c:pt>
                <c:pt idx="1873">
                  <c:v>18.73</c:v>
                </c:pt>
                <c:pt idx="1874">
                  <c:v>18.740000000000002</c:v>
                </c:pt>
                <c:pt idx="1875">
                  <c:v>18.750000000000004</c:v>
                </c:pt>
                <c:pt idx="1876">
                  <c:v>18.760000000000002</c:v>
                </c:pt>
                <c:pt idx="1877">
                  <c:v>18.770000000000003</c:v>
                </c:pt>
                <c:pt idx="1878">
                  <c:v>18.78</c:v>
                </c:pt>
                <c:pt idx="1879">
                  <c:v>18.790000000000003</c:v>
                </c:pt>
                <c:pt idx="1880">
                  <c:v>18.8</c:v>
                </c:pt>
                <c:pt idx="1881">
                  <c:v>18.810000000000002</c:v>
                </c:pt>
                <c:pt idx="1882">
                  <c:v>18.82</c:v>
                </c:pt>
                <c:pt idx="1883">
                  <c:v>18.830000000000002</c:v>
                </c:pt>
                <c:pt idx="1884">
                  <c:v>18.840000000000003</c:v>
                </c:pt>
                <c:pt idx="1885">
                  <c:v>18.850000000000001</c:v>
                </c:pt>
                <c:pt idx="1886">
                  <c:v>18.860000000000003</c:v>
                </c:pt>
                <c:pt idx="1887">
                  <c:v>18.87</c:v>
                </c:pt>
                <c:pt idx="1888">
                  <c:v>18.880000000000003</c:v>
                </c:pt>
                <c:pt idx="1889">
                  <c:v>18.89</c:v>
                </c:pt>
                <c:pt idx="1890">
                  <c:v>18.900000000000002</c:v>
                </c:pt>
                <c:pt idx="1891">
                  <c:v>18.910000000000004</c:v>
                </c:pt>
                <c:pt idx="1892">
                  <c:v>18.920000000000002</c:v>
                </c:pt>
                <c:pt idx="1893">
                  <c:v>18.930000000000003</c:v>
                </c:pt>
                <c:pt idx="1894">
                  <c:v>18.940000000000001</c:v>
                </c:pt>
                <c:pt idx="1895">
                  <c:v>18.950000000000003</c:v>
                </c:pt>
                <c:pt idx="1896">
                  <c:v>18.96</c:v>
                </c:pt>
                <c:pt idx="1897">
                  <c:v>18.970000000000002</c:v>
                </c:pt>
                <c:pt idx="1898">
                  <c:v>18.98</c:v>
                </c:pt>
                <c:pt idx="1899">
                  <c:v>18.990000000000002</c:v>
                </c:pt>
                <c:pt idx="1900">
                  <c:v>19.000000000000004</c:v>
                </c:pt>
                <c:pt idx="1901">
                  <c:v>19.010000000000002</c:v>
                </c:pt>
                <c:pt idx="1902">
                  <c:v>19.020000000000003</c:v>
                </c:pt>
                <c:pt idx="1903">
                  <c:v>19.03</c:v>
                </c:pt>
                <c:pt idx="1904">
                  <c:v>19.040000000000003</c:v>
                </c:pt>
                <c:pt idx="1905">
                  <c:v>19.05</c:v>
                </c:pt>
                <c:pt idx="1906">
                  <c:v>19.060000000000002</c:v>
                </c:pt>
                <c:pt idx="1907">
                  <c:v>19.07</c:v>
                </c:pt>
                <c:pt idx="1908">
                  <c:v>19.080000000000002</c:v>
                </c:pt>
                <c:pt idx="1909">
                  <c:v>19.090000000000003</c:v>
                </c:pt>
                <c:pt idx="1910">
                  <c:v>19.100000000000001</c:v>
                </c:pt>
                <c:pt idx="1911">
                  <c:v>19.110000000000003</c:v>
                </c:pt>
                <c:pt idx="1912">
                  <c:v>19.12</c:v>
                </c:pt>
                <c:pt idx="1913">
                  <c:v>19.130000000000003</c:v>
                </c:pt>
                <c:pt idx="1914">
                  <c:v>19.14</c:v>
                </c:pt>
                <c:pt idx="1915">
                  <c:v>19.150000000000002</c:v>
                </c:pt>
                <c:pt idx="1916">
                  <c:v>19.160000000000004</c:v>
                </c:pt>
                <c:pt idx="1917">
                  <c:v>19.170000000000002</c:v>
                </c:pt>
                <c:pt idx="1918">
                  <c:v>19.180000000000003</c:v>
                </c:pt>
                <c:pt idx="1919">
                  <c:v>19.190000000000001</c:v>
                </c:pt>
                <c:pt idx="1920">
                  <c:v>19.200000000000003</c:v>
                </c:pt>
                <c:pt idx="1921">
                  <c:v>19.21</c:v>
                </c:pt>
                <c:pt idx="1922">
                  <c:v>19.220000000000002</c:v>
                </c:pt>
                <c:pt idx="1923">
                  <c:v>19.23</c:v>
                </c:pt>
                <c:pt idx="1924">
                  <c:v>19.240000000000002</c:v>
                </c:pt>
                <c:pt idx="1925">
                  <c:v>19.250000000000004</c:v>
                </c:pt>
                <c:pt idx="1926">
                  <c:v>19.260000000000002</c:v>
                </c:pt>
                <c:pt idx="1927">
                  <c:v>19.270000000000003</c:v>
                </c:pt>
                <c:pt idx="1928">
                  <c:v>19.28</c:v>
                </c:pt>
                <c:pt idx="1929">
                  <c:v>19.290000000000003</c:v>
                </c:pt>
                <c:pt idx="1930">
                  <c:v>19.3</c:v>
                </c:pt>
                <c:pt idx="1931">
                  <c:v>19.310000000000002</c:v>
                </c:pt>
                <c:pt idx="1932">
                  <c:v>19.32</c:v>
                </c:pt>
                <c:pt idx="1933">
                  <c:v>19.330000000000002</c:v>
                </c:pt>
                <c:pt idx="1934">
                  <c:v>19.340000000000003</c:v>
                </c:pt>
                <c:pt idx="1935">
                  <c:v>19.350000000000001</c:v>
                </c:pt>
                <c:pt idx="1936">
                  <c:v>19.360000000000003</c:v>
                </c:pt>
                <c:pt idx="1937">
                  <c:v>19.37</c:v>
                </c:pt>
                <c:pt idx="1938">
                  <c:v>19.380000000000003</c:v>
                </c:pt>
                <c:pt idx="1939">
                  <c:v>19.39</c:v>
                </c:pt>
                <c:pt idx="1940">
                  <c:v>19.400000000000002</c:v>
                </c:pt>
                <c:pt idx="1941">
                  <c:v>19.410000000000004</c:v>
                </c:pt>
                <c:pt idx="1942">
                  <c:v>19.420000000000002</c:v>
                </c:pt>
                <c:pt idx="1943">
                  <c:v>19.430000000000003</c:v>
                </c:pt>
                <c:pt idx="1944">
                  <c:v>19.440000000000001</c:v>
                </c:pt>
                <c:pt idx="1945">
                  <c:v>19.450000000000003</c:v>
                </c:pt>
                <c:pt idx="1946">
                  <c:v>19.46</c:v>
                </c:pt>
                <c:pt idx="1947">
                  <c:v>19.470000000000002</c:v>
                </c:pt>
                <c:pt idx="1948">
                  <c:v>19.48</c:v>
                </c:pt>
                <c:pt idx="1949">
                  <c:v>19.490000000000002</c:v>
                </c:pt>
                <c:pt idx="1950">
                  <c:v>19.500000000000004</c:v>
                </c:pt>
                <c:pt idx="1951">
                  <c:v>19.510000000000002</c:v>
                </c:pt>
                <c:pt idx="1952">
                  <c:v>19.520000000000003</c:v>
                </c:pt>
                <c:pt idx="1953">
                  <c:v>19.53</c:v>
                </c:pt>
                <c:pt idx="1954">
                  <c:v>19.540000000000003</c:v>
                </c:pt>
                <c:pt idx="1955">
                  <c:v>19.55</c:v>
                </c:pt>
                <c:pt idx="1956">
                  <c:v>19.560000000000002</c:v>
                </c:pt>
                <c:pt idx="1957">
                  <c:v>19.57</c:v>
                </c:pt>
                <c:pt idx="1958">
                  <c:v>19.580000000000002</c:v>
                </c:pt>
                <c:pt idx="1959">
                  <c:v>19.590000000000003</c:v>
                </c:pt>
                <c:pt idx="1960">
                  <c:v>19.600000000000001</c:v>
                </c:pt>
                <c:pt idx="1961">
                  <c:v>19.610000000000003</c:v>
                </c:pt>
                <c:pt idx="1962">
                  <c:v>19.62</c:v>
                </c:pt>
                <c:pt idx="1963">
                  <c:v>19.630000000000003</c:v>
                </c:pt>
                <c:pt idx="1964">
                  <c:v>19.64</c:v>
                </c:pt>
                <c:pt idx="1965">
                  <c:v>19.650000000000002</c:v>
                </c:pt>
                <c:pt idx="1966">
                  <c:v>19.660000000000004</c:v>
                </c:pt>
                <c:pt idx="1967">
                  <c:v>19.670000000000002</c:v>
                </c:pt>
                <c:pt idx="1968">
                  <c:v>19.680000000000003</c:v>
                </c:pt>
                <c:pt idx="1969">
                  <c:v>19.690000000000001</c:v>
                </c:pt>
                <c:pt idx="1970">
                  <c:v>19.700000000000003</c:v>
                </c:pt>
                <c:pt idx="1971">
                  <c:v>19.71</c:v>
                </c:pt>
                <c:pt idx="1972">
                  <c:v>19.720000000000002</c:v>
                </c:pt>
                <c:pt idx="1973">
                  <c:v>19.73</c:v>
                </c:pt>
                <c:pt idx="1974">
                  <c:v>19.740000000000002</c:v>
                </c:pt>
                <c:pt idx="1975">
                  <c:v>19.750000000000004</c:v>
                </c:pt>
                <c:pt idx="1976">
                  <c:v>19.760000000000002</c:v>
                </c:pt>
                <c:pt idx="1977">
                  <c:v>19.770000000000003</c:v>
                </c:pt>
                <c:pt idx="1978">
                  <c:v>19.78</c:v>
                </c:pt>
                <c:pt idx="1979">
                  <c:v>19.790000000000003</c:v>
                </c:pt>
                <c:pt idx="1980">
                  <c:v>19.8</c:v>
                </c:pt>
                <c:pt idx="1981">
                  <c:v>19.810000000000002</c:v>
                </c:pt>
                <c:pt idx="1982">
                  <c:v>19.82</c:v>
                </c:pt>
                <c:pt idx="1983">
                  <c:v>19.830000000000002</c:v>
                </c:pt>
                <c:pt idx="1984">
                  <c:v>19.840000000000003</c:v>
                </c:pt>
                <c:pt idx="1985">
                  <c:v>19.850000000000001</c:v>
                </c:pt>
                <c:pt idx="1986">
                  <c:v>19.860000000000003</c:v>
                </c:pt>
                <c:pt idx="1987">
                  <c:v>19.87</c:v>
                </c:pt>
                <c:pt idx="1988">
                  <c:v>19.880000000000003</c:v>
                </c:pt>
                <c:pt idx="1989">
                  <c:v>19.89</c:v>
                </c:pt>
                <c:pt idx="1990">
                  <c:v>19.900000000000002</c:v>
                </c:pt>
                <c:pt idx="1991">
                  <c:v>19.910000000000004</c:v>
                </c:pt>
                <c:pt idx="1992">
                  <c:v>19.920000000000002</c:v>
                </c:pt>
                <c:pt idx="1993">
                  <c:v>19.930000000000003</c:v>
                </c:pt>
                <c:pt idx="1994">
                  <c:v>19.940000000000001</c:v>
                </c:pt>
                <c:pt idx="1995">
                  <c:v>19.950000000000003</c:v>
                </c:pt>
                <c:pt idx="1996">
                  <c:v>19.96</c:v>
                </c:pt>
                <c:pt idx="1997">
                  <c:v>19.970000000000002</c:v>
                </c:pt>
                <c:pt idx="1998">
                  <c:v>19.98</c:v>
                </c:pt>
                <c:pt idx="1999">
                  <c:v>19.990000000000002</c:v>
                </c:pt>
                <c:pt idx="2000">
                  <c:v>20.000000000000004</c:v>
                </c:pt>
                <c:pt idx="2001">
                  <c:v>20.010000000000002</c:v>
                </c:pt>
                <c:pt idx="2002">
                  <c:v>20.020000000000003</c:v>
                </c:pt>
                <c:pt idx="2003">
                  <c:v>20.03</c:v>
                </c:pt>
                <c:pt idx="2004">
                  <c:v>20.040000000000003</c:v>
                </c:pt>
                <c:pt idx="2005">
                  <c:v>20.05</c:v>
                </c:pt>
                <c:pt idx="2006">
                  <c:v>20.060000000000002</c:v>
                </c:pt>
                <c:pt idx="2007">
                  <c:v>20.07</c:v>
                </c:pt>
                <c:pt idx="2008">
                  <c:v>20.080000000000002</c:v>
                </c:pt>
                <c:pt idx="2009">
                  <c:v>20.090000000000003</c:v>
                </c:pt>
                <c:pt idx="2010">
                  <c:v>20.100000000000001</c:v>
                </c:pt>
                <c:pt idx="2011">
                  <c:v>20.110000000000003</c:v>
                </c:pt>
                <c:pt idx="2012">
                  <c:v>20.12</c:v>
                </c:pt>
                <c:pt idx="2013">
                  <c:v>20.130000000000003</c:v>
                </c:pt>
                <c:pt idx="2014">
                  <c:v>20.14</c:v>
                </c:pt>
                <c:pt idx="2015">
                  <c:v>20.150000000000002</c:v>
                </c:pt>
                <c:pt idx="2016">
                  <c:v>20.160000000000004</c:v>
                </c:pt>
                <c:pt idx="2017">
                  <c:v>20.170000000000002</c:v>
                </c:pt>
                <c:pt idx="2018">
                  <c:v>20.180000000000003</c:v>
                </c:pt>
                <c:pt idx="2019">
                  <c:v>20.190000000000001</c:v>
                </c:pt>
                <c:pt idx="2020">
                  <c:v>20.200000000000003</c:v>
                </c:pt>
                <c:pt idx="2021">
                  <c:v>20.21</c:v>
                </c:pt>
                <c:pt idx="2022">
                  <c:v>20.220000000000002</c:v>
                </c:pt>
                <c:pt idx="2023">
                  <c:v>20.23</c:v>
                </c:pt>
                <c:pt idx="2024">
                  <c:v>20.240000000000002</c:v>
                </c:pt>
                <c:pt idx="2025">
                  <c:v>20.250000000000004</c:v>
                </c:pt>
                <c:pt idx="2026">
                  <c:v>20.260000000000002</c:v>
                </c:pt>
                <c:pt idx="2027">
                  <c:v>20.270000000000003</c:v>
                </c:pt>
                <c:pt idx="2028">
                  <c:v>20.28</c:v>
                </c:pt>
                <c:pt idx="2029">
                  <c:v>20.290000000000003</c:v>
                </c:pt>
                <c:pt idx="2030">
                  <c:v>20.3</c:v>
                </c:pt>
                <c:pt idx="2031">
                  <c:v>20.310000000000002</c:v>
                </c:pt>
                <c:pt idx="2032">
                  <c:v>20.32</c:v>
                </c:pt>
                <c:pt idx="2033">
                  <c:v>20.330000000000002</c:v>
                </c:pt>
                <c:pt idx="2034">
                  <c:v>20.340000000000003</c:v>
                </c:pt>
                <c:pt idx="2035">
                  <c:v>20.350000000000001</c:v>
                </c:pt>
                <c:pt idx="2036">
                  <c:v>20.360000000000003</c:v>
                </c:pt>
                <c:pt idx="2037">
                  <c:v>20.37</c:v>
                </c:pt>
                <c:pt idx="2038">
                  <c:v>20.380000000000003</c:v>
                </c:pt>
                <c:pt idx="2039">
                  <c:v>20.39</c:v>
                </c:pt>
                <c:pt idx="2040">
                  <c:v>20.400000000000002</c:v>
                </c:pt>
                <c:pt idx="2041">
                  <c:v>20.410000000000004</c:v>
                </c:pt>
                <c:pt idx="2042">
                  <c:v>20.420000000000002</c:v>
                </c:pt>
                <c:pt idx="2043">
                  <c:v>20.430000000000003</c:v>
                </c:pt>
                <c:pt idx="2044">
                  <c:v>20.440000000000001</c:v>
                </c:pt>
                <c:pt idx="2045">
                  <c:v>20.450000000000003</c:v>
                </c:pt>
                <c:pt idx="2046">
                  <c:v>20.46</c:v>
                </c:pt>
                <c:pt idx="2047">
                  <c:v>20.470000000000002</c:v>
                </c:pt>
                <c:pt idx="2048">
                  <c:v>20.48</c:v>
                </c:pt>
                <c:pt idx="2049">
                  <c:v>20.490000000000002</c:v>
                </c:pt>
                <c:pt idx="2050">
                  <c:v>20.500000000000004</c:v>
                </c:pt>
                <c:pt idx="2051">
                  <c:v>20.51</c:v>
                </c:pt>
                <c:pt idx="2052">
                  <c:v>20.520000000000003</c:v>
                </c:pt>
                <c:pt idx="2053">
                  <c:v>20.53</c:v>
                </c:pt>
                <c:pt idx="2054">
                  <c:v>20.540000000000003</c:v>
                </c:pt>
                <c:pt idx="2055">
                  <c:v>20.55</c:v>
                </c:pt>
                <c:pt idx="2056">
                  <c:v>20.560000000000002</c:v>
                </c:pt>
                <c:pt idx="2057">
                  <c:v>20.57</c:v>
                </c:pt>
                <c:pt idx="2058">
                  <c:v>20.580000000000002</c:v>
                </c:pt>
                <c:pt idx="2059">
                  <c:v>20.590000000000003</c:v>
                </c:pt>
                <c:pt idx="2060">
                  <c:v>20.6</c:v>
                </c:pt>
                <c:pt idx="2061">
                  <c:v>20.610000000000003</c:v>
                </c:pt>
                <c:pt idx="2062">
                  <c:v>20.62</c:v>
                </c:pt>
                <c:pt idx="2063">
                  <c:v>20.630000000000003</c:v>
                </c:pt>
                <c:pt idx="2064">
                  <c:v>20.64</c:v>
                </c:pt>
                <c:pt idx="2065">
                  <c:v>20.650000000000002</c:v>
                </c:pt>
                <c:pt idx="2066">
                  <c:v>20.660000000000004</c:v>
                </c:pt>
                <c:pt idx="2067">
                  <c:v>20.67</c:v>
                </c:pt>
                <c:pt idx="2068">
                  <c:v>20.680000000000003</c:v>
                </c:pt>
                <c:pt idx="2069">
                  <c:v>20.69</c:v>
                </c:pt>
                <c:pt idx="2070">
                  <c:v>20.700000000000003</c:v>
                </c:pt>
                <c:pt idx="2071">
                  <c:v>20.71</c:v>
                </c:pt>
                <c:pt idx="2072">
                  <c:v>20.720000000000002</c:v>
                </c:pt>
                <c:pt idx="2073">
                  <c:v>20.73</c:v>
                </c:pt>
                <c:pt idx="2074">
                  <c:v>20.740000000000002</c:v>
                </c:pt>
                <c:pt idx="2075">
                  <c:v>20.750000000000004</c:v>
                </c:pt>
                <c:pt idx="2076">
                  <c:v>20.76</c:v>
                </c:pt>
                <c:pt idx="2077">
                  <c:v>20.770000000000003</c:v>
                </c:pt>
                <c:pt idx="2078">
                  <c:v>20.78</c:v>
                </c:pt>
                <c:pt idx="2079">
                  <c:v>20.790000000000003</c:v>
                </c:pt>
                <c:pt idx="2080">
                  <c:v>20.8</c:v>
                </c:pt>
                <c:pt idx="2081">
                  <c:v>20.810000000000002</c:v>
                </c:pt>
                <c:pt idx="2082">
                  <c:v>20.82</c:v>
                </c:pt>
                <c:pt idx="2083">
                  <c:v>20.830000000000002</c:v>
                </c:pt>
                <c:pt idx="2084">
                  <c:v>20.840000000000003</c:v>
                </c:pt>
                <c:pt idx="2085">
                  <c:v>20.85</c:v>
                </c:pt>
                <c:pt idx="2086">
                  <c:v>20.860000000000003</c:v>
                </c:pt>
                <c:pt idx="2087">
                  <c:v>20.87</c:v>
                </c:pt>
                <c:pt idx="2088">
                  <c:v>20.880000000000003</c:v>
                </c:pt>
                <c:pt idx="2089">
                  <c:v>20.89</c:v>
                </c:pt>
                <c:pt idx="2090">
                  <c:v>20.900000000000002</c:v>
                </c:pt>
                <c:pt idx="2091">
                  <c:v>20.910000000000004</c:v>
                </c:pt>
                <c:pt idx="2092">
                  <c:v>20.92</c:v>
                </c:pt>
                <c:pt idx="2093">
                  <c:v>20.930000000000003</c:v>
                </c:pt>
                <c:pt idx="2094">
                  <c:v>20.94</c:v>
                </c:pt>
                <c:pt idx="2095">
                  <c:v>20.950000000000003</c:v>
                </c:pt>
                <c:pt idx="2096">
                  <c:v>20.96</c:v>
                </c:pt>
                <c:pt idx="2097">
                  <c:v>20.970000000000002</c:v>
                </c:pt>
                <c:pt idx="2098">
                  <c:v>20.98</c:v>
                </c:pt>
                <c:pt idx="2099">
                  <c:v>20.990000000000002</c:v>
                </c:pt>
                <c:pt idx="2100">
                  <c:v>21.000000000000004</c:v>
                </c:pt>
                <c:pt idx="2101">
                  <c:v>21.01</c:v>
                </c:pt>
                <c:pt idx="2102">
                  <c:v>21.020000000000003</c:v>
                </c:pt>
                <c:pt idx="2103">
                  <c:v>21.03</c:v>
                </c:pt>
                <c:pt idx="2104">
                  <c:v>21.040000000000003</c:v>
                </c:pt>
                <c:pt idx="2105">
                  <c:v>21.05</c:v>
                </c:pt>
                <c:pt idx="2106">
                  <c:v>21.060000000000002</c:v>
                </c:pt>
                <c:pt idx="2107">
                  <c:v>21.07</c:v>
                </c:pt>
                <c:pt idx="2108">
                  <c:v>21.080000000000002</c:v>
                </c:pt>
                <c:pt idx="2109">
                  <c:v>21.090000000000003</c:v>
                </c:pt>
                <c:pt idx="2110">
                  <c:v>21.1</c:v>
                </c:pt>
                <c:pt idx="2111">
                  <c:v>21.110000000000003</c:v>
                </c:pt>
                <c:pt idx="2112">
                  <c:v>21.12</c:v>
                </c:pt>
                <c:pt idx="2113">
                  <c:v>21.130000000000003</c:v>
                </c:pt>
                <c:pt idx="2114">
                  <c:v>21.14</c:v>
                </c:pt>
                <c:pt idx="2115">
                  <c:v>21.150000000000002</c:v>
                </c:pt>
                <c:pt idx="2116">
                  <c:v>21.160000000000004</c:v>
                </c:pt>
                <c:pt idx="2117">
                  <c:v>21.17</c:v>
                </c:pt>
                <c:pt idx="2118">
                  <c:v>21.180000000000003</c:v>
                </c:pt>
                <c:pt idx="2119">
                  <c:v>21.19</c:v>
                </c:pt>
                <c:pt idx="2120">
                  <c:v>21.200000000000003</c:v>
                </c:pt>
                <c:pt idx="2121">
                  <c:v>21.21</c:v>
                </c:pt>
                <c:pt idx="2122">
                  <c:v>21.220000000000002</c:v>
                </c:pt>
                <c:pt idx="2123">
                  <c:v>21.23</c:v>
                </c:pt>
                <c:pt idx="2124">
                  <c:v>21.240000000000002</c:v>
                </c:pt>
                <c:pt idx="2125">
                  <c:v>21.250000000000004</c:v>
                </c:pt>
                <c:pt idx="2126">
                  <c:v>21.26</c:v>
                </c:pt>
                <c:pt idx="2127">
                  <c:v>21.270000000000003</c:v>
                </c:pt>
                <c:pt idx="2128">
                  <c:v>21.28</c:v>
                </c:pt>
                <c:pt idx="2129">
                  <c:v>21.290000000000003</c:v>
                </c:pt>
                <c:pt idx="2130">
                  <c:v>21.3</c:v>
                </c:pt>
                <c:pt idx="2131">
                  <c:v>21.310000000000002</c:v>
                </c:pt>
                <c:pt idx="2132">
                  <c:v>21.32</c:v>
                </c:pt>
                <c:pt idx="2133">
                  <c:v>21.330000000000002</c:v>
                </c:pt>
                <c:pt idx="2134">
                  <c:v>21.340000000000003</c:v>
                </c:pt>
                <c:pt idx="2135">
                  <c:v>21.35</c:v>
                </c:pt>
                <c:pt idx="2136">
                  <c:v>21.360000000000003</c:v>
                </c:pt>
                <c:pt idx="2137">
                  <c:v>21.37</c:v>
                </c:pt>
                <c:pt idx="2138">
                  <c:v>21.380000000000003</c:v>
                </c:pt>
                <c:pt idx="2139">
                  <c:v>21.39</c:v>
                </c:pt>
                <c:pt idx="2140">
                  <c:v>21.400000000000002</c:v>
                </c:pt>
                <c:pt idx="2141">
                  <c:v>21.410000000000004</c:v>
                </c:pt>
                <c:pt idx="2142">
                  <c:v>21.42</c:v>
                </c:pt>
                <c:pt idx="2143">
                  <c:v>21.430000000000003</c:v>
                </c:pt>
                <c:pt idx="2144">
                  <c:v>21.44</c:v>
                </c:pt>
                <c:pt idx="2145">
                  <c:v>21.450000000000003</c:v>
                </c:pt>
                <c:pt idx="2146">
                  <c:v>21.46</c:v>
                </c:pt>
                <c:pt idx="2147">
                  <c:v>21.470000000000002</c:v>
                </c:pt>
                <c:pt idx="2148">
                  <c:v>21.48</c:v>
                </c:pt>
                <c:pt idx="2149">
                  <c:v>21.490000000000002</c:v>
                </c:pt>
                <c:pt idx="2150">
                  <c:v>21.500000000000004</c:v>
                </c:pt>
                <c:pt idx="2151">
                  <c:v>21.51</c:v>
                </c:pt>
                <c:pt idx="2152">
                  <c:v>21.520000000000003</c:v>
                </c:pt>
                <c:pt idx="2153">
                  <c:v>21.53</c:v>
                </c:pt>
                <c:pt idx="2154">
                  <c:v>21.540000000000003</c:v>
                </c:pt>
                <c:pt idx="2155">
                  <c:v>21.55</c:v>
                </c:pt>
                <c:pt idx="2156">
                  <c:v>21.560000000000002</c:v>
                </c:pt>
                <c:pt idx="2157">
                  <c:v>21.57</c:v>
                </c:pt>
                <c:pt idx="2158">
                  <c:v>21.580000000000002</c:v>
                </c:pt>
                <c:pt idx="2159">
                  <c:v>21.590000000000003</c:v>
                </c:pt>
                <c:pt idx="2160">
                  <c:v>21.6</c:v>
                </c:pt>
                <c:pt idx="2161">
                  <c:v>21.610000000000003</c:v>
                </c:pt>
                <c:pt idx="2162">
                  <c:v>21.62</c:v>
                </c:pt>
                <c:pt idx="2163">
                  <c:v>21.630000000000003</c:v>
                </c:pt>
                <c:pt idx="2164">
                  <c:v>21.64</c:v>
                </c:pt>
                <c:pt idx="2165">
                  <c:v>21.650000000000002</c:v>
                </c:pt>
                <c:pt idx="2166">
                  <c:v>21.660000000000004</c:v>
                </c:pt>
                <c:pt idx="2167">
                  <c:v>21.67</c:v>
                </c:pt>
                <c:pt idx="2168">
                  <c:v>21.680000000000003</c:v>
                </c:pt>
                <c:pt idx="2169">
                  <c:v>21.69</c:v>
                </c:pt>
                <c:pt idx="2170">
                  <c:v>21.700000000000003</c:v>
                </c:pt>
                <c:pt idx="2171">
                  <c:v>21.71</c:v>
                </c:pt>
                <c:pt idx="2172">
                  <c:v>21.720000000000002</c:v>
                </c:pt>
                <c:pt idx="2173">
                  <c:v>21.73</c:v>
                </c:pt>
                <c:pt idx="2174">
                  <c:v>21.740000000000002</c:v>
                </c:pt>
                <c:pt idx="2175">
                  <c:v>21.750000000000004</c:v>
                </c:pt>
                <c:pt idx="2176">
                  <c:v>21.76</c:v>
                </c:pt>
                <c:pt idx="2177">
                  <c:v>21.770000000000003</c:v>
                </c:pt>
                <c:pt idx="2178">
                  <c:v>21.78</c:v>
                </c:pt>
                <c:pt idx="2179">
                  <c:v>21.790000000000003</c:v>
                </c:pt>
                <c:pt idx="2180">
                  <c:v>21.8</c:v>
                </c:pt>
                <c:pt idx="2181">
                  <c:v>21.810000000000002</c:v>
                </c:pt>
                <c:pt idx="2182">
                  <c:v>21.82</c:v>
                </c:pt>
                <c:pt idx="2183">
                  <c:v>21.830000000000002</c:v>
                </c:pt>
                <c:pt idx="2184">
                  <c:v>21.840000000000003</c:v>
                </c:pt>
                <c:pt idx="2185">
                  <c:v>21.85</c:v>
                </c:pt>
                <c:pt idx="2186">
                  <c:v>21.860000000000003</c:v>
                </c:pt>
                <c:pt idx="2187">
                  <c:v>21.87</c:v>
                </c:pt>
                <c:pt idx="2188">
                  <c:v>21.880000000000003</c:v>
                </c:pt>
                <c:pt idx="2189">
                  <c:v>21.89</c:v>
                </c:pt>
                <c:pt idx="2190">
                  <c:v>21.900000000000002</c:v>
                </c:pt>
                <c:pt idx="2191">
                  <c:v>21.910000000000004</c:v>
                </c:pt>
                <c:pt idx="2192">
                  <c:v>21.92</c:v>
                </c:pt>
                <c:pt idx="2193">
                  <c:v>21.930000000000003</c:v>
                </c:pt>
                <c:pt idx="2194">
                  <c:v>21.94</c:v>
                </c:pt>
                <c:pt idx="2195">
                  <c:v>21.950000000000003</c:v>
                </c:pt>
                <c:pt idx="2196">
                  <c:v>21.96</c:v>
                </c:pt>
                <c:pt idx="2197">
                  <c:v>21.970000000000002</c:v>
                </c:pt>
                <c:pt idx="2198">
                  <c:v>21.98</c:v>
                </c:pt>
                <c:pt idx="2199">
                  <c:v>21.990000000000002</c:v>
                </c:pt>
                <c:pt idx="2200">
                  <c:v>22.000000000000004</c:v>
                </c:pt>
                <c:pt idx="2201">
                  <c:v>22.01</c:v>
                </c:pt>
                <c:pt idx="2202">
                  <c:v>22.020000000000003</c:v>
                </c:pt>
                <c:pt idx="2203">
                  <c:v>22.03</c:v>
                </c:pt>
                <c:pt idx="2204">
                  <c:v>22.040000000000003</c:v>
                </c:pt>
                <c:pt idx="2205">
                  <c:v>22.05</c:v>
                </c:pt>
                <c:pt idx="2206">
                  <c:v>22.060000000000002</c:v>
                </c:pt>
                <c:pt idx="2207">
                  <c:v>22.07</c:v>
                </c:pt>
                <c:pt idx="2208">
                  <c:v>22.080000000000002</c:v>
                </c:pt>
                <c:pt idx="2209">
                  <c:v>22.090000000000003</c:v>
                </c:pt>
                <c:pt idx="2210">
                  <c:v>22.1</c:v>
                </c:pt>
                <c:pt idx="2211">
                  <c:v>22.110000000000003</c:v>
                </c:pt>
                <c:pt idx="2212">
                  <c:v>22.12</c:v>
                </c:pt>
                <c:pt idx="2213">
                  <c:v>22.130000000000003</c:v>
                </c:pt>
                <c:pt idx="2214">
                  <c:v>22.14</c:v>
                </c:pt>
                <c:pt idx="2215">
                  <c:v>22.150000000000002</c:v>
                </c:pt>
                <c:pt idx="2216">
                  <c:v>22.160000000000004</c:v>
                </c:pt>
                <c:pt idx="2217">
                  <c:v>22.17</c:v>
                </c:pt>
                <c:pt idx="2218">
                  <c:v>22.180000000000003</c:v>
                </c:pt>
                <c:pt idx="2219">
                  <c:v>22.19</c:v>
                </c:pt>
                <c:pt idx="2220">
                  <c:v>22.200000000000003</c:v>
                </c:pt>
                <c:pt idx="2221">
                  <c:v>22.21</c:v>
                </c:pt>
                <c:pt idx="2222">
                  <c:v>22.220000000000002</c:v>
                </c:pt>
                <c:pt idx="2223">
                  <c:v>22.23</c:v>
                </c:pt>
                <c:pt idx="2224">
                  <c:v>22.240000000000002</c:v>
                </c:pt>
                <c:pt idx="2225">
                  <c:v>22.250000000000004</c:v>
                </c:pt>
                <c:pt idx="2226">
                  <c:v>22.26</c:v>
                </c:pt>
                <c:pt idx="2227">
                  <c:v>22.270000000000003</c:v>
                </c:pt>
                <c:pt idx="2228">
                  <c:v>22.28</c:v>
                </c:pt>
                <c:pt idx="2229">
                  <c:v>22.290000000000003</c:v>
                </c:pt>
                <c:pt idx="2230">
                  <c:v>22.3</c:v>
                </c:pt>
                <c:pt idx="2231">
                  <c:v>22.310000000000002</c:v>
                </c:pt>
                <c:pt idx="2232">
                  <c:v>22.32</c:v>
                </c:pt>
                <c:pt idx="2233">
                  <c:v>22.330000000000002</c:v>
                </c:pt>
                <c:pt idx="2234">
                  <c:v>22.340000000000003</c:v>
                </c:pt>
                <c:pt idx="2235">
                  <c:v>22.35</c:v>
                </c:pt>
                <c:pt idx="2236">
                  <c:v>22.360000000000003</c:v>
                </c:pt>
                <c:pt idx="2237">
                  <c:v>22.37</c:v>
                </c:pt>
                <c:pt idx="2238">
                  <c:v>22.380000000000003</c:v>
                </c:pt>
                <c:pt idx="2239">
                  <c:v>22.39</c:v>
                </c:pt>
                <c:pt idx="2240">
                  <c:v>22.400000000000002</c:v>
                </c:pt>
                <c:pt idx="2241">
                  <c:v>22.410000000000004</c:v>
                </c:pt>
                <c:pt idx="2242">
                  <c:v>22.42</c:v>
                </c:pt>
                <c:pt idx="2243">
                  <c:v>22.430000000000003</c:v>
                </c:pt>
                <c:pt idx="2244">
                  <c:v>22.44</c:v>
                </c:pt>
                <c:pt idx="2245">
                  <c:v>22.450000000000003</c:v>
                </c:pt>
                <c:pt idx="2246">
                  <c:v>22.46</c:v>
                </c:pt>
                <c:pt idx="2247">
                  <c:v>22.470000000000002</c:v>
                </c:pt>
                <c:pt idx="2248">
                  <c:v>22.48</c:v>
                </c:pt>
                <c:pt idx="2249">
                  <c:v>22.490000000000002</c:v>
                </c:pt>
                <c:pt idx="2250">
                  <c:v>22.500000000000004</c:v>
                </c:pt>
                <c:pt idx="2251">
                  <c:v>22.51</c:v>
                </c:pt>
                <c:pt idx="2252">
                  <c:v>22.520000000000003</c:v>
                </c:pt>
                <c:pt idx="2253">
                  <c:v>22.53</c:v>
                </c:pt>
                <c:pt idx="2254">
                  <c:v>22.540000000000003</c:v>
                </c:pt>
                <c:pt idx="2255">
                  <c:v>22.55</c:v>
                </c:pt>
                <c:pt idx="2256">
                  <c:v>22.560000000000002</c:v>
                </c:pt>
                <c:pt idx="2257">
                  <c:v>22.57</c:v>
                </c:pt>
                <c:pt idx="2258">
                  <c:v>22.580000000000002</c:v>
                </c:pt>
                <c:pt idx="2259">
                  <c:v>22.590000000000003</c:v>
                </c:pt>
                <c:pt idx="2260">
                  <c:v>22.6</c:v>
                </c:pt>
                <c:pt idx="2261">
                  <c:v>22.610000000000003</c:v>
                </c:pt>
                <c:pt idx="2262">
                  <c:v>22.62</c:v>
                </c:pt>
                <c:pt idx="2263">
                  <c:v>22.630000000000003</c:v>
                </c:pt>
                <c:pt idx="2264">
                  <c:v>22.64</c:v>
                </c:pt>
                <c:pt idx="2265">
                  <c:v>22.650000000000002</c:v>
                </c:pt>
                <c:pt idx="2266">
                  <c:v>22.660000000000004</c:v>
                </c:pt>
                <c:pt idx="2267">
                  <c:v>22.67</c:v>
                </c:pt>
                <c:pt idx="2268">
                  <c:v>22.680000000000003</c:v>
                </c:pt>
                <c:pt idx="2269">
                  <c:v>22.69</c:v>
                </c:pt>
                <c:pt idx="2270">
                  <c:v>22.700000000000003</c:v>
                </c:pt>
                <c:pt idx="2271">
                  <c:v>22.71</c:v>
                </c:pt>
                <c:pt idx="2272">
                  <c:v>22.720000000000002</c:v>
                </c:pt>
                <c:pt idx="2273">
                  <c:v>22.73</c:v>
                </c:pt>
                <c:pt idx="2274">
                  <c:v>22.740000000000002</c:v>
                </c:pt>
                <c:pt idx="2275">
                  <c:v>22.750000000000004</c:v>
                </c:pt>
                <c:pt idx="2276">
                  <c:v>22.76</c:v>
                </c:pt>
                <c:pt idx="2277">
                  <c:v>22.770000000000003</c:v>
                </c:pt>
                <c:pt idx="2278">
                  <c:v>22.78</c:v>
                </c:pt>
                <c:pt idx="2279">
                  <c:v>22.790000000000003</c:v>
                </c:pt>
                <c:pt idx="2280">
                  <c:v>22.8</c:v>
                </c:pt>
                <c:pt idx="2281">
                  <c:v>22.810000000000002</c:v>
                </c:pt>
                <c:pt idx="2282">
                  <c:v>22.82</c:v>
                </c:pt>
                <c:pt idx="2283">
                  <c:v>22.830000000000002</c:v>
                </c:pt>
                <c:pt idx="2284">
                  <c:v>22.840000000000003</c:v>
                </c:pt>
                <c:pt idx="2285">
                  <c:v>22.85</c:v>
                </c:pt>
                <c:pt idx="2286">
                  <c:v>22.860000000000003</c:v>
                </c:pt>
                <c:pt idx="2287">
                  <c:v>22.87</c:v>
                </c:pt>
                <c:pt idx="2288">
                  <c:v>22.880000000000003</c:v>
                </c:pt>
                <c:pt idx="2289">
                  <c:v>22.89</c:v>
                </c:pt>
                <c:pt idx="2290">
                  <c:v>22.900000000000002</c:v>
                </c:pt>
                <c:pt idx="2291">
                  <c:v>22.910000000000004</c:v>
                </c:pt>
                <c:pt idx="2292">
                  <c:v>22.92</c:v>
                </c:pt>
                <c:pt idx="2293">
                  <c:v>22.930000000000003</c:v>
                </c:pt>
                <c:pt idx="2294">
                  <c:v>22.94</c:v>
                </c:pt>
                <c:pt idx="2295">
                  <c:v>22.950000000000003</c:v>
                </c:pt>
                <c:pt idx="2296">
                  <c:v>22.96</c:v>
                </c:pt>
                <c:pt idx="2297">
                  <c:v>22.970000000000002</c:v>
                </c:pt>
                <c:pt idx="2298">
                  <c:v>22.98</c:v>
                </c:pt>
                <c:pt idx="2299">
                  <c:v>22.990000000000002</c:v>
                </c:pt>
                <c:pt idx="2300">
                  <c:v>23.000000000000004</c:v>
                </c:pt>
                <c:pt idx="2301">
                  <c:v>23.01</c:v>
                </c:pt>
                <c:pt idx="2302">
                  <c:v>23.020000000000003</c:v>
                </c:pt>
                <c:pt idx="2303">
                  <c:v>23.03</c:v>
                </c:pt>
                <c:pt idx="2304">
                  <c:v>23.040000000000003</c:v>
                </c:pt>
                <c:pt idx="2305">
                  <c:v>23.05</c:v>
                </c:pt>
                <c:pt idx="2306">
                  <c:v>23.060000000000002</c:v>
                </c:pt>
                <c:pt idx="2307">
                  <c:v>23.07</c:v>
                </c:pt>
                <c:pt idx="2308">
                  <c:v>23.080000000000002</c:v>
                </c:pt>
                <c:pt idx="2309">
                  <c:v>23.090000000000003</c:v>
                </c:pt>
                <c:pt idx="2310">
                  <c:v>23.1</c:v>
                </c:pt>
                <c:pt idx="2311">
                  <c:v>23.110000000000003</c:v>
                </c:pt>
                <c:pt idx="2312">
                  <c:v>23.12</c:v>
                </c:pt>
                <c:pt idx="2313">
                  <c:v>23.130000000000003</c:v>
                </c:pt>
                <c:pt idx="2314">
                  <c:v>23.14</c:v>
                </c:pt>
                <c:pt idx="2315">
                  <c:v>23.150000000000002</c:v>
                </c:pt>
                <c:pt idx="2316">
                  <c:v>23.160000000000004</c:v>
                </c:pt>
                <c:pt idx="2317">
                  <c:v>23.17</c:v>
                </c:pt>
                <c:pt idx="2318">
                  <c:v>23.180000000000003</c:v>
                </c:pt>
                <c:pt idx="2319">
                  <c:v>23.19</c:v>
                </c:pt>
                <c:pt idx="2320">
                  <c:v>23.200000000000003</c:v>
                </c:pt>
                <c:pt idx="2321">
                  <c:v>23.21</c:v>
                </c:pt>
                <c:pt idx="2322">
                  <c:v>23.220000000000002</c:v>
                </c:pt>
                <c:pt idx="2323">
                  <c:v>23.23</c:v>
                </c:pt>
                <c:pt idx="2324">
                  <c:v>23.240000000000002</c:v>
                </c:pt>
                <c:pt idx="2325">
                  <c:v>23.250000000000004</c:v>
                </c:pt>
                <c:pt idx="2326">
                  <c:v>23.26</c:v>
                </c:pt>
                <c:pt idx="2327">
                  <c:v>23.270000000000003</c:v>
                </c:pt>
                <c:pt idx="2328">
                  <c:v>23.28</c:v>
                </c:pt>
                <c:pt idx="2329">
                  <c:v>23.290000000000003</c:v>
                </c:pt>
                <c:pt idx="2330">
                  <c:v>23.3</c:v>
                </c:pt>
                <c:pt idx="2331">
                  <c:v>23.310000000000002</c:v>
                </c:pt>
                <c:pt idx="2332">
                  <c:v>23.32</c:v>
                </c:pt>
                <c:pt idx="2333">
                  <c:v>23.330000000000002</c:v>
                </c:pt>
                <c:pt idx="2334">
                  <c:v>23.340000000000003</c:v>
                </c:pt>
                <c:pt idx="2335">
                  <c:v>23.35</c:v>
                </c:pt>
                <c:pt idx="2336">
                  <c:v>23.360000000000003</c:v>
                </c:pt>
                <c:pt idx="2337">
                  <c:v>23.37</c:v>
                </c:pt>
                <c:pt idx="2338">
                  <c:v>23.380000000000003</c:v>
                </c:pt>
                <c:pt idx="2339">
                  <c:v>23.39</c:v>
                </c:pt>
                <c:pt idx="2340">
                  <c:v>23.400000000000002</c:v>
                </c:pt>
                <c:pt idx="2341">
                  <c:v>23.410000000000004</c:v>
                </c:pt>
                <c:pt idx="2342">
                  <c:v>23.42</c:v>
                </c:pt>
                <c:pt idx="2343">
                  <c:v>23.430000000000003</c:v>
                </c:pt>
                <c:pt idx="2344">
                  <c:v>23.44</c:v>
                </c:pt>
                <c:pt idx="2345">
                  <c:v>23.450000000000003</c:v>
                </c:pt>
                <c:pt idx="2346">
                  <c:v>23.46</c:v>
                </c:pt>
                <c:pt idx="2347">
                  <c:v>23.470000000000002</c:v>
                </c:pt>
                <c:pt idx="2348">
                  <c:v>23.48</c:v>
                </c:pt>
                <c:pt idx="2349">
                  <c:v>23.490000000000002</c:v>
                </c:pt>
                <c:pt idx="2350">
                  <c:v>23.500000000000004</c:v>
                </c:pt>
                <c:pt idx="2351">
                  <c:v>23.51</c:v>
                </c:pt>
                <c:pt idx="2352">
                  <c:v>23.520000000000003</c:v>
                </c:pt>
                <c:pt idx="2353">
                  <c:v>23.53</c:v>
                </c:pt>
                <c:pt idx="2354">
                  <c:v>23.540000000000003</c:v>
                </c:pt>
                <c:pt idx="2355">
                  <c:v>23.55</c:v>
                </c:pt>
                <c:pt idx="2356">
                  <c:v>23.560000000000002</c:v>
                </c:pt>
                <c:pt idx="2357">
                  <c:v>23.57</c:v>
                </c:pt>
                <c:pt idx="2358">
                  <c:v>23.580000000000002</c:v>
                </c:pt>
                <c:pt idx="2359">
                  <c:v>23.590000000000003</c:v>
                </c:pt>
                <c:pt idx="2360">
                  <c:v>23.6</c:v>
                </c:pt>
                <c:pt idx="2361">
                  <c:v>23.610000000000003</c:v>
                </c:pt>
                <c:pt idx="2362">
                  <c:v>23.62</c:v>
                </c:pt>
                <c:pt idx="2363">
                  <c:v>23.630000000000003</c:v>
                </c:pt>
                <c:pt idx="2364">
                  <c:v>23.64</c:v>
                </c:pt>
                <c:pt idx="2365">
                  <c:v>23.650000000000002</c:v>
                </c:pt>
                <c:pt idx="2366">
                  <c:v>23.660000000000004</c:v>
                </c:pt>
                <c:pt idx="2367">
                  <c:v>23.67</c:v>
                </c:pt>
                <c:pt idx="2368">
                  <c:v>23.680000000000003</c:v>
                </c:pt>
                <c:pt idx="2369">
                  <c:v>23.69</c:v>
                </c:pt>
                <c:pt idx="2370">
                  <c:v>23.700000000000003</c:v>
                </c:pt>
                <c:pt idx="2371">
                  <c:v>23.71</c:v>
                </c:pt>
                <c:pt idx="2372">
                  <c:v>23.720000000000002</c:v>
                </c:pt>
                <c:pt idx="2373">
                  <c:v>23.73</c:v>
                </c:pt>
                <c:pt idx="2374">
                  <c:v>23.740000000000002</c:v>
                </c:pt>
                <c:pt idx="2375">
                  <c:v>23.750000000000004</c:v>
                </c:pt>
                <c:pt idx="2376">
                  <c:v>23.76</c:v>
                </c:pt>
                <c:pt idx="2377">
                  <c:v>23.770000000000003</c:v>
                </c:pt>
                <c:pt idx="2378">
                  <c:v>23.78</c:v>
                </c:pt>
                <c:pt idx="2379">
                  <c:v>23.790000000000003</c:v>
                </c:pt>
                <c:pt idx="2380">
                  <c:v>23.8</c:v>
                </c:pt>
                <c:pt idx="2381">
                  <c:v>23.810000000000002</c:v>
                </c:pt>
                <c:pt idx="2382">
                  <c:v>23.82</c:v>
                </c:pt>
                <c:pt idx="2383">
                  <c:v>23.830000000000002</c:v>
                </c:pt>
                <c:pt idx="2384">
                  <c:v>23.840000000000003</c:v>
                </c:pt>
                <c:pt idx="2385">
                  <c:v>23.85</c:v>
                </c:pt>
                <c:pt idx="2386">
                  <c:v>23.860000000000003</c:v>
                </c:pt>
                <c:pt idx="2387">
                  <c:v>23.87</c:v>
                </c:pt>
                <c:pt idx="2388">
                  <c:v>23.880000000000003</c:v>
                </c:pt>
                <c:pt idx="2389">
                  <c:v>23.89</c:v>
                </c:pt>
                <c:pt idx="2390">
                  <c:v>23.900000000000002</c:v>
                </c:pt>
                <c:pt idx="2391">
                  <c:v>23.910000000000004</c:v>
                </c:pt>
                <c:pt idx="2392">
                  <c:v>23.92</c:v>
                </c:pt>
                <c:pt idx="2393">
                  <c:v>23.930000000000003</c:v>
                </c:pt>
                <c:pt idx="2394">
                  <c:v>23.94</c:v>
                </c:pt>
                <c:pt idx="2395">
                  <c:v>23.950000000000003</c:v>
                </c:pt>
                <c:pt idx="2396">
                  <c:v>23.96</c:v>
                </c:pt>
                <c:pt idx="2397">
                  <c:v>23.970000000000002</c:v>
                </c:pt>
                <c:pt idx="2398">
                  <c:v>23.98</c:v>
                </c:pt>
                <c:pt idx="2399">
                  <c:v>23.990000000000002</c:v>
                </c:pt>
                <c:pt idx="2400">
                  <c:v>24.000000000000004</c:v>
                </c:pt>
                <c:pt idx="2401">
                  <c:v>24.01</c:v>
                </c:pt>
                <c:pt idx="2402">
                  <c:v>24.020000000000003</c:v>
                </c:pt>
                <c:pt idx="2403">
                  <c:v>24.03</c:v>
                </c:pt>
                <c:pt idx="2404">
                  <c:v>24.040000000000003</c:v>
                </c:pt>
                <c:pt idx="2405">
                  <c:v>24.05</c:v>
                </c:pt>
                <c:pt idx="2406">
                  <c:v>24.060000000000002</c:v>
                </c:pt>
                <c:pt idx="2407">
                  <c:v>24.070000000000004</c:v>
                </c:pt>
                <c:pt idx="2408">
                  <c:v>24.080000000000002</c:v>
                </c:pt>
                <c:pt idx="2409">
                  <c:v>24.090000000000003</c:v>
                </c:pt>
                <c:pt idx="2410">
                  <c:v>24.1</c:v>
                </c:pt>
                <c:pt idx="2411">
                  <c:v>24.110000000000003</c:v>
                </c:pt>
                <c:pt idx="2412">
                  <c:v>24.12</c:v>
                </c:pt>
                <c:pt idx="2413">
                  <c:v>24.130000000000003</c:v>
                </c:pt>
                <c:pt idx="2414">
                  <c:v>24.14</c:v>
                </c:pt>
                <c:pt idx="2415">
                  <c:v>24.150000000000002</c:v>
                </c:pt>
                <c:pt idx="2416">
                  <c:v>24.160000000000004</c:v>
                </c:pt>
                <c:pt idx="2417">
                  <c:v>24.17</c:v>
                </c:pt>
                <c:pt idx="2418">
                  <c:v>24.180000000000003</c:v>
                </c:pt>
                <c:pt idx="2419">
                  <c:v>24.19</c:v>
                </c:pt>
                <c:pt idx="2420">
                  <c:v>24.200000000000003</c:v>
                </c:pt>
                <c:pt idx="2421">
                  <c:v>24.21</c:v>
                </c:pt>
                <c:pt idx="2422">
                  <c:v>24.220000000000002</c:v>
                </c:pt>
                <c:pt idx="2423">
                  <c:v>24.23</c:v>
                </c:pt>
                <c:pt idx="2424">
                  <c:v>24.240000000000002</c:v>
                </c:pt>
                <c:pt idx="2425">
                  <c:v>24.250000000000004</c:v>
                </c:pt>
                <c:pt idx="2426">
                  <c:v>24.26</c:v>
                </c:pt>
                <c:pt idx="2427">
                  <c:v>24.270000000000003</c:v>
                </c:pt>
                <c:pt idx="2428">
                  <c:v>24.28</c:v>
                </c:pt>
                <c:pt idx="2429">
                  <c:v>24.290000000000003</c:v>
                </c:pt>
                <c:pt idx="2430">
                  <c:v>24.3</c:v>
                </c:pt>
                <c:pt idx="2431">
                  <c:v>24.310000000000002</c:v>
                </c:pt>
                <c:pt idx="2432">
                  <c:v>24.320000000000004</c:v>
                </c:pt>
                <c:pt idx="2433">
                  <c:v>24.330000000000002</c:v>
                </c:pt>
                <c:pt idx="2434">
                  <c:v>24.340000000000003</c:v>
                </c:pt>
                <c:pt idx="2435">
                  <c:v>24.35</c:v>
                </c:pt>
                <c:pt idx="2436">
                  <c:v>24.360000000000003</c:v>
                </c:pt>
                <c:pt idx="2437">
                  <c:v>24.37</c:v>
                </c:pt>
                <c:pt idx="2438">
                  <c:v>24.380000000000003</c:v>
                </c:pt>
                <c:pt idx="2439">
                  <c:v>24.39</c:v>
                </c:pt>
                <c:pt idx="2440">
                  <c:v>24.400000000000002</c:v>
                </c:pt>
                <c:pt idx="2441">
                  <c:v>24.410000000000004</c:v>
                </c:pt>
                <c:pt idx="2442">
                  <c:v>24.42</c:v>
                </c:pt>
                <c:pt idx="2443">
                  <c:v>24.430000000000003</c:v>
                </c:pt>
                <c:pt idx="2444">
                  <c:v>24.44</c:v>
                </c:pt>
                <c:pt idx="2445">
                  <c:v>24.450000000000003</c:v>
                </c:pt>
                <c:pt idx="2446">
                  <c:v>24.46</c:v>
                </c:pt>
                <c:pt idx="2447">
                  <c:v>24.470000000000002</c:v>
                </c:pt>
                <c:pt idx="2448">
                  <c:v>24.48</c:v>
                </c:pt>
                <c:pt idx="2449">
                  <c:v>24.490000000000002</c:v>
                </c:pt>
                <c:pt idx="2450">
                  <c:v>24.500000000000004</c:v>
                </c:pt>
                <c:pt idx="2451">
                  <c:v>24.51</c:v>
                </c:pt>
                <c:pt idx="2452">
                  <c:v>24.520000000000003</c:v>
                </c:pt>
                <c:pt idx="2453">
                  <c:v>24.53</c:v>
                </c:pt>
                <c:pt idx="2454">
                  <c:v>24.540000000000003</c:v>
                </c:pt>
                <c:pt idx="2455">
                  <c:v>24.55</c:v>
                </c:pt>
                <c:pt idx="2456">
                  <c:v>24.560000000000002</c:v>
                </c:pt>
                <c:pt idx="2457">
                  <c:v>24.570000000000004</c:v>
                </c:pt>
                <c:pt idx="2458">
                  <c:v>24.580000000000002</c:v>
                </c:pt>
                <c:pt idx="2459">
                  <c:v>24.590000000000003</c:v>
                </c:pt>
                <c:pt idx="2460">
                  <c:v>24.6</c:v>
                </c:pt>
                <c:pt idx="2461">
                  <c:v>24.610000000000003</c:v>
                </c:pt>
                <c:pt idx="2462">
                  <c:v>24.62</c:v>
                </c:pt>
                <c:pt idx="2463">
                  <c:v>24.630000000000003</c:v>
                </c:pt>
                <c:pt idx="2464">
                  <c:v>24.64</c:v>
                </c:pt>
                <c:pt idx="2465">
                  <c:v>24.650000000000002</c:v>
                </c:pt>
                <c:pt idx="2466">
                  <c:v>24.660000000000004</c:v>
                </c:pt>
                <c:pt idx="2467">
                  <c:v>24.67</c:v>
                </c:pt>
                <c:pt idx="2468">
                  <c:v>24.680000000000003</c:v>
                </c:pt>
                <c:pt idx="2469">
                  <c:v>24.69</c:v>
                </c:pt>
                <c:pt idx="2470">
                  <c:v>24.700000000000003</c:v>
                </c:pt>
                <c:pt idx="2471">
                  <c:v>24.71</c:v>
                </c:pt>
                <c:pt idx="2472">
                  <c:v>24.720000000000002</c:v>
                </c:pt>
                <c:pt idx="2473">
                  <c:v>24.73</c:v>
                </c:pt>
                <c:pt idx="2474">
                  <c:v>24.740000000000002</c:v>
                </c:pt>
                <c:pt idx="2475">
                  <c:v>24.750000000000004</c:v>
                </c:pt>
                <c:pt idx="2476">
                  <c:v>24.76</c:v>
                </c:pt>
                <c:pt idx="2477">
                  <c:v>24.770000000000003</c:v>
                </c:pt>
                <c:pt idx="2478">
                  <c:v>24.78</c:v>
                </c:pt>
                <c:pt idx="2479">
                  <c:v>24.790000000000003</c:v>
                </c:pt>
                <c:pt idx="2480">
                  <c:v>24.8</c:v>
                </c:pt>
                <c:pt idx="2481">
                  <c:v>24.810000000000002</c:v>
                </c:pt>
                <c:pt idx="2482">
                  <c:v>24.820000000000004</c:v>
                </c:pt>
                <c:pt idx="2483">
                  <c:v>24.830000000000002</c:v>
                </c:pt>
                <c:pt idx="2484">
                  <c:v>24.840000000000003</c:v>
                </c:pt>
                <c:pt idx="2485">
                  <c:v>24.85</c:v>
                </c:pt>
                <c:pt idx="2486">
                  <c:v>24.860000000000003</c:v>
                </c:pt>
                <c:pt idx="2487">
                  <c:v>24.87</c:v>
                </c:pt>
                <c:pt idx="2488">
                  <c:v>24.880000000000003</c:v>
                </c:pt>
                <c:pt idx="2489">
                  <c:v>24.89</c:v>
                </c:pt>
                <c:pt idx="2490">
                  <c:v>24.900000000000002</c:v>
                </c:pt>
                <c:pt idx="2491">
                  <c:v>24.910000000000004</c:v>
                </c:pt>
                <c:pt idx="2492">
                  <c:v>24.92</c:v>
                </c:pt>
                <c:pt idx="2493">
                  <c:v>24.930000000000003</c:v>
                </c:pt>
                <c:pt idx="2494">
                  <c:v>24.94</c:v>
                </c:pt>
                <c:pt idx="2495">
                  <c:v>24.950000000000003</c:v>
                </c:pt>
                <c:pt idx="2496">
                  <c:v>24.96</c:v>
                </c:pt>
                <c:pt idx="2497">
                  <c:v>24.970000000000002</c:v>
                </c:pt>
                <c:pt idx="2498">
                  <c:v>24.98</c:v>
                </c:pt>
                <c:pt idx="2499">
                  <c:v>24.990000000000002</c:v>
                </c:pt>
                <c:pt idx="2500">
                  <c:v>25.000000000000004</c:v>
                </c:pt>
              </c:numCache>
            </c:numRef>
          </c:xVal>
          <c:yVal>
            <c:numRef>
              <c:f>ウサギとキツネの生態系!$C$4:$C$2504</c:f>
              <c:numCache>
                <c:formatCode>General</c:formatCode>
                <c:ptCount val="2501"/>
                <c:pt idx="0">
                  <c:v>1</c:v>
                </c:pt>
                <c:pt idx="1">
                  <c:v>0.99060000000000004</c:v>
                </c:pt>
                <c:pt idx="2">
                  <c:v>0.98129370924000003</c:v>
                </c:pt>
                <c:pt idx="3">
                  <c:v>0.97208019962038505</c:v>
                </c:pt>
                <c:pt idx="4">
                  <c:v>0.9629585522871138</c:v>
                </c:pt>
                <c:pt idx="5">
                  <c:v>0.95392785754058107</c:v>
                </c:pt>
                <c:pt idx="6">
                  <c:v>0.94498721474538383</c:v>
                </c:pt>
                <c:pt idx="7">
                  <c:v>0.93613573224098101</c:v>
                </c:pt>
                <c:pt idx="8">
                  <c:v>0.9273725272532386</c:v>
                </c:pt>
                <c:pt idx="9">
                  <c:v>0.91869672580685291</c:v>
                </c:pt>
                <c:pt idx="10">
                  <c:v>0.91010746263864128</c:v>
                </c:pt>
                <c:pt idx="11">
                  <c:v>0.90160388111169387</c:v>
                </c:pt>
                <c:pt idx="12">
                  <c:v>0.89318513313037695</c:v>
                </c:pt>
                <c:pt idx="13">
                  <c:v>0.88485037905618014</c:v>
                </c:pt>
                <c:pt idx="14">
                  <c:v>0.87659878762439947</c:v>
                </c:pt>
                <c:pt idx="15">
                  <c:v>0.86842953586164762</c:v>
                </c:pt>
                <c:pt idx="16">
                  <c:v>0.86034180900418444</c:v>
                </c:pt>
                <c:pt idx="17">
                  <c:v>0.85233480041705834</c:v>
                </c:pt>
                <c:pt idx="18">
                  <c:v>0.84440771151405258</c:v>
                </c:pt>
                <c:pt idx="19">
                  <c:v>0.83655975167842678</c:v>
                </c:pt>
                <c:pt idx="20">
                  <c:v>0.82879013818444791</c:v>
                </c:pt>
                <c:pt idx="21">
                  <c:v>0.82109809611970153</c:v>
                </c:pt>
                <c:pt idx="22">
                  <c:v>0.81348285830817679</c:v>
                </c:pt>
                <c:pt idx="23">
                  <c:v>0.80594366523411687</c:v>
                </c:pt>
                <c:pt idx="24">
                  <c:v>0.79847976496662931</c:v>
                </c:pt>
                <c:pt idx="25">
                  <c:v>0.79109041308504602</c:v>
                </c:pt>
                <c:pt idx="26">
                  <c:v>0.78377487260502865</c:v>
                </c:pt>
                <c:pt idx="27">
                  <c:v>0.77653241390541061</c:v>
                </c:pt>
                <c:pt idx="28">
                  <c:v>0.76936231465576832</c:v>
                </c:pt>
                <c:pt idx="29">
                  <c:v>0.76226385974471633</c:v>
                </c:pt>
                <c:pt idx="30">
                  <c:v>0.75523634120891781</c:v>
                </c:pt>
                <c:pt idx="31">
                  <c:v>0.74827905816280371</c:v>
                </c:pt>
                <c:pt idx="32">
                  <c:v>0.74139131672899516</c:v>
                </c:pt>
                <c:pt idx="33">
                  <c:v>0.7345724299694204</c:v>
                </c:pt>
                <c:pt idx="34">
                  <c:v>0.72782171781712146</c:v>
                </c:pt>
                <c:pt idx="35">
                  <c:v>0.72113850700874216</c:v>
                </c:pt>
                <c:pt idx="36">
                  <c:v>0.71452213101769246</c:v>
                </c:pt>
                <c:pt idx="37">
                  <c:v>0.70797192998798208</c:v>
                </c:pt>
                <c:pt idx="38">
                  <c:v>0.7014872506687162</c:v>
                </c:pt>
                <c:pt idx="39">
                  <c:v>0.69506744634924866</c:v>
                </c:pt>
                <c:pt idx="40">
                  <c:v>0.68871187679498458</c:v>
                </c:pt>
                <c:pt idx="41">
                  <c:v>0.68241990818382769</c:v>
                </c:pt>
                <c:pt idx="42">
                  <c:v>0.67619091304326484</c:v>
                </c:pt>
                <c:pt idx="43">
                  <c:v>0.67002427018808253</c:v>
                </c:pt>
                <c:pt idx="44">
                  <c:v>0.66391936465870938</c:v>
                </c:pt>
                <c:pt idx="45">
                  <c:v>0.6578755876601784</c:v>
                </c:pt>
                <c:pt idx="46">
                  <c:v>0.65189233650170242</c:v>
                </c:pt>
                <c:pt idx="47">
                  <c:v>0.64596901453685862</c:v>
                </c:pt>
                <c:pt idx="48">
                  <c:v>0.64010503110437467</c:v>
                </c:pt>
                <c:pt idx="49">
                  <c:v>0.63429980146951148</c:v>
                </c:pt>
                <c:pt idx="50">
                  <c:v>0.62855274676603667</c:v>
                </c:pt>
                <c:pt idx="51">
                  <c:v>0.62286329393878392</c:v>
                </c:pt>
                <c:pt idx="52">
                  <c:v>0.61723087568679125</c:v>
                </c:pt>
                <c:pt idx="53">
                  <c:v>0.61165493040701413</c:v>
                </c:pt>
                <c:pt idx="54">
                  <c:v>0.6061349021386071</c:v>
                </c:pt>
                <c:pt idx="55">
                  <c:v>0.60067024050776885</c:v>
                </c:pt>
                <c:pt idx="56">
                  <c:v>0.59526040067314534</c:v>
                </c:pt>
                <c:pt idx="57">
                  <c:v>0.58990484327178583</c:v>
                </c:pt>
                <c:pt idx="58">
                  <c:v>0.58460303436564687</c:v>
                </c:pt>
                <c:pt idx="59">
                  <c:v>0.57935444538863812</c:v>
                </c:pt>
                <c:pt idx="60">
                  <c:v>0.57415855309420616</c:v>
                </c:pt>
                <c:pt idx="61">
                  <c:v>0.56901483950345022</c:v>
                </c:pt>
                <c:pt idx="62">
                  <c:v>0.56392279185376548</c:v>
                </c:pt>
                <c:pt idx="63">
                  <c:v>0.55888190254800874</c:v>
                </c:pt>
                <c:pt idx="64">
                  <c:v>0.55389166910418175</c:v>
                </c:pt>
                <c:pt idx="65">
                  <c:v>0.54895159410562699</c:v>
                </c:pt>
                <c:pt idx="66">
                  <c:v>0.54406118515173174</c:v>
                </c:pt>
                <c:pt idx="67">
                  <c:v>0.53921995480913498</c:v>
                </c:pt>
                <c:pt idx="68">
                  <c:v>0.53442742056343306</c:v>
                </c:pt>
                <c:pt idx="69">
                  <c:v>0.52968310477137948</c:v>
                </c:pt>
                <c:pt idx="70">
                  <c:v>0.52498653461357336</c:v>
                </c:pt>
                <c:pt idx="71">
                  <c:v>0.52033724204763343</c:v>
                </c:pt>
                <c:pt idx="72">
                  <c:v>0.51573476376185223</c:v>
                </c:pt>
                <c:pt idx="73">
                  <c:v>0.51117864112932587</c:v>
                </c:pt>
                <c:pt idx="74">
                  <c:v>0.50666842016255575</c:v>
                </c:pt>
                <c:pt idx="75">
                  <c:v>0.50220365146851742</c:v>
                </c:pt>
                <c:pt idx="76">
                  <c:v>0.49778389020419239</c:v>
                </c:pt>
                <c:pt idx="77">
                  <c:v>0.49340869603255871</c:v>
                </c:pt>
                <c:pt idx="78">
                  <c:v>0.48907763307903612</c:v>
                </c:pt>
                <c:pt idx="79">
                  <c:v>0.48479026988838175</c:v>
                </c:pt>
                <c:pt idx="80">
                  <c:v>0.4805461793820322</c:v>
                </c:pt>
                <c:pt idx="81">
                  <c:v>0.47634493881588769</c:v>
                </c:pt>
                <c:pt idx="82">
                  <c:v>0.47218612973853497</c:v>
                </c:pt>
                <c:pt idx="83">
                  <c:v>0.46806933794990457</c:v>
                </c:pt>
                <c:pt idx="84">
                  <c:v>0.46399415346035833</c:v>
                </c:pt>
                <c:pt idx="85">
                  <c:v>0.45996017045020404</c:v>
                </c:pt>
                <c:pt idx="86">
                  <c:v>0.45596698722963264</c:v>
                </c:pt>
                <c:pt idx="87">
                  <c:v>0.45201420619907473</c:v>
                </c:pt>
                <c:pt idx="88">
                  <c:v>0.44810143380997275</c:v>
                </c:pt>
                <c:pt idx="89">
                  <c:v>0.44422828052596441</c:v>
                </c:pt>
                <c:pt idx="90">
                  <c:v>0.44039436078447503</c:v>
                </c:pt>
                <c:pt idx="91">
                  <c:v>0.43659929295871386</c:v>
                </c:pt>
                <c:pt idx="92">
                  <c:v>0.43284269932007191</c:v>
                </c:pt>
                <c:pt idx="93">
                  <c:v>0.42912420600091733</c:v>
                </c:pt>
                <c:pt idx="94">
                  <c:v>0.4254434429577848</c:v>
                </c:pt>
                <c:pt idx="95">
                  <c:v>0.42180004393495601</c:v>
                </c:pt>
                <c:pt idx="96">
                  <c:v>0.41819364642842743</c:v>
                </c:pt>
                <c:pt idx="97">
                  <c:v>0.41462389165026226</c:v>
                </c:pt>
                <c:pt idx="98">
                  <c:v>0.41109042449332345</c:v>
                </c:pt>
                <c:pt idx="99">
                  <c:v>0.40759289349638422</c:v>
                </c:pt>
                <c:pt idx="100">
                  <c:v>0.40413095080961348</c:v>
                </c:pt>
                <c:pt idx="101">
                  <c:v>0.40070425216043215</c:v>
                </c:pt>
                <c:pt idx="102">
                  <c:v>0.39731245681973826</c:v>
                </c:pt>
                <c:pt idx="103">
                  <c:v>0.39395522756849732</c:v>
                </c:pt>
                <c:pt idx="104">
                  <c:v>0.39063223066469493</c:v>
                </c:pt>
                <c:pt idx="105">
                  <c:v>0.38734313581064872</c:v>
                </c:pt>
                <c:pt idx="106">
                  <c:v>0.38408761612067688</c:v>
                </c:pt>
                <c:pt idx="107">
                  <c:v>0.38086534808912037</c:v>
                </c:pt>
                <c:pt idx="108">
                  <c:v>0.37767601155871583</c:v>
                </c:pt>
                <c:pt idx="109">
                  <c:v>0.37451928968931653</c:v>
                </c:pt>
                <c:pt idx="110">
                  <c:v>0.37139486892695878</c:v>
                </c:pt>
                <c:pt idx="111">
                  <c:v>0.36830243897327081</c:v>
                </c:pt>
                <c:pt idx="112">
                  <c:v>0.36524169275522173</c:v>
                </c:pt>
                <c:pt idx="113">
                  <c:v>0.36221232639520795</c:v>
                </c:pt>
                <c:pt idx="114">
                  <c:v>0.35921403918147421</c:v>
                </c:pt>
                <c:pt idx="115">
                  <c:v>0.35624653353886726</c:v>
                </c:pt>
                <c:pt idx="116">
                  <c:v>0.35330951499991925</c:v>
                </c:pt>
                <c:pt idx="117">
                  <c:v>0.35040269217625847</c:v>
                </c:pt>
                <c:pt idx="118">
                  <c:v>0.3475257767303454</c:v>
                </c:pt>
                <c:pt idx="119">
                  <c:v>0.34467848334753132</c:v>
                </c:pt>
                <c:pt idx="120">
                  <c:v>0.34186052970843739</c:v>
                </c:pt>
                <c:pt idx="121">
                  <c:v>0.33907163646165217</c:v>
                </c:pt>
                <c:pt idx="122">
                  <c:v>0.33631152719674462</c:v>
                </c:pt>
                <c:pt idx="123">
                  <c:v>0.33357992841759165</c:v>
                </c:pt>
                <c:pt idx="124">
                  <c:v>0.33087656951601685</c:v>
                </c:pt>
                <c:pt idx="125">
                  <c:v>0.32820118274573906</c:v>
                </c:pt>
                <c:pt idx="126">
                  <c:v>0.32555350319662879</c:v>
                </c:pt>
                <c:pt idx="127">
                  <c:v>0.32293326876927014</c:v>
                </c:pt>
                <c:pt idx="128">
                  <c:v>0.32034022014982649</c:v>
                </c:pt>
                <c:pt idx="129">
                  <c:v>0.31777410078520796</c:v>
                </c:pt>
                <c:pt idx="130">
                  <c:v>0.31523465685853919</c:v>
                </c:pt>
                <c:pt idx="131">
                  <c:v>0.31272163726492525</c:v>
                </c:pt>
                <c:pt idx="132">
                  <c:v>0.31023479358751377</c:v>
                </c:pt>
                <c:pt idx="133">
                  <c:v>0.30777388007385231</c:v>
                </c:pt>
                <c:pt idx="134">
                  <c:v>0.30533865361253876</c:v>
                </c:pt>
                <c:pt idx="135">
                  <c:v>0.30292887371016308</c:v>
                </c:pt>
                <c:pt idx="136">
                  <c:v>0.30054430246853936</c:v>
                </c:pt>
                <c:pt idx="137">
                  <c:v>0.29818470456222623</c:v>
                </c:pt>
                <c:pt idx="138">
                  <c:v>0.29584984721633439</c:v>
                </c:pt>
                <c:pt idx="139">
                  <c:v>0.29353950018461972</c:v>
                </c:pt>
                <c:pt idx="140">
                  <c:v>0.29125343572786089</c:v>
                </c:pt>
                <c:pt idx="141">
                  <c:v>0.28899142859251969</c:v>
                </c:pt>
                <c:pt idx="142">
                  <c:v>0.28675325598968354</c:v>
                </c:pt>
                <c:pt idx="143">
                  <c:v>0.28453869757428801</c:v>
                </c:pt>
                <c:pt idx="144">
                  <c:v>0.28234753542461938</c:v>
                </c:pt>
                <c:pt idx="145">
                  <c:v>0.2801795540220951</c:v>
                </c:pt>
                <c:pt idx="146">
                  <c:v>0.27803454023132163</c:v>
                </c:pt>
                <c:pt idx="147">
                  <c:v>0.27591228328042883</c:v>
                </c:pt>
                <c:pt idx="148">
                  <c:v>0.27381257474167947</c:v>
                </c:pt>
                <c:pt idx="149">
                  <c:v>0.2717352085123535</c:v>
                </c:pt>
                <c:pt idx="150">
                  <c:v>0.26967998079590572</c:v>
                </c:pt>
                <c:pt idx="151">
                  <c:v>0.26764669008339687</c:v>
                </c:pt>
                <c:pt idx="152">
                  <c:v>0.26563513713519671</c:v>
                </c:pt>
                <c:pt idx="153">
                  <c:v>0.26364512496295872</c:v>
                </c:pt>
                <c:pt idx="154">
                  <c:v>0.26167645881186602</c:v>
                </c:pt>
                <c:pt idx="155">
                  <c:v>0.25972894614314784</c:v>
                </c:pt>
                <c:pt idx="156">
                  <c:v>0.25780239661686594</c:v>
                </c:pt>
                <c:pt idx="157">
                  <c:v>0.25589662207497094</c:v>
                </c:pt>
                <c:pt idx="158">
                  <c:v>0.25401143652462821</c:v>
                </c:pt>
                <c:pt idx="159">
                  <c:v>0.25214665612181242</c:v>
                </c:pt>
                <c:pt idx="160">
                  <c:v>0.25030209915517176</c:v>
                </c:pt>
                <c:pt idx="161">
                  <c:v>0.24847758603016043</c:v>
                </c:pt>
                <c:pt idx="162">
                  <c:v>0.24667293925344033</c:v>
                </c:pt>
                <c:pt idx="163">
                  <c:v>0.24488798341755152</c:v>
                </c:pt>
                <c:pt idx="164">
                  <c:v>0.24312254518585164</c:v>
                </c:pt>
                <c:pt idx="165">
                  <c:v>0.24137645327772447</c:v>
                </c:pt>
                <c:pt idx="166">
                  <c:v>0.23964953845405795</c:v>
                </c:pt>
                <c:pt idx="167">
                  <c:v>0.2379416335029918</c:v>
                </c:pt>
                <c:pt idx="168">
                  <c:v>0.2362525732259354</c:v>
                </c:pt>
                <c:pt idx="169">
                  <c:v>0.23458219442385631</c:v>
                </c:pt>
                <c:pt idx="170">
                  <c:v>0.23293033588384002</c:v>
                </c:pt>
                <c:pt idx="171">
                  <c:v>0.23129683836592146</c:v>
                </c:pt>
                <c:pt idx="172">
                  <c:v>0.22968154459018927</c:v>
                </c:pt>
                <c:pt idx="173">
                  <c:v>0.22808429922416343</c:v>
                </c:pt>
                <c:pt idx="174">
                  <c:v>0.22650494887044739</c:v>
                </c:pt>
                <c:pt idx="175">
                  <c:v>0.22494334205465558</c:v>
                </c:pt>
                <c:pt idx="176">
                  <c:v>0.22339932921361746</c:v>
                </c:pt>
                <c:pt idx="177">
                  <c:v>0.2218727626838593</c:v>
                </c:pt>
                <c:pt idx="178">
                  <c:v>0.22036349669036506</c:v>
                </c:pt>
                <c:pt idx="179">
                  <c:v>0.21887138733561784</c:v>
                </c:pt>
                <c:pt idx="180">
                  <c:v>0.21739629258892321</c:v>
                </c:pt>
                <c:pt idx="181">
                  <c:v>0.21593807227601639</c:v>
                </c:pt>
                <c:pt idx="182">
                  <c:v>0.21449658806895464</c:v>
                </c:pt>
                <c:pt idx="183">
                  <c:v>0.21307170347629714</c:v>
                </c:pt>
                <c:pt idx="184">
                  <c:v>0.21166328383357397</c:v>
                </c:pt>
                <c:pt idx="185">
                  <c:v>0.21027119629404656</c:v>
                </c:pt>
                <c:pt idx="186">
                  <c:v>0.20889530981976162</c:v>
                </c:pt>
                <c:pt idx="187">
                  <c:v>0.20753549517290107</c:v>
                </c:pt>
                <c:pt idx="188">
                  <c:v>0.20619162490743045</c:v>
                </c:pt>
                <c:pt idx="189">
                  <c:v>0.20486357336104838</c:v>
                </c:pt>
                <c:pt idx="190">
                  <c:v>0.20355121664743958</c:v>
                </c:pt>
                <c:pt idx="191">
                  <c:v>0.20225443264883503</c:v>
                </c:pt>
                <c:pt idx="192">
                  <c:v>0.20097310100888149</c:v>
                </c:pt>
                <c:pt idx="193">
                  <c:v>0.19970710312582429</c:v>
                </c:pt>
                <c:pt idx="194">
                  <c:v>0.19845632214600617</c:v>
                </c:pt>
                <c:pt idx="195">
                  <c:v>0.19722064295768621</c:v>
                </c:pt>
                <c:pt idx="196">
                  <c:v>0.19599995218518212</c:v>
                </c:pt>
                <c:pt idx="197">
                  <c:v>0.19479413818333996</c:v>
                </c:pt>
                <c:pt idx="198">
                  <c:v>0.19360309103233525</c:v>
                </c:pt>
                <c:pt idx="199">
                  <c:v>0.19242670253280969</c:v>
                </c:pt>
                <c:pt idx="200">
                  <c:v>0.19126486620134794</c:v>
                </c:pt>
                <c:pt idx="201">
                  <c:v>0.19011747726629902</c:v>
                </c:pt>
                <c:pt idx="202">
                  <c:v>0.18898443266394699</c:v>
                </c:pt>
                <c:pt idx="203">
                  <c:v>0.18786563103503615</c:v>
                </c:pt>
                <c:pt idx="204">
                  <c:v>0.18676097272165579</c:v>
                </c:pt>
                <c:pt idx="205">
                  <c:v>0.18567035976448998</c:v>
                </c:pt>
                <c:pt idx="206">
                  <c:v>0.184593695900438</c:v>
                </c:pt>
                <c:pt idx="207">
                  <c:v>0.18353088656061139</c:v>
                </c:pt>
                <c:pt idx="208">
                  <c:v>0.18248183886871364</c:v>
                </c:pt>
                <c:pt idx="209">
                  <c:v>0.1814464616398089</c:v>
                </c:pt>
                <c:pt idx="210">
                  <c:v>0.18042466537948654</c:v>
                </c:pt>
                <c:pt idx="211">
                  <c:v>0.17941636228342808</c:v>
                </c:pt>
                <c:pt idx="212">
                  <c:v>0.17842146623738409</c:v>
                </c:pt>
                <c:pt idx="213">
                  <c:v>0.17743989281756817</c:v>
                </c:pt>
                <c:pt idx="214">
                  <c:v>0.17647155929147584</c:v>
                </c:pt>
                <c:pt idx="215">
                  <c:v>0.17551638461913666</c:v>
                </c:pt>
                <c:pt idx="216">
                  <c:v>0.17457428945480746</c:v>
                </c:pt>
                <c:pt idx="217">
                  <c:v>0.17364519614911589</c:v>
                </c:pt>
                <c:pt idx="218">
                  <c:v>0.17272902875166285</c:v>
                </c:pt>
                <c:pt idx="219">
                  <c:v>0.1718257130140935</c:v>
                </c:pt>
                <c:pt idx="220">
                  <c:v>0.17093517639364642</c:v>
                </c:pt>
                <c:pt idx="221">
                  <c:v>0.17005734805719119</c:v>
                </c:pt>
                <c:pt idx="222">
                  <c:v>0.16919215888576461</c:v>
                </c:pt>
                <c:pt idx="223">
                  <c:v>0.16833954147961663</c:v>
                </c:pt>
                <c:pt idx="224">
                  <c:v>0.16749943016377744</c:v>
                </c:pt>
                <c:pt idx="225">
                  <c:v>0.16667176099415706</c:v>
                </c:pt>
                <c:pt idx="226">
                  <c:v>0.16585647176419008</c:v>
                </c:pt>
                <c:pt idx="227">
                  <c:v>0.16505350201203767</c:v>
                </c:pt>
                <c:pt idx="228">
                  <c:v>0.16426279302836053</c:v>
                </c:pt>
                <c:pt idx="229">
                  <c:v>0.16348428786467595</c:v>
                </c:pt>
                <c:pt idx="230">
                  <c:v>0.16271793134231324</c:v>
                </c:pt>
                <c:pt idx="231">
                  <c:v>0.1619636700619824</c:v>
                </c:pt>
                <c:pt idx="232">
                  <c:v>0.16122145241397079</c:v>
                </c:pt>
                <c:pt idx="233">
                  <c:v>0.1604912285889841</c:v>
                </c:pt>
                <c:pt idx="234">
                  <c:v>0.15977295058964747</c:v>
                </c:pt>
                <c:pt idx="235">
                  <c:v>0.15906657224268431</c:v>
                </c:pt>
                <c:pt idx="236">
                  <c:v>0.15837204921178985</c:v>
                </c:pt>
                <c:pt idx="237">
                  <c:v>0.15768933901121818</c:v>
                </c:pt>
                <c:pt idx="238">
                  <c:v>0.15701840102010156</c:v>
                </c:pt>
                <c:pt idx="239">
                  <c:v>0.15635919649752161</c:v>
                </c:pt>
                <c:pt idx="240">
                  <c:v>0.1557116885983531</c:v>
                </c:pt>
                <c:pt idx="241">
                  <c:v>0.15507584238990121</c:v>
                </c:pt>
                <c:pt idx="242">
                  <c:v>0.15445162486935449</c:v>
                </c:pt>
                <c:pt idx="243">
                  <c:v>0.15383900498207623</c:v>
                </c:pt>
                <c:pt idx="244">
                  <c:v>0.15323795364075812</c:v>
                </c:pt>
                <c:pt idx="245">
                  <c:v>0.15264844374546058</c:v>
                </c:pt>
                <c:pt idx="246">
                  <c:v>0.15207045020456531</c:v>
                </c:pt>
                <c:pt idx="247">
                  <c:v>0.15150394995666686</c:v>
                </c:pt>
                <c:pt idx="248">
                  <c:v>0.1509489219934303</c:v>
                </c:pt>
                <c:pt idx="249">
                  <c:v>0.15040534738344385</c:v>
                </c:pt>
                <c:pt idx="250">
                  <c:v>0.14987320929709602</c:v>
                </c:pt>
                <c:pt idx="251">
                  <c:v>0.14935249303250792</c:v>
                </c:pt>
                <c:pt idx="252">
                  <c:v>0.14884318604255298</c:v>
                </c:pt>
                <c:pt idx="253">
                  <c:v>0.14834527796299699</c:v>
                </c:pt>
                <c:pt idx="254">
                  <c:v>0.14785876064179304</c:v>
                </c:pt>
                <c:pt idx="255">
                  <c:v>0.14738362816956724</c:v>
                </c:pt>
                <c:pt idx="256">
                  <c:v>0.14691987691133196</c:v>
                </c:pt>
                <c:pt idx="257">
                  <c:v>0.146467505539466</c:v>
                </c:pt>
                <c:pt idx="258">
                  <c:v>0.14602651506800085</c:v>
                </c:pt>
                <c:pt idx="259">
                  <c:v>0.14559690888825555</c:v>
                </c:pt>
                <c:pt idx="260">
                  <c:v>0.14517869280586268</c:v>
                </c:pt>
                <c:pt idx="261">
                  <c:v>0.14477187507923117</c:v>
                </c:pt>
                <c:pt idx="262">
                  <c:v>0.14437646645949209</c:v>
                </c:pt>
                <c:pt idx="263">
                  <c:v>0.14399248023197636</c:v>
                </c:pt>
                <c:pt idx="264">
                  <c:v>0.14361993225927466</c:v>
                </c:pt>
                <c:pt idx="265">
                  <c:v>0.14325884102593214</c:v>
                </c:pt>
                <c:pt idx="266">
                  <c:v>0.14290922768483244</c:v>
                </c:pt>
                <c:pt idx="267">
                  <c:v>0.14257111610532772</c:v>
                </c:pt>
                <c:pt idx="268">
                  <c:v>0.14224453292317366</c:v>
                </c:pt>
                <c:pt idx="269">
                  <c:v>0.14192950759233092</c:v>
                </c:pt>
                <c:pt idx="270">
                  <c:v>0.14162607243869654</c:v>
                </c:pt>
                <c:pt idx="271">
                  <c:v>0.14133426271583202</c:v>
                </c:pt>
                <c:pt idx="272">
                  <c:v>0.14105411666275663</c:v>
                </c:pt>
                <c:pt idx="273">
                  <c:v>0.14078567556387825</c:v>
                </c:pt>
                <c:pt idx="274">
                  <c:v>0.14052898381113602</c:v>
                </c:pt>
                <c:pt idx="275">
                  <c:v>0.14028408896843284</c:v>
                </c:pt>
                <c:pt idx="276">
                  <c:v>0.14005104183843842</c:v>
                </c:pt>
                <c:pt idx="277">
                  <c:v>0.13982989653184738</c:v>
                </c:pt>
                <c:pt idx="278">
                  <c:v>0.1396207105391796</c:v>
                </c:pt>
                <c:pt idx="279">
                  <c:v>0.13942354480521471</c:v>
                </c:pt>
                <c:pt idx="280">
                  <c:v>0.13923846380615518</c:v>
                </c:pt>
                <c:pt idx="281">
                  <c:v>0.13906553562961746</c:v>
                </c:pt>
                <c:pt idx="282">
                  <c:v>0.13890483205755391</c:v>
                </c:pt>
                <c:pt idx="283">
                  <c:v>0.13875642865221316</c:v>
                </c:pt>
                <c:pt idx="284">
                  <c:v>0.13862040484525054</c:v>
                </c:pt>
                <c:pt idx="285">
                  <c:v>0.13849684403010545</c:v>
                </c:pt>
                <c:pt idx="286">
                  <c:v>0.13838583365776685</c:v>
                </c:pt>
                <c:pt idx="287">
                  <c:v>0.13828746533605363</c:v>
                </c:pt>
                <c:pt idx="288">
                  <c:v>0.13820183493254176</c:v>
                </c:pt>
                <c:pt idx="289">
                  <c:v>0.13812904268127593</c:v>
                </c:pt>
                <c:pt idx="290">
                  <c:v>0.13806919329340892</c:v>
                </c:pt>
                <c:pt idx="291">
                  <c:v>0.13802239607191852</c:v>
                </c:pt>
                <c:pt idx="292">
                  <c:v>0.13798876503055776</c:v>
                </c:pt>
                <c:pt idx="293">
                  <c:v>0.13796841901720158</c:v>
                </c:pt>
                <c:pt idx="294">
                  <c:v>0.13796148184175916</c:v>
                </c:pt>
                <c:pt idx="295">
                  <c:v>0.1379680824088296</c:v>
                </c:pt>
                <c:pt idx="296">
                  <c:v>0.13798835485528557</c:v>
                </c:pt>
                <c:pt idx="297">
                  <c:v>0.13802243869297798</c:v>
                </c:pt>
                <c:pt idx="298">
                  <c:v>0.13807047895676286</c:v>
                </c:pt>
                <c:pt idx="299">
                  <c:v>0.13813262635806109</c:v>
                </c:pt>
                <c:pt idx="300">
                  <c:v>0.1382090374441704</c:v>
                </c:pt>
                <c:pt idx="301">
                  <c:v>0.13829987476355893</c:v>
                </c:pt>
                <c:pt idx="302">
                  <c:v>0.13840530703737985</c:v>
                </c:pt>
                <c:pt idx="303">
                  <c:v>0.13852550933745761</c:v>
                </c:pt>
                <c:pt idx="304">
                  <c:v>0.13866066327100679</c:v>
                </c:pt>
                <c:pt idx="305">
                  <c:v>0.13881095717235728</c:v>
                </c:pt>
                <c:pt idx="306">
                  <c:v>0.13897658630197091</c:v>
                </c:pt>
                <c:pt idx="307">
                  <c:v>0.13915775305304845</c:v>
                </c:pt>
                <c:pt idx="308">
                  <c:v>0.13935466716603895</c:v>
                </c:pt>
                <c:pt idx="309">
                  <c:v>0.13956754595137766</c:v>
                </c:pt>
                <c:pt idx="310">
                  <c:v>0.13979661452079414</c:v>
                </c:pt>
                <c:pt idx="311">
                  <c:v>0.14004210602754735</c:v>
                </c:pt>
                <c:pt idx="312">
                  <c:v>0.1403042619159616</c:v>
                </c:pt>
                <c:pt idx="313">
                  <c:v>0.14058333218065383</c:v>
                </c:pt>
                <c:pt idx="314">
                  <c:v>0.14087957563586168</c:v>
                </c:pt>
                <c:pt idx="315">
                  <c:v>0.14119326019530029</c:v>
                </c:pt>
                <c:pt idx="316">
                  <c:v>0.14152466316299625</c:v>
                </c:pt>
                <c:pt idx="317">
                  <c:v>0.14187407153556797</c:v>
                </c:pt>
                <c:pt idx="318">
                  <c:v>0.14224178231644422</c:v>
                </c:pt>
                <c:pt idx="319">
                  <c:v>0.14262810284253552</c:v>
                </c:pt>
                <c:pt idx="320">
                  <c:v>0.14303335112389798</c:v>
                </c:pt>
                <c:pt idx="321">
                  <c:v>0.1434578561969545</c:v>
                </c:pt>
                <c:pt idx="322">
                  <c:v>0.14390195849186641</c:v>
                </c:pt>
                <c:pt idx="323">
                  <c:v>0.14436601021467532</c:v>
                </c:pt>
                <c:pt idx="324">
                  <c:v>0.14485037574486728</c:v>
                </c:pt>
                <c:pt idx="325">
                  <c:v>0.14535543204904089</c:v>
                </c:pt>
                <c:pt idx="326">
                  <c:v>0.14588156911139544</c:v>
                </c:pt>
                <c:pt idx="327">
                  <c:v>0.14642919038179025</c:v>
                </c:pt>
                <c:pt idx="328">
                  <c:v>0.14699871324216246</c:v>
                </c:pt>
                <c:pt idx="329">
                  <c:v>0.14759056949213009</c:v>
                </c:pt>
                <c:pt idx="330">
                  <c:v>0.14820520585464775</c:v>
                </c:pt>
                <c:pt idx="331">
                  <c:v>0.14884308450262584</c:v>
                </c:pt>
                <c:pt idx="332">
                  <c:v>0.1495046836074691</c:v>
                </c:pt>
                <c:pt idx="333">
                  <c:v>0.15019049791053857</c:v>
                </c:pt>
                <c:pt idx="334">
                  <c:v>0.1509010393185915</c:v>
                </c:pt>
                <c:pt idx="335">
                  <c:v>0.15163683752430679</c:v>
                </c:pt>
                <c:pt idx="336">
                  <c:v>0.1523984406530601</c:v>
                </c:pt>
                <c:pt idx="337">
                  <c:v>0.15318641593717153</c:v>
                </c:pt>
                <c:pt idx="338">
                  <c:v>0.15400135041891153</c:v>
                </c:pt>
                <c:pt idx="339">
                  <c:v>0.15484385168361683</c:v>
                </c:pt>
                <c:pt idx="340">
                  <c:v>0.15571454862433751</c:v>
                </c:pt>
                <c:pt idx="341">
                  <c:v>0.15661409223950978</c:v>
                </c:pt>
                <c:pt idx="342">
                  <c:v>0.15754315646522704</c:v>
                </c:pt>
                <c:pt idx="343">
                  <c:v>0.15850243904376318</c:v>
                </c:pt>
                <c:pt idx="344">
                  <c:v>0.15949266243008953</c:v>
                </c:pt>
                <c:pt idx="345">
                  <c:v>0.16051457473821704</c:v>
                </c:pt>
                <c:pt idx="346">
                  <c:v>0.16156895072929345</c:v>
                </c:pt>
                <c:pt idx="347">
                  <c:v>0.16265659284348585</c:v>
                </c:pt>
                <c:pt idx="348">
                  <c:v>0.1637783322777884</c:v>
                </c:pt>
                <c:pt idx="349">
                  <c:v>0.16493503011200827</c:v>
                </c:pt>
                <c:pt idx="350">
                  <c:v>0.16612757848530402</c:v>
                </c:pt>
                <c:pt idx="351">
                  <c:v>0.16735690182577831</c:v>
                </c:pt>
                <c:pt idx="352">
                  <c:v>0.16862395813576206</c:v>
                </c:pt>
                <c:pt idx="353">
                  <c:v>0.16992974033557023</c:v>
                </c:pt>
                <c:pt idx="354">
                  <c:v>0.17127527766866069</c:v>
                </c:pt>
                <c:pt idx="355">
                  <c:v>0.17266163717128818</c:v>
                </c:pt>
                <c:pt idx="356">
                  <c:v>0.1740899252099149</c:v>
                </c:pt>
                <c:pt idx="357">
                  <c:v>0.17556128908981908</c:v>
                </c:pt>
                <c:pt idx="358">
                  <c:v>0.17707691873853357</c:v>
                </c:pt>
                <c:pt idx="359">
                  <c:v>0.17863804846794784</c:v>
                </c:pt>
                <c:pt idx="360">
                  <c:v>0.18024595881912106</c:v>
                </c:pt>
                <c:pt idx="361">
                  <c:v>0.18190197849408027</c:v>
                </c:pt>
                <c:pt idx="362">
                  <c:v>0.18360748637911831</c:v>
                </c:pt>
                <c:pt idx="363">
                  <c:v>0.18536391366436067</c:v>
                </c:pt>
                <c:pt idx="364">
                  <c:v>0.18717274606464104</c:v>
                </c:pt>
                <c:pt idx="365">
                  <c:v>0.18903552614701186</c:v>
                </c:pt>
                <c:pt idx="366">
                  <c:v>0.19095385577052082</c:v>
                </c:pt>
                <c:pt idx="367">
                  <c:v>0.19292939864420661</c:v>
                </c:pt>
                <c:pt idx="368">
                  <c:v>0.19496388300961029</c:v>
                </c:pt>
                <c:pt idx="369">
                  <c:v>0.19705910445446329</c:v>
                </c:pt>
                <c:pt idx="370">
                  <c:v>0.1992169288645981</c:v>
                </c:pt>
                <c:pt idx="371">
                  <c:v>0.20143929552153975</c:v>
                </c:pt>
                <c:pt idx="372">
                  <c:v>0.20372822035367144</c:v>
                </c:pt>
                <c:pt idx="373">
                  <c:v>0.20608579934933127</c:v>
                </c:pt>
                <c:pt idx="374">
                  <c:v>0.20851421214069032</c:v>
                </c:pt>
                <c:pt idx="375">
                  <c:v>0.2110157257677848</c:v>
                </c:pt>
                <c:pt idx="376">
                  <c:v>0.21359269863263267</c:v>
                </c:pt>
                <c:pt idx="377">
                  <c:v>0.21624758465395735</c:v>
                </c:pt>
                <c:pt idx="378">
                  <c:v>0.21898293763366986</c:v>
                </c:pt>
                <c:pt idx="379">
                  <c:v>0.22180141584693219</c:v>
                </c:pt>
                <c:pt idx="380">
                  <c:v>0.22470578686833687</c:v>
                </c:pt>
                <c:pt idx="381">
                  <c:v>0.22769893264749663</c:v>
                </c:pt>
                <c:pt idx="382">
                  <c:v>0.2307838548481464</c:v>
                </c:pt>
                <c:pt idx="383">
                  <c:v>0.2339636804657195</c:v>
                </c:pt>
                <c:pt idx="384">
                  <c:v>0.23724166773927596</c:v>
                </c:pt>
                <c:pt idx="385">
                  <c:v>0.24062121237463699</c:v>
                </c:pt>
                <c:pt idx="386">
                  <c:v>0.24410585409661822</c:v>
                </c:pt>
                <c:pt idx="387">
                  <c:v>0.24769928354936233</c:v>
                </c:pt>
                <c:pt idx="388">
                  <c:v>0.25140534956495203</c:v>
                </c:pt>
                <c:pt idx="389">
                  <c:v>0.25522806682174165</c:v>
                </c:pt>
                <c:pt idx="390">
                  <c:v>0.25917162391518805</c:v>
                </c:pt>
                <c:pt idx="391">
                  <c:v>0.26324039186538967</c:v>
                </c:pt>
                <c:pt idx="392">
                  <c:v>0.2674389330870699</c:v>
                </c:pt>
                <c:pt idx="393">
                  <c:v>0.27177201084936564</c:v>
                </c:pt>
                <c:pt idx="394">
                  <c:v>0.27624459925451877</c:v>
                </c:pt>
                <c:pt idx="395">
                  <c:v>0.28086189376641824</c:v>
                </c:pt>
                <c:pt idx="396">
                  <c:v>0.28562932232191829</c:v>
                </c:pt>
                <c:pt idx="397">
                  <c:v>0.29055255705996513</c:v>
                </c:pt>
                <c:pt idx="398">
                  <c:v>0.29563752670581656</c:v>
                </c:pt>
                <c:pt idx="399">
                  <c:v>0.30089042965004204</c:v>
                </c:pt>
                <c:pt idx="400">
                  <c:v>0.30631774776455561</c:v>
                </c:pt>
                <c:pt idx="401">
                  <c:v>0.31192626100067528</c:v>
                </c:pt>
                <c:pt idx="402">
                  <c:v>0.31772306281712753</c:v>
                </c:pt>
                <c:pt idx="403">
                  <c:v>0.32371557648904098</c:v>
                </c:pt>
                <c:pt idx="404">
                  <c:v>0.32991157235231283</c:v>
                </c:pt>
                <c:pt idx="405">
                  <c:v>0.33631918604129629</c:v>
                </c:pt>
                <c:pt idx="406">
                  <c:v>0.34294693778156871</c:v>
                </c:pt>
                <c:pt idx="407">
                  <c:v>0.34980375280361109</c:v>
                </c:pt>
                <c:pt idx="408">
                  <c:v>0.35689898294757849</c:v>
                </c:pt>
                <c:pt idx="409">
                  <c:v>0.36424242953399066</c:v>
                </c:pt>
                <c:pt idx="410">
                  <c:v>0.371844367580138</c:v>
                </c:pt>
                <c:pt idx="411">
                  <c:v>0.37971557144730617</c:v>
                </c:pt>
                <c:pt idx="412">
                  <c:v>0.38786734200959588</c:v>
                </c:pt>
                <c:pt idx="413">
                  <c:v>0.39631153544117426</c:v>
                </c:pt>
                <c:pt idx="414">
                  <c:v>0.40506059372527348</c:v>
                </c:pt>
                <c:pt idx="415">
                  <c:v>0.4141275769951725</c:v>
                </c:pt>
                <c:pt idx="416">
                  <c:v>0.423526197824794</c:v>
                </c:pt>
                <c:pt idx="417">
                  <c:v>0.43327085759445111</c:v>
                </c:pt>
                <c:pt idx="418">
                  <c:v>0.44337668506571792</c:v>
                </c:pt>
                <c:pt idx="419">
                  <c:v>0.45385957730841714</c:v>
                </c:pt>
                <c:pt idx="420">
                  <c:v>0.46473624313234618</c:v>
                </c:pt>
                <c:pt idx="421">
                  <c:v>0.47602424918664848</c:v>
                </c:pt>
                <c:pt idx="422">
                  <c:v>0.48774206890071309</c:v>
                </c:pt>
                <c:pt idx="423">
                  <c:v>0.49990913445220425</c:v>
                </c:pt>
                <c:pt idx="424">
                  <c:v>0.51254589196032707</c:v>
                </c:pt>
                <c:pt idx="425">
                  <c:v>0.52567386011577011</c:v>
                </c:pt>
                <c:pt idx="426">
                  <c:v>0.53931569247298949</c:v>
                </c:pt>
                <c:pt idx="427">
                  <c:v>0.55349524364565761</c:v>
                </c:pt>
                <c:pt idx="428">
                  <c:v>0.56823763966224961</c:v>
                </c:pt>
                <c:pt idx="429">
                  <c:v>0.5835693527559398</c:v>
                </c:pt>
                <c:pt idx="430">
                  <c:v>0.59951828088128112</c:v>
                </c:pt>
                <c:pt idx="431">
                  <c:v>0.61611383226961136</c:v>
                </c:pt>
                <c:pt idx="432">
                  <c:v>0.63338701535581665</c:v>
                </c:pt>
                <c:pt idx="433">
                  <c:v>0.65137053443105752</c:v>
                </c:pt>
                <c:pt idx="434">
                  <c:v>0.67009889139937673</c:v>
                </c:pt>
                <c:pt idx="435">
                  <c:v>0.68960849404082103</c:v>
                </c:pt>
                <c:pt idx="436">
                  <c:v>0.70993777120987989</c:v>
                </c:pt>
                <c:pt idx="437">
                  <c:v>0.73112729542571642</c:v>
                </c:pt>
                <c:pt idx="438">
                  <c:v>0.75321991333989713</c:v>
                </c:pt>
                <c:pt idx="439">
                  <c:v>0.77626088459815057</c:v>
                </c:pt>
                <c:pt idx="440">
                  <c:v>0.80029802964513197</c:v>
                </c:pt>
                <c:pt idx="441">
                  <c:v>0.82538188705527005</c:v>
                </c:pt>
                <c:pt idx="442">
                  <c:v>0.85156588100852049</c:v>
                </c:pt>
                <c:pt idx="443">
                  <c:v>0.87890649956724098</c:v>
                </c:pt>
                <c:pt idx="444">
                  <c:v>0.90746348444941149</c:v>
                </c:pt>
                <c:pt idx="445">
                  <c:v>0.93730003303397402</c:v>
                </c:pt>
                <c:pt idx="446">
                  <c:v>0.96848301337609255</c:v>
                </c:pt>
                <c:pt idx="447">
                  <c:v>1.0010831930534894</c:v>
                </c:pt>
                <c:pt idx="448">
                  <c:v>1.0351754827095396</c:v>
                </c:pt>
                <c:pt idx="449">
                  <c:v>1.0708391952042706</c:v>
                </c:pt>
                <c:pt idx="450">
                  <c:v>1.1081583213305306</c:v>
                </c:pt>
                <c:pt idx="451">
                  <c:v>1.1472218230989997</c:v>
                </c:pt>
                <c:pt idx="452">
                  <c:v>1.1881239456419583</c:v>
                </c:pt>
                <c:pt idx="453">
                  <c:v>1.2309645488312664</c:v>
                </c:pt>
                <c:pt idx="454">
                  <c:v>1.2758494597501493</c:v>
                </c:pt>
                <c:pt idx="455">
                  <c:v>1.322890847200336</c:v>
                </c:pt>
                <c:pt idx="456">
                  <c:v>1.3722076194648767</c:v>
                </c:pt>
                <c:pt idx="457">
                  <c:v>1.4239258465814142</c:v>
                </c:pt>
                <c:pt idx="458">
                  <c:v>1.4781792084094381</c:v>
                </c:pt>
                <c:pt idx="459">
                  <c:v>1.5351094697964711</c:v>
                </c:pt>
                <c:pt idx="460">
                  <c:v>1.5948669841603489</c:v>
                </c:pt>
                <c:pt idx="461">
                  <c:v>1.657611226805497</c:v>
                </c:pt>
                <c:pt idx="462">
                  <c:v>1.7235113592778291</c:v>
                </c:pt>
                <c:pt idx="463">
                  <c:v>1.792746826032539</c:v>
                </c:pt>
                <c:pt idx="464">
                  <c:v>1.8655079846381835</c:v>
                </c:pt>
                <c:pt idx="465">
                  <c:v>1.9419967706650247</c:v>
                </c:pt>
                <c:pt idx="466">
                  <c:v>2.0224273983010099</c:v>
                </c:pt>
                <c:pt idx="467">
                  <c:v>2.1070270975997496</c:v>
                </c:pt>
                <c:pt idx="468">
                  <c:v>2.1960368890853745</c:v>
                </c:pt>
                <c:pt idx="469">
                  <c:v>2.2897123962124137</c:v>
                </c:pt>
                <c:pt idx="470">
                  <c:v>2.3883246958970479</c:v>
                </c:pt>
                <c:pt idx="471">
                  <c:v>2.4921612069906187</c:v>
                </c:pt>
                <c:pt idx="472">
                  <c:v>2.6015266161472894</c:v>
                </c:pt>
                <c:pt idx="473">
                  <c:v>2.7167438400343804</c:v>
                </c:pt>
                <c:pt idx="474">
                  <c:v>2.8381550222340546</c:v>
                </c:pt>
                <c:pt idx="475">
                  <c:v>2.9661225624753214</c:v>
                </c:pt>
                <c:pt idx="476">
                  <c:v>3.1010301750011804</c:v>
                </c:pt>
                <c:pt idx="477">
                  <c:v>3.2432839719011888</c:v>
                </c:pt>
                <c:pt idx="478">
                  <c:v>3.3933135661076852</c:v>
                </c:pt>
                <c:pt idx="479">
                  <c:v>3.5515731874460235</c:v>
                </c:pt>
                <c:pt idx="480">
                  <c:v>3.718542803626232</c:v>
                </c:pt>
                <c:pt idx="481">
                  <c:v>3.8947292363454395</c:v>
                </c:pt>
                <c:pt idx="482">
                  <c:v>4.0806672607169139</c:v>
                </c:pt>
                <c:pt idx="483">
                  <c:v>4.2769206740323504</c:v>
                </c:pt>
                <c:pt idx="484">
                  <c:v>4.484083317379759</c:v>
                </c:pt>
                <c:pt idx="485">
                  <c:v>4.7027800308621241</c:v>
                </c:pt>
                <c:pt idx="486">
                  <c:v>4.9336675200770976</c:v>
                </c:pt>
                <c:pt idx="487">
                  <c:v>5.1774351081144419</c:v>
                </c:pt>
                <c:pt idx="488">
                  <c:v>5.4348053436010231</c:v>
                </c:pt>
                <c:pt idx="489">
                  <c:v>5.7065344312758164</c:v>
                </c:pt>
                <c:pt idx="490">
                  <c:v>5.9934124472232737</c:v>
                </c:pt>
                <c:pt idx="491">
                  <c:v>6.2962632962592844</c:v>
                </c:pt>
                <c:pt idx="492">
                  <c:v>6.6159443640935001</c:v>
                </c:pt>
                <c:pt idx="493">
                  <c:v>6.9533458118489939</c:v>
                </c:pt>
                <c:pt idx="494">
                  <c:v>7.3093894553940162</c:v>
                </c:pt>
                <c:pt idx="495">
                  <c:v>7.6850271668491059</c:v>
                </c:pt>
                <c:pt idx="496">
                  <c:v>8.0812387307284865</c:v>
                </c:pt>
                <c:pt idx="497">
                  <c:v>8.4990290826488284</c:v>
                </c:pt>
                <c:pt idx="498">
                  <c:v>8.9394248546265533</c:v>
                </c:pt>
                <c:pt idx="499">
                  <c:v>9.4034701479697933</c:v>
                </c:pt>
                <c:pt idx="500">
                  <c:v>9.8922214529872416</c:v>
                </c:pt>
                <c:pt idx="501">
                  <c:v>10.406741634569872</c:v>
                </c:pt>
                <c:pt idx="502">
                  <c:v>10.94809290459103</c:v>
                </c:pt>
                <c:pt idx="503">
                  <c:v>11.51732870650102</c:v>
                </c:pt>
                <c:pt idx="504">
                  <c:v>12.115484444988331</c:v>
                </c:pt>
                <c:pt idx="505">
                  <c:v>12.743567004690512</c:v>
                </c:pt>
                <c:pt idx="506">
                  <c:v>13.402543017217873</c:v>
                </c:pt>
                <c:pt idx="507">
                  <c:v>14.093325855734887</c:v>
                </c:pt>
                <c:pt idx="508">
                  <c:v>14.816761361501422</c:v>
                </c:pt>
                <c:pt idx="509">
                  <c:v>15.573612337480897</c:v>
                </c:pt>
                <c:pt idx="510">
                  <c:v>16.364541880592178</c:v>
                </c:pt>
                <c:pt idx="511">
                  <c:v>17.190095666419424</c:v>
                </c:pt>
                <c:pt idx="512">
                  <c:v>18.050683347921876</c:v>
                </c:pt>
                <c:pt idx="513">
                  <c:v>18.94655928228017</c:v>
                </c:pt>
                <c:pt idx="514">
                  <c:v>19.877802856442695</c:v>
                </c:pt>
                <c:pt idx="515">
                  <c:v>20.844298740695702</c:v>
                </c:pt>
                <c:pt idx="516">
                  <c:v>21.845717458673359</c:v>
                </c:pt>
                <c:pt idx="517">
                  <c:v>22.881496719136543</c:v>
                </c:pt>
                <c:pt idx="518">
                  <c:v>23.950824006583325</c:v>
                </c:pt>
                <c:pt idx="519">
                  <c:v>25.052620970898221</c:v>
                </c:pt>
                <c:pt idx="520">
                  <c:v>26.185530187099037</c:v>
                </c:pt>
                <c:pt idx="521">
                  <c:v>27.347904870990167</c:v>
                </c:pt>
                <c:pt idx="522">
                  <c:v>28.537802131498562</c:v>
                </c:pt>
                <c:pt idx="523">
                  <c:v>29.752980312389884</c:v>
                </c:pt>
                <c:pt idx="524">
                  <c:v>30.99090092241126</c:v>
                </c:pt>
                <c:pt idx="525">
                  <c:v>32.248735572228306</c:v>
                </c:pt>
                <c:pt idx="526">
                  <c:v>33.523378228745969</c:v>
                </c:pt>
                <c:pt idx="527">
                  <c:v>34.811462964097011</c:v>
                </c:pt>
                <c:pt idx="528">
                  <c:v>36.10938722112801</c:v>
                </c:pt>
                <c:pt idx="529">
                  <c:v>37.413340444835825</c:v>
                </c:pt>
                <c:pt idx="530">
                  <c:v>38.719337746855516</c:v>
                </c:pt>
                <c:pt idx="531">
                  <c:v>40.023258086155259</c:v>
                </c:pt>
                <c:pt idx="532">
                  <c:v>41.320886272905234</c:v>
                </c:pt>
                <c:pt idx="533">
                  <c:v>42.607957943772327</c:v>
                </c:pt>
                <c:pt idx="534">
                  <c:v>43.880206525026736</c:v>
                </c:pt>
                <c:pt idx="535">
                  <c:v>45.133411103125027</c:v>
                </c:pt>
                <c:pt idx="536">
                  <c:v>46.363444067366459</c:v>
                </c:pt>
                <c:pt idx="537">
                  <c:v>47.566317379941445</c:v>
                </c:pt>
                <c:pt idx="538">
                  <c:v>48.738226366560625</c:v>
                </c:pt>
                <c:pt idx="539">
                  <c:v>49.875590004277477</c:v>
                </c:pt>
                <c:pt idx="540">
                  <c:v>50.975086807644729</c:v>
                </c:pt>
                <c:pt idx="541">
                  <c:v>52.033685573002245</c:v>
                </c:pt>
                <c:pt idx="542">
                  <c:v>53.048670424553734</c:v>
                </c:pt>
                <c:pt idx="543">
                  <c:v>54.017659804780081</c:v>
                </c:pt>
                <c:pt idx="544">
                  <c:v>54.938619255046433</c:v>
                </c:pt>
                <c:pt idx="545">
                  <c:v>55.809868029724974</c:v>
                </c:pt>
                <c:pt idx="546">
                  <c:v>56.630079769573918</c:v>
                </c:pt>
                <c:pt idx="547">
                  <c:v>57.398277619911241</c:v>
                </c:pt>
                <c:pt idx="548">
                  <c:v>58.113824310728276</c:v>
                </c:pt>
                <c:pt idx="549">
                  <c:v>58.776407815916656</c:v>
                </c:pt>
                <c:pt idx="550">
                  <c:v>59.386023276003407</c:v>
                </c:pt>
                <c:pt idx="551">
                  <c:v>59.942951903948469</c:v>
                </c:pt>
                <c:pt idx="552">
                  <c:v>60.447737599057163</c:v>
                </c:pt>
                <c:pt idx="553">
                  <c:v>60.901161973558992</c:v>
                </c:pt>
                <c:pt idx="554">
                  <c:v>61.304218454399241</c:v>
                </c:pt>
                <c:pt idx="555">
                  <c:v>61.658086064195473</c:v>
                </c:pt>
                <c:pt idx="556">
                  <c:v>61.964103415086306</c:v>
                </c:pt>
                <c:pt idx="557">
                  <c:v>62.223743372045497</c:v>
                </c:pt>
                <c:pt idx="558">
                  <c:v>62.438588762362279</c:v>
                </c:pt>
                <c:pt idx="559">
                  <c:v>62.610309428975413</c:v>
                </c:pt>
                <c:pt idx="560">
                  <c:v>62.740640850059052</c:v>
                </c:pt>
                <c:pt idx="561">
                  <c:v>62.831364477834342</c:v>
                </c:pt>
                <c:pt idx="562">
                  <c:v>62.884289887478381</c:v>
                </c:pt>
                <c:pt idx="563">
                  <c:v>62.901238773060491</c:v>
                </c:pt>
                <c:pt idx="564">
                  <c:v>62.884030781973081</c:v>
                </c:pt>
                <c:pt idx="565">
                  <c:v>62.834471142235373</c:v>
                </c:pt>
                <c:pt idx="566">
                  <c:v>62.75434000790937</c:v>
                </c:pt>
                <c:pt idx="567">
                  <c:v>62.645383426028019</c:v>
                </c:pt>
                <c:pt idx="568">
                  <c:v>62.509305813104739</c:v>
                </c:pt>
                <c:pt idx="569">
                  <c:v>62.3477638196077</c:v>
                </c:pt>
                <c:pt idx="570">
                  <c:v>62.162361455862552</c:v>
                </c:pt>
                <c:pt idx="571">
                  <c:v>61.954646351840793</c:v>
                </c:pt>
                <c:pt idx="572">
                  <c:v>61.726107025401603</c:v>
                </c:pt>
                <c:pt idx="573">
                  <c:v>61.478171038061774</c:v>
                </c:pt>
                <c:pt idx="574">
                  <c:v>61.212203923636167</c:v>
                </c:pt>
                <c:pt idx="575">
                  <c:v>60.929508782575475</c:v>
                </c:pt>
                <c:pt idx="576">
                  <c:v>60.631326443070925</c:v>
                </c:pt>
                <c:pt idx="577">
                  <c:v>60.318836098624111</c:v>
                </c:pt>
                <c:pt idx="578">
                  <c:v>59.993156340495936</c:v>
                </c:pt>
                <c:pt idx="579">
                  <c:v>59.655346512021332</c:v>
                </c:pt>
                <c:pt idx="580">
                  <c:v>59.306408320034272</c:v>
                </c:pt>
                <c:pt idx="581">
                  <c:v>58.947287646467565</c:v>
                </c:pt>
                <c:pt idx="582">
                  <c:v>58.578876510492485</c:v>
                </c:pt>
                <c:pt idx="583">
                  <c:v>58.202015138296652</c:v>
                </c:pt>
                <c:pt idx="584">
                  <c:v>57.817494103741467</c:v>
                </c:pt>
                <c:pt idx="585">
                  <c:v>57.426056508692767</c:v>
                </c:pt>
                <c:pt idx="586">
                  <c:v>57.028400176792012</c:v>
                </c:pt>
                <c:pt idx="587">
                  <c:v>56.625179838856617</c:v>
                </c:pt>
                <c:pt idx="588">
                  <c:v>56.217009291997556</c:v>
                </c:pt>
                <c:pt idx="589">
                  <c:v>55.804463517957991</c:v>
                </c:pt>
                <c:pt idx="590">
                  <c:v>55.388080749147342</c:v>
                </c:pt>
                <c:pt idx="591">
                  <c:v>54.968364473411143</c:v>
                </c:pt>
                <c:pt idx="592">
                  <c:v>54.545785370778219</c:v>
                </c:pt>
                <c:pt idx="593">
                  <c:v>54.120783177301355</c:v>
                </c:pt>
                <c:pt idx="594">
                  <c:v>53.693768472692511</c:v>
                </c:pt>
                <c:pt idx="595">
                  <c:v>53.2651243897824</c:v>
                </c:pt>
                <c:pt idx="596">
                  <c:v>52.835208244938968</c:v>
                </c:pt>
                <c:pt idx="597">
                  <c:v>52.404353089488261</c:v>
                </c:pt>
                <c:pt idx="598">
                  <c:v>51.972869182920448</c:v>
                </c:pt>
                <c:pt idx="599">
                  <c:v>51.541045389257164</c:v>
                </c:pt>
                <c:pt idx="600">
                  <c:v>51.109150498424228</c:v>
                </c:pt>
                <c:pt idx="601">
                  <c:v>50.677434474834911</c:v>
                </c:pt>
                <c:pt idx="602">
                  <c:v>50.246129635659642</c:v>
                </c:pt>
                <c:pt idx="603">
                  <c:v>49.815451761452557</c:v>
                </c:pt>
                <c:pt idx="604">
                  <c:v>49.385601141936036</c:v>
                </c:pt>
                <c:pt idx="605">
                  <c:v>48.956763559822178</c:v>
                </c:pt>
                <c:pt idx="606">
                  <c:v>48.52911121558472</c:v>
                </c:pt>
                <c:pt idx="607">
                  <c:v>48.102803596093437</c:v>
                </c:pt>
                <c:pt idx="608">
                  <c:v>47.677988289993564</c:v>
                </c:pt>
                <c:pt idx="609">
                  <c:v>47.254801752660079</c:v>
                </c:pt>
                <c:pt idx="610">
                  <c:v>46.833370023486445</c:v>
                </c:pt>
                <c:pt idx="611">
                  <c:v>46.413809398183538</c:v>
                </c:pt>
                <c:pt idx="612">
                  <c:v>45.996227058670577</c:v>
                </c:pt>
                <c:pt idx="613">
                  <c:v>45.580721663038837</c:v>
                </c:pt>
                <c:pt idx="614">
                  <c:v>45.167383897963219</c:v>
                </c:pt>
                <c:pt idx="615">
                  <c:v>44.756296995828379</c:v>
                </c:pt>
                <c:pt idx="616">
                  <c:v>44.347537218726806</c:v>
                </c:pt>
                <c:pt idx="617">
                  <c:v>43.941174311377033</c:v>
                </c:pt>
                <c:pt idx="618">
                  <c:v>43.537271924902562</c:v>
                </c:pt>
                <c:pt idx="619">
                  <c:v>43.135888013306435</c:v>
                </c:pt>
                <c:pt idx="620">
                  <c:v>42.737075204373731</c:v>
                </c:pt>
                <c:pt idx="621">
                  <c:v>42.340881146634864</c:v>
                </c:pt>
                <c:pt idx="622">
                  <c:v>41.94734883392681</c:v>
                </c:pt>
                <c:pt idx="623">
                  <c:v>41.556516908997622</c:v>
                </c:pt>
                <c:pt idx="624">
                  <c:v>41.168419947511758</c:v>
                </c:pt>
                <c:pt idx="625">
                  <c:v>40.783088723730238</c:v>
                </c:pt>
                <c:pt idx="626">
                  <c:v>40.400550459060092</c:v>
                </c:pt>
                <c:pt idx="627">
                  <c:v>40.020829054592383</c:v>
                </c:pt>
                <c:pt idx="628">
                  <c:v>39.64394530867667</c:v>
                </c:pt>
                <c:pt idx="629">
                  <c:v>39.269917120512709</c:v>
                </c:pt>
                <c:pt idx="630">
                  <c:v>38.898759680676584</c:v>
                </c:pt>
                <c:pt idx="631">
                  <c:v>38.53048564943893</c:v>
                </c:pt>
                <c:pt idx="632">
                  <c:v>38.165105323676698</c:v>
                </c:pt>
                <c:pt idx="633">
                  <c:v>37.802626793127274</c:v>
                </c:pt>
                <c:pt idx="634">
                  <c:v>37.44305608668428</c:v>
                </c:pt>
                <c:pt idx="635">
                  <c:v>37.086397309388154</c:v>
                </c:pt>
                <c:pt idx="636">
                  <c:v>36.732652770721188</c:v>
                </c:pt>
                <c:pt idx="637">
                  <c:v>36.381823104776032</c:v>
                </c:pt>
                <c:pt idx="638">
                  <c:v>36.033907382828914</c:v>
                </c:pt>
                <c:pt idx="639">
                  <c:v>35.688903218813138</c:v>
                </c:pt>
                <c:pt idx="640">
                  <c:v>35.346806868155461</c:v>
                </c:pt>
                <c:pt idx="641">
                  <c:v>35.007613320406833</c:v>
                </c:pt>
                <c:pt idx="642">
                  <c:v>34.671316386070302</c:v>
                </c:pt>
                <c:pt idx="643">
                  <c:v>34.337908778001776</c:v>
                </c:pt>
                <c:pt idx="644">
                  <c:v>34.007382187734251</c:v>
                </c:pt>
                <c:pt idx="645">
                  <c:v>33.679727357052691</c:v>
                </c:pt>
                <c:pt idx="646">
                  <c:v>33.354934145124858</c:v>
                </c:pt>
                <c:pt idx="647">
                  <c:v>33.032991591473056</c:v>
                </c:pt>
                <c:pt idx="648">
                  <c:v>32.713887975052678</c:v>
                </c:pt>
                <c:pt idx="649">
                  <c:v>32.397610869685785</c:v>
                </c:pt>
                <c:pt idx="650">
                  <c:v>32.084147196081538</c:v>
                </c:pt>
                <c:pt idx="651">
                  <c:v>31.773483270659721</c:v>
                </c:pt>
                <c:pt idx="652">
                  <c:v>31.465604851379506</c:v>
                </c:pt>
                <c:pt idx="653">
                  <c:v>31.160497180762054</c:v>
                </c:pt>
                <c:pt idx="654">
                  <c:v>30.858145026283228</c:v>
                </c:pt>
                <c:pt idx="655">
                  <c:v>30.558532718301105</c:v>
                </c:pt>
                <c:pt idx="656">
                  <c:v>30.261644185672047</c:v>
                </c:pt>
                <c:pt idx="657">
                  <c:v>29.967462989199188</c:v>
                </c:pt>
                <c:pt idx="658">
                  <c:v>29.675972353047658</c:v>
                </c:pt>
                <c:pt idx="659">
                  <c:v>29.387155194252259</c:v>
                </c:pt>
                <c:pt idx="660">
                  <c:v>29.100994150434989</c:v>
                </c:pt>
                <c:pt idx="661">
                  <c:v>28.817471605842361</c:v>
                </c:pt>
                <c:pt idx="662">
                  <c:v>28.536569715805292</c:v>
                </c:pt>
                <c:pt idx="663">
                  <c:v>28.258270429717705</c:v>
                </c:pt>
                <c:pt idx="664">
                  <c:v>27.982555512623883</c:v>
                </c:pt>
                <c:pt idx="665">
                  <c:v>27.709406565498838</c:v>
                </c:pt>
                <c:pt idx="666">
                  <c:v>27.438805044300551</c:v>
                </c:pt>
                <c:pt idx="667">
                  <c:v>27.170732277867955</c:v>
                </c:pt>
                <c:pt idx="668">
                  <c:v>26.905169484733914</c:v>
                </c:pt>
                <c:pt idx="669">
                  <c:v>26.642097788917962</c:v>
                </c:pt>
                <c:pt idx="670">
                  <c:v>26.381498234759611</c:v>
                </c:pt>
                <c:pt idx="671">
                  <c:v>26.123351800849154</c:v>
                </c:pt>
                <c:pt idx="672">
                  <c:v>25.86763941310938</c:v>
                </c:pt>
                <c:pt idx="673">
                  <c:v>25.614341957078256</c:v>
                </c:pt>
                <c:pt idx="674">
                  <c:v>25.363440289439573</c:v>
                </c:pt>
                <c:pt idx="675">
                  <c:v>25.114915248845598</c:v>
                </c:pt>
                <c:pt idx="676">
                  <c:v>24.868747666073123</c:v>
                </c:pt>
                <c:pt idx="677">
                  <c:v>24.624918373551711</c:v>
                </c:pt>
                <c:pt idx="678">
                  <c:v>24.383408214300616</c:v>
                </c:pt>
                <c:pt idx="679">
                  <c:v>24.144198050308578</c:v>
                </c:pt>
                <c:pt idx="680">
                  <c:v>23.907268770388683</c:v>
                </c:pt>
                <c:pt idx="681">
                  <c:v>23.672601297538492</c:v>
                </c:pt>
                <c:pt idx="682">
                  <c:v>23.44017659583384</c:v>
                </c:pt>
                <c:pt idx="683">
                  <c:v>23.209975676882998</c:v>
                </c:pt>
                <c:pt idx="684">
                  <c:v>22.981979605866293</c:v>
                </c:pt>
                <c:pt idx="685">
                  <c:v>22.756169507184811</c:v>
                </c:pt>
                <c:pt idx="686">
                  <c:v>22.532526569740373</c:v>
                </c:pt>
                <c:pt idx="687">
                  <c:v>22.311032051867681</c:v>
                </c:pt>
                <c:pt idx="688">
                  <c:v>22.091667285938321</c:v>
                </c:pt>
                <c:pt idx="689">
                  <c:v>21.87441368265511</c:v>
                </c:pt>
                <c:pt idx="690">
                  <c:v>21.659252735054228</c:v>
                </c:pt>
                <c:pt idx="691">
                  <c:v>21.446166022231569</c:v>
                </c:pt>
                <c:pt idx="692">
                  <c:v>21.235135212808757</c:v>
                </c:pt>
                <c:pt idx="693">
                  <c:v>21.026142068153394</c:v>
                </c:pt>
                <c:pt idx="694">
                  <c:v>20.819168445367307</c:v>
                </c:pt>
                <c:pt idx="695">
                  <c:v>20.61419630005571</c:v>
                </c:pt>
                <c:pt idx="696">
                  <c:v>20.411207688889505</c:v>
                </c:pt>
                <c:pt idx="697">
                  <c:v>20.210184771972209</c:v>
                </c:pt>
                <c:pt idx="698">
                  <c:v>20.011109815022412</c:v>
                </c:pt>
                <c:pt idx="699">
                  <c:v>19.813965191381968</c:v>
                </c:pt>
                <c:pt idx="700">
                  <c:v>19.618733383859617</c:v>
                </c:pt>
                <c:pt idx="701">
                  <c:v>19.42539698641913</c:v>
                </c:pt>
                <c:pt idx="702">
                  <c:v>19.233938705720647</c:v>
                </c:pt>
                <c:pt idx="703">
                  <c:v>19.044341362523287</c:v>
                </c:pt>
                <c:pt idx="704">
                  <c:v>18.85658789295676</c:v>
                </c:pt>
                <c:pt idx="705">
                  <c:v>18.670661349669199</c:v>
                </c:pt>
                <c:pt idx="706">
                  <c:v>18.486544902858114</c:v>
                </c:pt>
                <c:pt idx="707">
                  <c:v>18.304221841190909</c:v>
                </c:pt>
                <c:pt idx="708">
                  <c:v>18.123675572621121</c:v>
                </c:pt>
                <c:pt idx="709">
                  <c:v>17.944889625106153</c:v>
                </c:pt>
                <c:pt idx="710">
                  <c:v>17.767847647231985</c:v>
                </c:pt>
                <c:pt idx="711">
                  <c:v>17.592533408750047</c:v>
                </c:pt>
                <c:pt idx="712">
                  <c:v>17.418930801031134</c:v>
                </c:pt>
                <c:pt idx="713">
                  <c:v>17.247023837441038</c:v>
                </c:pt>
                <c:pt idx="714">
                  <c:v>17.076796653642237</c:v>
                </c:pt>
                <c:pt idx="715">
                  <c:v>16.90823350782583</c:v>
                </c:pt>
                <c:pt idx="716">
                  <c:v>16.741318780877616</c:v>
                </c:pt>
                <c:pt idx="717">
                  <c:v>16.576036976482062</c:v>
                </c:pt>
                <c:pt idx="718">
                  <c:v>16.412372721167671</c:v>
                </c:pt>
                <c:pt idx="719">
                  <c:v>16.250310764297083</c:v>
                </c:pt>
                <c:pt idx="720">
                  <c:v>16.089835978005087</c:v>
                </c:pt>
                <c:pt idx="721">
                  <c:v>15.9309333570875</c:v>
                </c:pt>
                <c:pt idx="722">
                  <c:v>15.773588018843789</c:v>
                </c:pt>
                <c:pt idx="723">
                  <c:v>15.617785202876096</c:v>
                </c:pt>
                <c:pt idx="724">
                  <c:v>15.463510270847227</c:v>
                </c:pt>
                <c:pt idx="725">
                  <c:v>15.310748706200011</c:v>
                </c:pt>
                <c:pt idx="726">
                  <c:v>15.159486113840313</c:v>
                </c:pt>
                <c:pt idx="727">
                  <c:v>15.009708219785884</c:v>
                </c:pt>
                <c:pt idx="728">
                  <c:v>14.861400870783083</c:v>
                </c:pt>
                <c:pt idx="729">
                  <c:v>14.714550033893453</c:v>
                </c:pt>
                <c:pt idx="730">
                  <c:v>14.569141796051953</c:v>
                </c:pt>
                <c:pt idx="731">
                  <c:v>14.425162363598659</c:v>
                </c:pt>
                <c:pt idx="732">
                  <c:v>14.282598061785535</c:v>
                </c:pt>
                <c:pt idx="733">
                  <c:v>14.141435334259908</c:v>
                </c:pt>
                <c:pt idx="734">
                  <c:v>14.0016607425261</c:v>
                </c:pt>
                <c:pt idx="735">
                  <c:v>13.863260965386671</c:v>
                </c:pt>
                <c:pt idx="736">
                  <c:v>13.726222798364589</c:v>
                </c:pt>
                <c:pt idx="737">
                  <c:v>13.590533153107645</c:v>
                </c:pt>
                <c:pt idx="738">
                  <c:v>13.456179056776282</c:v>
                </c:pt>
                <c:pt idx="739">
                  <c:v>13.323147651416026</c:v>
                </c:pt>
                <c:pt idx="740">
                  <c:v>13.191426193315589</c:v>
                </c:pt>
                <c:pt idx="741">
                  <c:v>13.061002052351695</c:v>
                </c:pt>
                <c:pt idx="742">
                  <c:v>12.931862711321603</c:v>
                </c:pt>
                <c:pt idx="743">
                  <c:v>12.80399576526427</c:v>
                </c:pt>
                <c:pt idx="744">
                  <c:v>12.677388920771033</c:v>
                </c:pt>
                <c:pt idx="745">
                  <c:v>12.552029995286658</c:v>
                </c:pt>
                <c:pt idx="746">
                  <c:v>12.427906916401547</c:v>
                </c:pt>
                <c:pt idx="747">
                  <c:v>12.305007721135871</c:v>
                </c:pt>
                <c:pt idx="748">
                  <c:v>12.183320555216342</c:v>
                </c:pt>
                <c:pt idx="749">
                  <c:v>12.062833672346304</c:v>
                </c:pt>
                <c:pt idx="750">
                  <c:v>11.943535433469798</c:v>
                </c:pt>
                <c:pt idx="751">
                  <c:v>11.825414306030208</c:v>
                </c:pt>
                <c:pt idx="752">
                  <c:v>11.708458863224083</c:v>
                </c:pt>
                <c:pt idx="753">
                  <c:v>11.592657783250674</c:v>
                </c:pt>
                <c:pt idx="754">
                  <c:v>11.477999848557726</c:v>
                </c:pt>
                <c:pt idx="755">
                  <c:v>11.364473945084002</c:v>
                </c:pt>
                <c:pt idx="756">
                  <c:v>11.252069061499038</c:v>
                </c:pt>
                <c:pt idx="757">
                  <c:v>11.140774288440555</c:v>
                </c:pt>
                <c:pt idx="758">
                  <c:v>11.030578817749975</c:v>
                </c:pt>
                <c:pt idx="759">
                  <c:v>10.921471941706404</c:v>
                </c:pt>
                <c:pt idx="760">
                  <c:v>10.813443052259521</c:v>
                </c:pt>
                <c:pt idx="761">
                  <c:v>10.706481640261677</c:v>
                </c:pt>
                <c:pt idx="762">
                  <c:v>10.600577294699594</c:v>
                </c:pt>
                <c:pt idx="763">
                  <c:v>10.495719701925958</c:v>
                </c:pt>
                <c:pt idx="764">
                  <c:v>10.391898644891226</c:v>
                </c:pt>
                <c:pt idx="765">
                  <c:v>10.289104002375932</c:v>
                </c:pt>
                <c:pt idx="766">
                  <c:v>10.187325748223781</c:v>
                </c:pt>
                <c:pt idx="767">
                  <c:v>10.086553950575778</c:v>
                </c:pt>
                <c:pt idx="768">
                  <c:v>9.9867787711056408</c:v>
                </c:pt>
                <c:pt idx="769">
                  <c:v>9.8879904642567311</c:v>
                </c:pt>
                <c:pt idx="770">
                  <c:v>9.7901793764807348</c:v>
                </c:pt>
                <c:pt idx="771">
                  <c:v>9.6933359454782853</c:v>
                </c:pt>
                <c:pt idx="772">
                  <c:v>9.5974506994417261</c:v>
                </c:pt>
                <c:pt idx="773">
                  <c:v>9.502514256300211</c:v>
                </c:pt>
                <c:pt idx="774">
                  <c:v>9.4085173229673131</c:v>
                </c:pt>
                <c:pt idx="775">
                  <c:v>9.3154506945912932</c:v>
                </c:pt>
                <c:pt idx="776">
                  <c:v>9.2233052538082045</c:v>
                </c:pt>
                <c:pt idx="777">
                  <c:v>9.132071969997968</c:v>
                </c:pt>
                <c:pt idx="778">
                  <c:v>9.0417418985435507</c:v>
                </c:pt>
                <c:pt idx="779">
                  <c:v>8.9523061800933998</c:v>
                </c:pt>
                <c:pt idx="780">
                  <c:v>8.8637560398272228</c:v>
                </c:pt>
                <c:pt idx="781">
                  <c:v>8.7760827867252491</c:v>
                </c:pt>
                <c:pt idx="782">
                  <c:v>8.6892778128410804</c:v>
                </c:pt>
                <c:pt idx="783">
                  <c:v>8.6033325925782158</c:v>
                </c:pt>
                <c:pt idx="784">
                  <c:v>8.5182386819703542</c:v>
                </c:pt>
                <c:pt idx="785">
                  <c:v>8.433987717965568</c:v>
                </c:pt>
                <c:pt idx="786">
                  <c:v>8.3505714177144181</c:v>
                </c:pt>
                <c:pt idx="787">
                  <c:v>8.2679815778620895</c:v>
                </c:pt>
                <c:pt idx="788">
                  <c:v>8.186210073844622</c:v>
                </c:pt>
                <c:pt idx="789">
                  <c:v>8.1052488591893006</c:v>
                </c:pt>
                <c:pt idx="790">
                  <c:v>8.0250899648192604</c:v>
                </c:pt>
                <c:pt idx="791">
                  <c:v>7.9457254983623722</c:v>
                </c:pt>
                <c:pt idx="792">
                  <c:v>7.8671476434644516</c:v>
                </c:pt>
                <c:pt idx="793">
                  <c:v>7.7893486591068442</c:v>
                </c:pt>
                <c:pt idx="794">
                  <c:v>7.7123208789284252</c:v>
                </c:pt>
                <c:pt idx="795">
                  <c:v>7.6360567105520634</c:v>
                </c:pt>
                <c:pt idx="796">
                  <c:v>7.5605486349155715</c:v>
                </c:pt>
                <c:pt idx="797">
                  <c:v>7.4857892056071913</c:v>
                </c:pt>
                <c:pt idx="798">
                  <c:v>7.4117710482056252</c:v>
                </c:pt>
                <c:pt idx="799">
                  <c:v>7.3384868596246573</c:v>
                </c:pt>
                <c:pt idx="800">
                  <c:v>7.2659294074623757</c:v>
                </c:pt>
                <c:pt idx="801">
                  <c:v>7.1940915293550214</c:v>
                </c:pt>
                <c:pt idx="802">
                  <c:v>7.1229661323354794</c:v>
                </c:pt>
                <c:pt idx="803">
                  <c:v>7.0525461921964308</c:v>
                </c:pt>
                <c:pt idx="804">
                  <c:v>6.9828247528581731</c:v>
                </c:pt>
                <c:pt idx="805">
                  <c:v>6.9137949257411213</c:v>
                </c:pt>
                <c:pt idx="806">
                  <c:v>6.8454498891430013</c:v>
                </c:pt>
                <c:pt idx="807">
                  <c:v>6.7777828876207353</c:v>
                </c:pt>
                <c:pt idx="808">
                  <c:v>6.7107872313770258</c:v>
                </c:pt>
                <c:pt idx="809">
                  <c:v>6.6444562956516462</c:v>
                </c:pt>
                <c:pt idx="810">
                  <c:v>6.5787835201174261</c:v>
                </c:pt>
                <c:pt idx="811">
                  <c:v>6.5137624082809396</c:v>
                </c:pt>
                <c:pt idx="812">
                  <c:v>6.4493865268878894</c:v>
                </c:pt>
                <c:pt idx="813">
                  <c:v>6.3856495053331859</c:v>
                </c:pt>
                <c:pt idx="814">
                  <c:v>6.3225450350757084</c:v>
                </c:pt>
                <c:pt idx="815">
                  <c:v>6.2600668690577432</c:v>
                </c:pt>
                <c:pt idx="816">
                  <c:v>6.1982088211290947</c:v>
                </c:pt>
                <c:pt idx="817">
                  <c:v>6.1369647654758568</c:v>
                </c:pt>
                <c:pt idx="818">
                  <c:v>6.0763286360538267</c:v>
                </c:pt>
                <c:pt idx="819">
                  <c:v>6.0162944260265556</c:v>
                </c:pt>
                <c:pt idx="820">
                  <c:v>5.9568561872080243</c:v>
                </c:pt>
                <c:pt idx="821">
                  <c:v>5.8980080295099224</c:v>
                </c:pt>
                <c:pt idx="822">
                  <c:v>5.8397441203935188</c:v>
                </c:pt>
                <c:pt idx="823">
                  <c:v>5.7820586843261088</c:v>
                </c:pt>
                <c:pt idx="824">
                  <c:v>5.7249460022420173</c:v>
                </c:pt>
                <c:pt idx="825">
                  <c:v>5.6684004110081414</c:v>
                </c:pt>
                <c:pt idx="826">
                  <c:v>5.6124163028940153</c:v>
                </c:pt>
                <c:pt idx="827">
                  <c:v>5.556988125046372</c:v>
                </c:pt>
                <c:pt idx="828">
                  <c:v>5.5021103789681902</c:v>
                </c:pt>
                <c:pt idx="829">
                  <c:v>5.4477776200021957</c:v>
                </c:pt>
                <c:pt idx="830">
                  <c:v>5.3939844568188038</c:v>
                </c:pt>
                <c:pt idx="831">
                  <c:v>5.340725550908477</c:v>
                </c:pt>
                <c:pt idx="832">
                  <c:v>5.2879956160784749</c:v>
                </c:pt>
                <c:pt idx="833">
                  <c:v>5.2357894179539732</c:v>
                </c:pt>
                <c:pt idx="834">
                  <c:v>5.1841017734835306</c:v>
                </c:pt>
                <c:pt idx="835">
                  <c:v>5.1329275504488763</c:v>
                </c:pt>
                <c:pt idx="836">
                  <c:v>5.0822616669789946</c:v>
                </c:pt>
                <c:pt idx="837">
                  <c:v>5.032099091068484</c:v>
                </c:pt>
                <c:pt idx="838">
                  <c:v>4.9824348401001615</c:v>
                </c:pt>
                <c:pt idx="839">
                  <c:v>4.9332639803718905</c:v>
                </c:pt>
                <c:pt idx="840">
                  <c:v>4.884581626627603</c:v>
                </c:pt>
                <c:pt idx="841">
                  <c:v>4.8363829415924933</c:v>
                </c:pt>
                <c:pt idx="842">
                  <c:v>4.7886631355123539</c:v>
                </c:pt>
                <c:pt idx="843">
                  <c:v>4.7414174656970278</c:v>
                </c:pt>
                <c:pt idx="844">
                  <c:v>4.6946412360679535</c:v>
                </c:pt>
                <c:pt idx="845">
                  <c:v>4.6483297967097661</c:v>
                </c:pt>
                <c:pt idx="846">
                  <c:v>4.602478543425943</c:v>
                </c:pt>
                <c:pt idx="847">
                  <c:v>4.5570829172984526</c:v>
                </c:pt>
                <c:pt idx="848">
                  <c:v>4.5121384042513837</c:v>
                </c:pt>
                <c:pt idx="849">
                  <c:v>4.4676405346185266</c:v>
                </c:pt>
                <c:pt idx="850">
                  <c:v>4.423584882714886</c:v>
                </c:pt>
                <c:pt idx="851">
                  <c:v>4.3799670664120836</c:v>
                </c:pt>
                <c:pt idx="852">
                  <c:v>4.336782746717633</c:v>
                </c:pt>
                <c:pt idx="853">
                  <c:v>4.2940276273580595</c:v>
                </c:pt>
                <c:pt idx="854">
                  <c:v>4.2516974543658268</c:v>
                </c:pt>
                <c:pt idx="855">
                  <c:v>4.2097880156700533</c:v>
                </c:pt>
                <c:pt idx="856">
                  <c:v>4.1682951406909847</c:v>
                </c:pt>
                <c:pt idx="857">
                  <c:v>4.1272146999381949</c:v>
                </c:pt>
                <c:pt idx="858">
                  <c:v>4.0865426046124878</c:v>
                </c:pt>
                <c:pt idx="859">
                  <c:v>4.0462748062114713</c:v>
                </c:pt>
                <c:pt idx="860">
                  <c:v>4.006407296138776</c:v>
                </c:pt>
                <c:pt idx="861">
                  <c:v>3.9669361053168886</c:v>
                </c:pt>
                <c:pt idx="862">
                  <c:v>3.9278573038035773</c:v>
                </c:pt>
                <c:pt idx="863">
                  <c:v>3.8891670004118732</c:v>
                </c:pt>
                <c:pt idx="864">
                  <c:v>3.8508613423335833</c:v>
                </c:pt>
                <c:pt idx="865">
                  <c:v>3.8129365147663115</c:v>
                </c:pt>
                <c:pt idx="866">
                  <c:v>3.7753887405439515</c:v>
                </c:pt>
                <c:pt idx="867">
                  <c:v>3.738214279770629</c:v>
                </c:pt>
                <c:pt idx="868">
                  <c:v>3.7014094294580646</c:v>
                </c:pt>
                <c:pt idx="869">
                  <c:v>3.6649705231663288</c:v>
                </c:pt>
                <c:pt idx="870">
                  <c:v>3.6288939306479624</c:v>
                </c:pt>
                <c:pt idx="871">
                  <c:v>3.5931760574954326</c:v>
                </c:pt>
                <c:pt idx="872">
                  <c:v>3.5578133447919007</c:v>
                </c:pt>
                <c:pt idx="873">
                  <c:v>3.5228022687652718</c:v>
                </c:pt>
                <c:pt idx="874">
                  <c:v>3.4881393404454979</c:v>
                </c:pt>
                <c:pt idx="875">
                  <c:v>3.4538211053251131</c:v>
                </c:pt>
                <c:pt idx="876">
                  <c:v>3.4198441430229654</c:v>
                </c:pt>
                <c:pt idx="877">
                  <c:v>3.3862050669511241</c:v>
                </c:pt>
                <c:pt idx="878">
                  <c:v>3.3529005239849359</c:v>
                </c:pt>
                <c:pt idx="879">
                  <c:v>3.3199271941362003</c:v>
                </c:pt>
                <c:pt idx="880">
                  <c:v>3.287281790229438</c:v>
                </c:pt>
                <c:pt idx="881">
                  <c:v>3.2549610575812293</c:v>
                </c:pt>
                <c:pt idx="882">
                  <c:v>3.2229617736825928</c:v>
                </c:pt>
                <c:pt idx="883">
                  <c:v>3.1912807478843779</c:v>
                </c:pt>
                <c:pt idx="884">
                  <c:v>3.159914821085648</c:v>
                </c:pt>
                <c:pt idx="885">
                  <c:v>3.1288608654250272</c:v>
                </c:pt>
                <c:pt idx="886">
                  <c:v>3.0981157839749836</c:v>
                </c:pt>
                <c:pt idx="887">
                  <c:v>3.067676510439024</c:v>
                </c:pt>
                <c:pt idx="888">
                  <c:v>3.0375400088517779</c:v>
                </c:pt>
                <c:pt idx="889">
                  <c:v>3.0077032732819395</c:v>
                </c:pt>
                <c:pt idx="890">
                  <c:v>2.9781633275380477</c:v>
                </c:pt>
                <c:pt idx="891">
                  <c:v>2.9489172248770767</c:v>
                </c:pt>
                <c:pt idx="892">
                  <c:v>2.9199620477158139</c:v>
                </c:pt>
                <c:pt idx="893">
                  <c:v>2.8912949073449976</c:v>
                </c:pt>
                <c:pt idx="894">
                  <c:v>2.8629129436461933</c:v>
                </c:pt>
                <c:pt idx="895">
                  <c:v>2.8348133248113832</c:v>
                </c:pt>
                <c:pt idx="896">
                  <c:v>2.8069932470652414</c:v>
                </c:pt>
                <c:pt idx="897">
                  <c:v>2.7794499343900796</c:v>
                </c:pt>
                <c:pt idx="898">
                  <c:v>2.7521806382534257</c:v>
                </c:pt>
                <c:pt idx="899">
                  <c:v>2.725182637338226</c:v>
                </c:pt>
                <c:pt idx="900">
                  <c:v>2.698453237275638</c:v>
                </c:pt>
                <c:pt idx="901">
                  <c:v>2.6719897703803941</c:v>
                </c:pt>
                <c:pt idx="902">
                  <c:v>2.6457895953887109</c:v>
                </c:pt>
                <c:pt idx="903">
                  <c:v>2.6198500971987246</c:v>
                </c:pt>
                <c:pt idx="904">
                  <c:v>2.5941686866134241</c:v>
                </c:pt>
                <c:pt idx="905">
                  <c:v>2.5687428000860675</c:v>
                </c:pt>
                <c:pt idx="906">
                  <c:v>2.5435698994680482</c:v>
                </c:pt>
                <c:pt idx="907">
                  <c:v>2.5186474717591998</c:v>
                </c:pt>
                <c:pt idx="908">
                  <c:v>2.4939730288605073</c:v>
                </c:pt>
                <c:pt idx="909">
                  <c:v>2.4695441073292117</c:v>
                </c:pt>
                <c:pt idx="910">
                  <c:v>2.4453582681362782</c:v>
                </c:pt>
                <c:pt idx="911">
                  <c:v>2.4214130964262131</c:v>
                </c:pt>
                <c:pt idx="912">
                  <c:v>2.3977062012792016</c:v>
                </c:pt>
                <c:pt idx="913">
                  <c:v>2.3742352154755504</c:v>
                </c:pt>
                <c:pt idx="914">
                  <c:v>2.3509977952624093</c:v>
                </c:pt>
                <c:pt idx="915">
                  <c:v>2.3279916201227557</c:v>
                </c:pt>
                <c:pt idx="916">
                  <c:v>2.3052143925466169</c:v>
                </c:pt>
                <c:pt idx="917">
                  <c:v>2.2826638378045101</c:v>
                </c:pt>
                <c:pt idx="918">
                  <c:v>2.2603377037230832</c:v>
                </c:pt>
                <c:pt idx="919">
                  <c:v>2.2382337604629301</c:v>
                </c:pt>
                <c:pt idx="920">
                  <c:v>2.2163498002985658</c:v>
                </c:pt>
                <c:pt idx="921">
                  <c:v>2.1946836374005376</c:v>
                </c:pt>
                <c:pt idx="922">
                  <c:v>2.1732331076196543</c:v>
                </c:pt>
                <c:pt idx="923">
                  <c:v>2.1519960682733124</c:v>
                </c:pt>
                <c:pt idx="924">
                  <c:v>2.1309703979339005</c:v>
                </c:pt>
                <c:pt idx="925">
                  <c:v>2.1101539962192648</c:v>
                </c:pt>
                <c:pt idx="926">
                  <c:v>2.0895447835852088</c:v>
                </c:pt>
                <c:pt idx="927">
                  <c:v>2.069140701120018</c:v>
                </c:pt>
                <c:pt idx="928">
                  <c:v>2.0489397103409841</c:v>
                </c:pt>
                <c:pt idx="929">
                  <c:v>2.0289397929929125</c:v>
                </c:pt>
                <c:pt idx="930">
                  <c:v>2.009138950848592</c:v>
                </c:pt>
                <c:pt idx="931">
                  <c:v>1.9895352055112117</c:v>
                </c:pt>
                <c:pt idx="932">
                  <c:v>1.9701265982187046</c:v>
                </c:pt>
                <c:pt idx="933">
                  <c:v>1.9509111896499993</c:v>
                </c:pt>
                <c:pt idx="934">
                  <c:v>1.9318870597331641</c:v>
                </c:pt>
                <c:pt idx="935">
                  <c:v>1.9130523074554227</c:v>
                </c:pt>
                <c:pt idx="936">
                  <c:v>1.8944050506750263</c:v>
                </c:pt>
                <c:pt idx="937">
                  <c:v>1.8759434259349634</c:v>
                </c:pt>
                <c:pt idx="938">
                  <c:v>1.8576655882784898</c:v>
                </c:pt>
                <c:pt idx="939">
                  <c:v>1.8395697110664613</c:v>
                </c:pt>
                <c:pt idx="940">
                  <c:v>1.8216539857964535</c:v>
                </c:pt>
                <c:pt idx="941">
                  <c:v>1.8039166219236509</c:v>
                </c:pt>
                <c:pt idx="942">
                  <c:v>1.7863558466834866</c:v>
                </c:pt>
                <c:pt idx="943">
                  <c:v>1.768969904916019</c:v>
                </c:pt>
                <c:pt idx="944">
                  <c:v>1.7517570588920286</c:v>
                </c:pt>
                <c:pt idx="945">
                  <c:v>1.7347155881408149</c:v>
                </c:pt>
                <c:pt idx="946">
                  <c:v>1.7178437892796827</c:v>
                </c:pt>
                <c:pt idx="947">
                  <c:v>1.7011399758450969</c:v>
                </c:pt>
                <c:pt idx="948">
                  <c:v>1.6846024781254934</c:v>
                </c:pt>
                <c:pt idx="949">
                  <c:v>1.6682296429957271</c:v>
                </c:pt>
                <c:pt idx="950">
                  <c:v>1.6520198337531449</c:v>
                </c:pt>
                <c:pt idx="951">
                  <c:v>1.6359714299552648</c:v>
                </c:pt>
                <c:pt idx="952">
                  <c:v>1.6200828272590482</c:v>
                </c:pt>
                <c:pt idx="953">
                  <c:v>1.6043524372617486</c:v>
                </c:pt>
                <c:pt idx="954">
                  <c:v>1.5887786873433223</c:v>
                </c:pt>
                <c:pt idx="955">
                  <c:v>1.5733600205103866</c:v>
                </c:pt>
                <c:pt idx="956">
                  <c:v>1.5580948952417097</c:v>
                </c:pt>
                <c:pt idx="957">
                  <c:v>1.5429817853352177</c:v>
                </c:pt>
                <c:pt idx="958">
                  <c:v>1.5280191797565048</c:v>
                </c:pt>
                <c:pt idx="959">
                  <c:v>1.5132055824888322</c:v>
                </c:pt>
                <c:pt idx="960">
                  <c:v>1.4985395123846008</c:v>
                </c:pt>
                <c:pt idx="961">
                  <c:v>1.4840195030182837</c:v>
                </c:pt>
                <c:pt idx="962">
                  <c:v>1.4696441025408051</c:v>
                </c:pt>
                <c:pt idx="963">
                  <c:v>1.4554118735353505</c:v>
                </c:pt>
                <c:pt idx="964">
                  <c:v>1.4413213928745965</c:v>
                </c:pt>
                <c:pt idx="965">
                  <c:v>1.4273712515793429</c:v>
                </c:pt>
                <c:pt idx="966">
                  <c:v>1.4135600546785383</c:v>
                </c:pt>
                <c:pt idx="967">
                  <c:v>1.3998864210706818</c:v>
                </c:pt>
                <c:pt idx="968">
                  <c:v>1.3863489833865894</c:v>
                </c:pt>
                <c:pt idx="969">
                  <c:v>1.3729463878535115</c:v>
                </c:pt>
                <c:pt idx="970">
                  <c:v>1.359677294160589</c:v>
                </c:pt>
                <c:pt idx="971">
                  <c:v>1.346540375325634</c:v>
                </c:pt>
                <c:pt idx="972">
                  <c:v>1.3335343175632235</c:v>
                </c:pt>
                <c:pt idx="973">
                  <c:v>1.3206578201540922</c:v>
                </c:pt>
                <c:pt idx="974">
                  <c:v>1.3079095953158129</c:v>
                </c:pt>
                <c:pt idx="975">
                  <c:v>1.2952883680747518</c:v>
                </c:pt>
                <c:pt idx="976">
                  <c:v>1.2827928761392859</c:v>
                </c:pt>
                <c:pt idx="977">
                  <c:v>1.27042186977427</c:v>
                </c:pt>
                <c:pt idx="978">
                  <c:v>1.2581741116767433</c:v>
                </c:pt>
                <c:pt idx="979">
                  <c:v>1.2460483768528607</c:v>
                </c:pt>
                <c:pt idx="980">
                  <c:v>1.2340434524960386</c:v>
                </c:pt>
                <c:pt idx="981">
                  <c:v>1.2221581378663038</c:v>
                </c:pt>
                <c:pt idx="982">
                  <c:v>1.2103912441708322</c:v>
                </c:pt>
                <c:pt idx="983">
                  <c:v>1.1987415944456676</c:v>
                </c:pt>
                <c:pt idx="984">
                  <c:v>1.187208023438608</c:v>
                </c:pt>
                <c:pt idx="985">
                  <c:v>1.1757893774932482</c:v>
                </c:pt>
                <c:pt idx="986">
                  <c:v>1.1644845144341676</c:v>
                </c:pt>
                <c:pt idx="987">
                  <c:v>1.153292303453253</c:v>
                </c:pt>
                <c:pt idx="988">
                  <c:v>1.1422116249971426</c:v>
                </c:pt>
                <c:pt idx="989">
                  <c:v>1.1312413706557849</c:v>
                </c:pt>
                <c:pt idx="990">
                  <c:v>1.1203804430520965</c:v>
                </c:pt>
                <c:pt idx="991">
                  <c:v>1.1096277557327119</c:v>
                </c:pt>
                <c:pt idx="992">
                  <c:v>1.0989822330598134</c:v>
                </c:pt>
                <c:pt idx="993">
                  <c:v>1.08844281010403</c:v>
                </c:pt>
                <c:pt idx="994">
                  <c:v>1.0780084325383965</c:v>
                </c:pt>
                <c:pt idx="995">
                  <c:v>1.0676780565333599</c:v>
                </c:pt>
                <c:pt idx="996">
                  <c:v>1.0574506486528263</c:v>
                </c:pt>
                <c:pt idx="997">
                  <c:v>1.0473251857512351</c:v>
                </c:pt>
                <c:pt idx="998">
                  <c:v>1.0373006548716521</c:v>
                </c:pt>
                <c:pt idx="999">
                  <c:v>1.0273760531448719</c:v>
                </c:pt>
                <c:pt idx="1000">
                  <c:v>1.0175503876895178</c:v>
                </c:pt>
                <c:pt idx="1001">
                  <c:v>1.0078226755131325</c:v>
                </c:pt>
                <c:pt idx="1002">
                  <c:v>0.99819194341424711</c:v>
                </c:pt>
                <c:pt idx="1003">
                  <c:v>0.98865722788541976</c:v>
                </c:pt>
                <c:pt idx="1004">
                  <c:v>0.97921757501723627</c:v>
                </c:pt>
                <c:pt idx="1005">
                  <c:v>0.96987204040326036</c:v>
                </c:pt>
                <c:pt idx="1006">
                  <c:v>0.96061968904592665</c:v>
                </c:pt>
                <c:pt idx="1007">
                  <c:v>0.9514595952633661</c:v>
                </c:pt>
                <c:pt idx="1008">
                  <c:v>0.94239084259715478</c:v>
                </c:pt>
                <c:pt idx="1009">
                  <c:v>0.93341252372097772</c:v>
                </c:pt>
                <c:pt idx="1010">
                  <c:v>0.92452374035019791</c:v>
                </c:pt>
                <c:pt idx="1011">
                  <c:v>0.9157236031523226</c:v>
                </c:pt>
                <c:pt idx="1012">
                  <c:v>0.90701123165835729</c:v>
                </c:pt>
                <c:pt idx="1013">
                  <c:v>0.89838575417503952</c:v>
                </c:pt>
                <c:pt idx="1014">
                  <c:v>0.88984630769794315</c:v>
                </c:pt>
                <c:pt idx="1015">
                  <c:v>0.88139203782544517</c:v>
                </c:pt>
                <c:pt idx="1016">
                  <c:v>0.87302209867354663</c:v>
                </c:pt>
                <c:pt idx="1017">
                  <c:v>0.86473565279153886</c:v>
                </c:pt>
                <c:pt idx="1018">
                  <c:v>0.85653187107850726</c:v>
                </c:pt>
                <c:pt idx="1019">
                  <c:v>0.84840993270066423</c:v>
                </c:pt>
                <c:pt idx="1020">
                  <c:v>0.84036902500950306</c:v>
                </c:pt>
                <c:pt idx="1021">
                  <c:v>0.83240834346076531</c:v>
                </c:pt>
                <c:pt idx="1022">
                  <c:v>0.82452709153421277</c:v>
                </c:pt>
                <c:pt idx="1023">
                  <c:v>0.816724480654197</c:v>
                </c:pt>
                <c:pt idx="1024">
                  <c:v>0.80899973011101889</c:v>
                </c:pt>
                <c:pt idx="1025">
                  <c:v>0.80135206698306893</c:v>
                </c:pt>
                <c:pt idx="1026">
                  <c:v>0.7937807260597427</c:v>
                </c:pt>
                <c:pt idx="1027">
                  <c:v>0.78628494976512231</c:v>
                </c:pt>
                <c:pt idx="1028">
                  <c:v>0.77886398808241752</c:v>
                </c:pt>
                <c:pt idx="1029">
                  <c:v>0.77151709847915795</c:v>
                </c:pt>
                <c:pt idx="1030">
                  <c:v>0.76424354583313048</c:v>
                </c:pt>
                <c:pt idx="1031">
                  <c:v>0.75704260235905307</c:v>
                </c:pt>
                <c:pt idx="1032">
                  <c:v>0.74991354753597883</c:v>
                </c:pt>
                <c:pt idx="1033">
                  <c:v>0.74285566803542336</c:v>
                </c:pt>
                <c:pt idx="1034">
                  <c:v>0.73586825765020669</c:v>
                </c:pt>
                <c:pt idx="1035">
                  <c:v>0.72895061722400545</c:v>
                </c:pt>
                <c:pt idx="1036">
                  <c:v>0.72210205458160581</c:v>
                </c:pt>
                <c:pt idx="1037">
                  <c:v>0.71532188445985212</c:v>
                </c:pt>
                <c:pt idx="1038">
                  <c:v>0.70860942843928332</c:v>
                </c:pt>
                <c:pt idx="1039">
                  <c:v>0.70196401487645121</c:v>
                </c:pt>
                <c:pt idx="1040">
                  <c:v>0.69538497883691386</c:v>
                </c:pt>
                <c:pt idx="1041">
                  <c:v>0.68887166202889638</c:v>
                </c:pt>
                <c:pt idx="1042">
                  <c:v>0.68242341273761475</c:v>
                </c:pt>
                <c:pt idx="1043">
                  <c:v>0.67603958576025414</c:v>
                </c:pt>
                <c:pt idx="1044">
                  <c:v>0.66971954234159647</c:v>
                </c:pt>
                <c:pt idx="1045">
                  <c:v>0.66346265011029071</c:v>
                </c:pt>
                <c:pt idx="1046">
                  <c:v>0.65726828301575957</c:v>
                </c:pt>
                <c:pt idx="1047">
                  <c:v>0.65113582126573588</c:v>
                </c:pt>
                <c:pt idx="1048">
                  <c:v>0.64506465126442425</c:v>
                </c:pt>
                <c:pt idx="1049">
                  <c:v>0.63905416555127892</c:v>
                </c:pt>
                <c:pt idx="1050">
                  <c:v>0.6331037627403957</c:v>
                </c:pt>
                <c:pt idx="1051">
                  <c:v>0.62721284746050787</c:v>
                </c:pt>
                <c:pt idx="1052">
                  <c:v>0.62138083029558377</c:v>
                </c:pt>
                <c:pt idx="1053">
                  <c:v>0.61560712772601789</c:v>
                </c:pt>
                <c:pt idx="1054">
                  <c:v>0.6098911620704105</c:v>
                </c:pt>
                <c:pt idx="1055">
                  <c:v>0.60423236142793069</c:v>
                </c:pt>
                <c:pt idx="1056">
                  <c:v>0.59863015962125565</c:v>
                </c:pt>
                <c:pt idx="1057">
                  <c:v>0.59308399614008211</c:v>
                </c:pt>
                <c:pt idx="1058">
                  <c:v>0.58759331608520382</c:v>
                </c:pt>
                <c:pt idx="1059">
                  <c:v>0.58215757011314895</c:v>
                </c:pt>
                <c:pt idx="1060">
                  <c:v>0.57677621438137305</c:v>
                </c:pt>
                <c:pt idx="1061">
                  <c:v>0.57144871049400159</c:v>
                </c:pt>
                <c:pt idx="1062">
                  <c:v>0.56617452544811686</c:v>
                </c:pt>
                <c:pt idx="1063">
                  <c:v>0.56095313158058369</c:v>
                </c:pt>
                <c:pt idx="1064">
                  <c:v>0.55578400651540927</c:v>
                </c:pt>
                <c:pt idx="1065">
                  <c:v>0.55066663311163178</c:v>
                </c:pt>
                <c:pt idx="1066">
                  <c:v>0.54560049941173239</c:v>
                </c:pt>
                <c:pt idx="1067">
                  <c:v>0.54058509859056569</c:v>
                </c:pt>
                <c:pt idx="1068">
                  <c:v>0.53561992890480381</c:v>
                </c:pt>
                <c:pt idx="1069">
                  <c:v>0.53070449364288919</c:v>
                </c:pt>
                <c:pt idx="1070">
                  <c:v>0.52583830107549079</c:v>
                </c:pt>
                <c:pt idx="1071">
                  <c:v>0.52102086440645889</c:v>
                </c:pt>
                <c:pt idx="1072">
                  <c:v>0.51625170172427448</c:v>
                </c:pt>
                <c:pt idx="1073">
                  <c:v>0.51153033595398723</c:v>
                </c:pt>
                <c:pt idx="1074">
                  <c:v>0.50685629480963845</c:v>
                </c:pt>
                <c:pt idx="1075">
                  <c:v>0.50222911074716337</c:v>
                </c:pt>
                <c:pt idx="1076">
                  <c:v>0.49764832091776939</c:v>
                </c:pt>
                <c:pt idx="1077">
                  <c:v>0.49311346712178433</c:v>
                </c:pt>
                <c:pt idx="1078">
                  <c:v>0.48862409576297111</c:v>
                </c:pt>
                <c:pt idx="1079">
                  <c:v>0.48417975780330402</c:v>
                </c:pt>
                <c:pt idx="1080">
                  <c:v>0.47978000871820264</c:v>
                </c:pt>
                <c:pt idx="1081">
                  <c:v>0.47542440845221801</c:v>
                </c:pt>
                <c:pt idx="1082">
                  <c:v>0.47111252137516774</c:v>
                </c:pt>
                <c:pt idx="1083">
                  <c:v>0.46684391623871552</c:v>
                </c:pt>
                <c:pt idx="1084">
                  <c:v>0.4626181661333903</c:v>
                </c:pt>
                <c:pt idx="1085">
                  <c:v>0.45843484844604138</c:v>
                </c:pt>
                <c:pt idx="1086">
                  <c:v>0.4542935448177256</c:v>
                </c:pt>
                <c:pt idx="1087">
                  <c:v>0.45019384110202137</c:v>
                </c:pt>
                <c:pt idx="1088">
                  <c:v>0.44613532732376704</c:v>
                </c:pt>
                <c:pt idx="1089">
                  <c:v>0.44211759763821801</c:v>
                </c:pt>
                <c:pt idx="1090">
                  <c:v>0.43814025029061993</c:v>
                </c:pt>
                <c:pt idx="1091">
                  <c:v>0.43420288757619302</c:v>
                </c:pt>
                <c:pt idx="1092">
                  <c:v>0.4303051158005245</c:v>
                </c:pt>
                <c:pt idx="1093">
                  <c:v>0.42644654524036452</c:v>
                </c:pt>
                <c:pt idx="1094">
                  <c:v>0.4226267901048224</c:v>
                </c:pt>
                <c:pt idx="1095">
                  <c:v>0.41884546849695897</c:v>
                </c:pt>
                <c:pt idx="1096">
                  <c:v>0.41510220237577145</c:v>
                </c:pt>
                <c:pt idx="1097">
                  <c:v>0.4113966175185671</c:v>
                </c:pt>
                <c:pt idx="1098">
                  <c:v>0.4077283434837225</c:v>
                </c:pt>
                <c:pt idx="1099">
                  <c:v>0.40409701357382394</c:v>
                </c:pt>
                <c:pt idx="1100">
                  <c:v>0.40050226479918605</c:v>
                </c:pt>
                <c:pt idx="1101">
                  <c:v>0.39694373784174503</c:v>
                </c:pt>
                <c:pt idx="1102">
                  <c:v>0.39342107701932288</c:v>
                </c:pt>
                <c:pt idx="1103">
                  <c:v>0.38993393025025908</c:v>
                </c:pt>
                <c:pt idx="1104">
                  <c:v>0.3864819490184066</c:v>
                </c:pt>
                <c:pt idx="1105">
                  <c:v>0.38306478833848873</c:v>
                </c:pt>
                <c:pt idx="1106">
                  <c:v>0.37968210672181335</c:v>
                </c:pt>
                <c:pt idx="1107">
                  <c:v>0.37633356614234137</c:v>
                </c:pt>
                <c:pt idx="1108">
                  <c:v>0.37301883200310609</c:v>
                </c:pt>
                <c:pt idx="1109">
                  <c:v>0.36973757310298039</c:v>
                </c:pt>
                <c:pt idx="1110">
                  <c:v>0.36648946160378831</c:v>
                </c:pt>
                <c:pt idx="1111">
                  <c:v>0.36327417299775844</c:v>
                </c:pt>
                <c:pt idx="1112">
                  <c:v>0.36009138607531482</c:v>
                </c:pt>
                <c:pt idx="1113">
                  <c:v>0.35694078289320391</c:v>
                </c:pt>
                <c:pt idx="1114">
                  <c:v>0.3538220487429532</c:v>
                </c:pt>
                <c:pt idx="1115">
                  <c:v>0.35073487211965937</c:v>
                </c:pt>
                <c:pt idx="1116">
                  <c:v>0.34767894469110244</c:v>
                </c:pt>
                <c:pt idx="1117">
                  <c:v>0.34465396126718323</c:v>
                </c:pt>
                <c:pt idx="1118">
                  <c:v>0.34165961976968168</c:v>
                </c:pt>
                <c:pt idx="1119">
                  <c:v>0.3386956212023321</c:v>
                </c:pt>
                <c:pt idx="1120">
                  <c:v>0.33576166962121379</c:v>
                </c:pt>
                <c:pt idx="1121">
                  <c:v>0.33285747210545313</c:v>
                </c:pt>
                <c:pt idx="1122">
                  <c:v>0.32998273872823536</c:v>
                </c:pt>
                <c:pt idx="1123">
                  <c:v>0.32713718252812252</c:v>
                </c:pt>
                <c:pt idx="1124">
                  <c:v>0.32432051948067547</c:v>
                </c:pt>
                <c:pt idx="1125">
                  <c:v>0.32153246847037709</c:v>
                </c:pt>
                <c:pt idx="1126">
                  <c:v>0.31877275126285382</c:v>
                </c:pt>
                <c:pt idx="1127">
                  <c:v>0.3160410924773937</c:v>
                </c:pt>
                <c:pt idx="1128">
                  <c:v>0.31333721955975746</c:v>
                </c:pt>
                <c:pt idx="1129">
                  <c:v>0.31066086275528088</c:v>
                </c:pt>
                <c:pt idx="1130">
                  <c:v>0.30801175508226536</c:v>
                </c:pt>
                <c:pt idx="1131">
                  <c:v>0.30538963230565502</c:v>
                </c:pt>
                <c:pt idx="1132">
                  <c:v>0.302794232910997</c:v>
                </c:pt>
                <c:pt idx="1133">
                  <c:v>0.30022529807868337</c:v>
                </c:pt>
                <c:pt idx="1134">
                  <c:v>0.29768257165847178</c:v>
                </c:pt>
                <c:pt idx="1135">
                  <c:v>0.29516580014428301</c:v>
                </c:pt>
                <c:pt idx="1136">
                  <c:v>0.29267473264927285</c:v>
                </c:pt>
                <c:pt idx="1137">
                  <c:v>0.29020912088117606</c:v>
                </c:pt>
                <c:pt idx="1138">
                  <c:v>0.28776871911792029</c:v>
                </c:pt>
                <c:pt idx="1139">
                  <c:v>0.2853532841835078</c:v>
                </c:pt>
                <c:pt idx="1140">
                  <c:v>0.28296257542416314</c:v>
                </c:pt>
                <c:pt idx="1141">
                  <c:v>0.28059635468474386</c:v>
                </c:pt>
                <c:pt idx="1142">
                  <c:v>0.27825438628541305</c:v>
                </c:pt>
                <c:pt idx="1143">
                  <c:v>0.27593643699857134</c:v>
                </c:pt>
                <c:pt idx="1144">
                  <c:v>0.27364227602604629</c:v>
                </c:pt>
                <c:pt idx="1145">
                  <c:v>0.27137167497653719</c:v>
                </c:pt>
                <c:pt idx="1146">
                  <c:v>0.26912440784331371</c:v>
                </c:pt>
                <c:pt idx="1147">
                  <c:v>0.26690025098216569</c:v>
                </c:pt>
                <c:pt idx="1148">
                  <c:v>0.26469898308960327</c:v>
                </c:pt>
                <c:pt idx="1149">
                  <c:v>0.26252038518130466</c:v>
                </c:pt>
                <c:pt idx="1150">
                  <c:v>0.2603642405708102</c:v>
                </c:pt>
                <c:pt idx="1151">
                  <c:v>0.25823033484846081</c:v>
                </c:pt>
                <c:pt idx="1152">
                  <c:v>0.25611845586057885</c:v>
                </c:pt>
                <c:pt idx="1153">
                  <c:v>0.25402839368889041</c:v>
                </c:pt>
                <c:pt idx="1154">
                  <c:v>0.25195994063018656</c:v>
                </c:pt>
                <c:pt idx="1155">
                  <c:v>0.24991289117622237</c:v>
                </c:pt>
                <c:pt idx="1156">
                  <c:v>0.247887041993852</c:v>
                </c:pt>
                <c:pt idx="1157">
                  <c:v>0.24588219190539837</c:v>
                </c:pt>
                <c:pt idx="1158">
                  <c:v>0.24389814186925579</c:v>
                </c:pt>
                <c:pt idx="1159">
                  <c:v>0.24193469496072412</c:v>
                </c:pt>
                <c:pt idx="1160">
                  <c:v>0.23999165635307279</c:v>
                </c:pt>
                <c:pt idx="1161">
                  <c:v>0.23806883329883391</c:v>
                </c:pt>
                <c:pt idx="1162">
                  <c:v>0.23616603511132206</c:v>
                </c:pt>
                <c:pt idx="1163">
                  <c:v>0.23428307314638053</c:v>
                </c:pt>
                <c:pt idx="1164">
                  <c:v>0.23241976078435164</c:v>
                </c:pt>
                <c:pt idx="1165">
                  <c:v>0.23057591341227091</c:v>
                </c:pt>
                <c:pt idx="1166">
                  <c:v>0.22875134840628275</c:v>
                </c:pt>
                <c:pt idx="1167">
                  <c:v>0.22694588511427755</c:v>
                </c:pt>
                <c:pt idx="1168">
                  <c:v>0.22515934483874803</c:v>
                </c:pt>
                <c:pt idx="1169">
                  <c:v>0.22339155081986459</c:v>
                </c:pt>
                <c:pt idx="1170">
                  <c:v>0.22164232821876781</c:v>
                </c:pt>
                <c:pt idx="1171">
                  <c:v>0.21991150410107763</c:v>
                </c:pt>
                <c:pt idx="1172">
                  <c:v>0.21819890742061787</c:v>
                </c:pt>
                <c:pt idx="1173">
                  <c:v>0.21650436900335526</c:v>
                </c:pt>
                <c:pt idx="1174">
                  <c:v>0.21482772153155194</c:v>
                </c:pt>
                <c:pt idx="1175">
                  <c:v>0.2131687995281307</c:v>
                </c:pt>
                <c:pt idx="1176">
                  <c:v>0.21152743934125193</c:v>
                </c:pt>
                <c:pt idx="1177">
                  <c:v>0.20990347912910159</c:v>
                </c:pt>
                <c:pt idx="1178">
                  <c:v>0.20829675884488949</c:v>
                </c:pt>
                <c:pt idx="1179">
                  <c:v>0.20670712022205681</c:v>
                </c:pt>
                <c:pt idx="1180">
                  <c:v>0.20513440675969277</c:v>
                </c:pt>
                <c:pt idx="1181">
                  <c:v>0.2035784637081591</c:v>
                </c:pt>
                <c:pt idx="1182">
                  <c:v>0.20203913805492243</c:v>
                </c:pt>
                <c:pt idx="1183">
                  <c:v>0.20051627851059353</c:v>
                </c:pt>
                <c:pt idx="1184">
                  <c:v>0.19900973549517301</c:v>
                </c:pt>
                <c:pt idx="1185">
                  <c:v>0.19751936112450322</c:v>
                </c:pt>
                <c:pt idx="1186">
                  <c:v>0.1960450091969258</c:v>
                </c:pt>
                <c:pt idx="1187">
                  <c:v>0.19458653518014443</c:v>
                </c:pt>
                <c:pt idx="1188">
                  <c:v>0.19314379619829256</c:v>
                </c:pt>
                <c:pt idx="1189">
                  <c:v>0.19171665101920593</c:v>
                </c:pt>
                <c:pt idx="1190">
                  <c:v>0.19030496004189956</c:v>
                </c:pt>
                <c:pt idx="1191">
                  <c:v>0.18890858528424903</c:v>
                </c:pt>
                <c:pt idx="1192">
                  <c:v>0.18752739037087604</c:v>
                </c:pt>
                <c:pt idx="1193">
                  <c:v>0.18616124052123806</c:v>
                </c:pt>
                <c:pt idx="1194">
                  <c:v>0.18481000253792221</c:v>
                </c:pt>
                <c:pt idx="1195">
                  <c:v>0.18347354479514338</c:v>
                </c:pt>
                <c:pt idx="1196">
                  <c:v>0.18215173722744657</c:v>
                </c:pt>
                <c:pt idx="1197">
                  <c:v>0.18084445131861376</c:v>
                </c:pt>
                <c:pt idx="1198">
                  <c:v>0.17955156009077561</c:v>
                </c:pt>
                <c:pt idx="1199">
                  <c:v>0.17827293809372799</c:v>
                </c:pt>
                <c:pt idx="1200">
                  <c:v>0.17700846139445398</c:v>
                </c:pt>
                <c:pt idx="1201">
                  <c:v>0.17575800756685156</c:v>
                </c:pt>
                <c:pt idx="1202">
                  <c:v>0.1745214556816676</c:v>
                </c:pt>
                <c:pt idx="1203">
                  <c:v>0.17329868629663858</c:v>
                </c:pt>
                <c:pt idx="1204">
                  <c:v>0.17208958144683872</c:v>
                </c:pt>
                <c:pt idx="1205">
                  <c:v>0.1708940246352362</c:v>
                </c:pt>
                <c:pt idx="1206">
                  <c:v>0.16971190082345816</c:v>
                </c:pt>
                <c:pt idx="1207">
                  <c:v>0.16854309642276527</c:v>
                </c:pt>
                <c:pt idx="1208">
                  <c:v>0.16738749928523708</c:v>
                </c:pt>
                <c:pt idx="1209">
                  <c:v>0.16624499869516846</c:v>
                </c:pt>
                <c:pt idx="1210">
                  <c:v>0.16511548536067899</c:v>
                </c:pt>
                <c:pt idx="1211">
                  <c:v>0.16399885140553588</c:v>
                </c:pt>
                <c:pt idx="1212">
                  <c:v>0.16289499036119168</c:v>
                </c:pt>
                <c:pt idx="1213">
                  <c:v>0.16180379715903831</c:v>
                </c:pt>
                <c:pt idx="1214">
                  <c:v>0.16072516812287863</c:v>
                </c:pt>
                <c:pt idx="1215">
                  <c:v>0.159659000961617</c:v>
                </c:pt>
                <c:pt idx="1216">
                  <c:v>0.15860519476217058</c:v>
                </c:pt>
                <c:pt idx="1217">
                  <c:v>0.15756364998260272</c:v>
                </c:pt>
                <c:pt idx="1218">
                  <c:v>0.15653426844548043</c:v>
                </c:pt>
                <c:pt idx="1219">
                  <c:v>0.15551695333145785</c:v>
                </c:pt>
                <c:pt idx="1220">
                  <c:v>0.15451160917308729</c:v>
                </c:pt>
                <c:pt idx="1221">
                  <c:v>0.15351814184886037</c:v>
                </c:pt>
                <c:pt idx="1222">
                  <c:v>0.15253645857748108</c:v>
                </c:pt>
                <c:pt idx="1223">
                  <c:v>0.15156646791237324</c:v>
                </c:pt>
                <c:pt idx="1224">
                  <c:v>0.15060807973642462</c:v>
                </c:pt>
                <c:pt idx="1225">
                  <c:v>0.1496612052569703</c:v>
                </c:pt>
                <c:pt idx="1226">
                  <c:v>0.14872575700101795</c:v>
                </c:pt>
                <c:pt idx="1227">
                  <c:v>0.14780164881071764</c:v>
                </c:pt>
                <c:pt idx="1228">
                  <c:v>0.14688879583907913</c:v>
                </c:pt>
                <c:pt idx="1229">
                  <c:v>0.14598711454593988</c:v>
                </c:pt>
                <c:pt idx="1230">
                  <c:v>0.14509652269418641</c:v>
                </c:pt>
                <c:pt idx="1231">
                  <c:v>0.14421693934623292</c:v>
                </c:pt>
                <c:pt idx="1232">
                  <c:v>0.14334828486076018</c:v>
                </c:pt>
                <c:pt idx="1233">
                  <c:v>0.14249048088971841</c:v>
                </c:pt>
                <c:pt idx="1234">
                  <c:v>0.14164345037559795</c:v>
                </c:pt>
                <c:pt idx="1235">
                  <c:v>0.14080711754897152</c:v>
                </c:pt>
                <c:pt idx="1236">
                  <c:v>0.13998140792631231</c:v>
                </c:pt>
                <c:pt idx="1237">
                  <c:v>0.13916624830809193</c:v>
                </c:pt>
                <c:pt idx="1238">
                  <c:v>0.13836156677716277</c:v>
                </c:pt>
                <c:pt idx="1239">
                  <c:v>0.13756729269742932</c:v>
                </c:pt>
                <c:pt idx="1240">
                  <c:v>0.1367833567128133</c:v>
                </c:pt>
                <c:pt idx="1241">
                  <c:v>0.1360096907465175</c:v>
                </c:pt>
                <c:pt idx="1242">
                  <c:v>0.13524622800059349</c:v>
                </c:pt>
                <c:pt idx="1243">
                  <c:v>0.13449290295581875</c:v>
                </c:pt>
                <c:pt idx="1244">
                  <c:v>0.1337496513718886</c:v>
                </c:pt>
                <c:pt idx="1245">
                  <c:v>0.13301641028792893</c:v>
                </c:pt>
                <c:pt idx="1246">
                  <c:v>0.13229311802333568</c:v>
                </c:pt>
                <c:pt idx="1247">
                  <c:v>0.13157971417894743</c:v>
                </c:pt>
                <c:pt idx="1248">
                  <c:v>0.13087613963855751</c:v>
                </c:pt>
                <c:pt idx="1249">
                  <c:v>0.13018233657077269</c:v>
                </c:pt>
                <c:pt idx="1250">
                  <c:v>0.12949824843122501</c:v>
                </c:pt>
                <c:pt idx="1251">
                  <c:v>0.12882381996514466</c:v>
                </c:pt>
                <c:pt idx="1252">
                  <c:v>0.12815899721030111</c:v>
                </c:pt>
                <c:pt idx="1253">
                  <c:v>0.12750372750032046</c:v>
                </c:pt>
                <c:pt idx="1254">
                  <c:v>0.12685795946838729</c:v>
                </c:pt>
                <c:pt idx="1255">
                  <c:v>0.12622164305133948</c:v>
                </c:pt>
                <c:pt idx="1256">
                  <c:v>0.12559472949416486</c:v>
                </c:pt>
                <c:pt idx="1257">
                  <c:v>0.12497717135490868</c:v>
                </c:pt>
                <c:pt idx="1258">
                  <c:v>0.12436892251000171</c:v>
                </c:pt>
                <c:pt idx="1259">
                  <c:v>0.12376993816001862</c:v>
                </c:pt>
                <c:pt idx="1260">
                  <c:v>0.12318017483587697</c:v>
                </c:pt>
                <c:pt idx="1261">
                  <c:v>0.1225995904054874</c:v>
                </c:pt>
                <c:pt idx="1262">
                  <c:v>0.12202814408086618</c:v>
                </c:pt>
                <c:pt idx="1263">
                  <c:v>0.12146579642572136</c:v>
                </c:pt>
                <c:pt idx="1264">
                  <c:v>0.12091250936352463</c:v>
                </c:pt>
                <c:pt idx="1265">
                  <c:v>0.12036824618608107</c:v>
                </c:pt>
                <c:pt idx="1266">
                  <c:v>0.11983297156260966</c:v>
                </c:pt>
                <c:pt idx="1267">
                  <c:v>0.11930665154934786</c:v>
                </c:pt>
                <c:pt idx="1268">
                  <c:v>0.11878925359969385</c:v>
                </c:pt>
                <c:pt idx="1269">
                  <c:v>0.11828074657490105</c:v>
                </c:pt>
                <c:pt idx="1270">
                  <c:v>0.1177811007553395</c:v>
                </c:pt>
                <c:pt idx="1271">
                  <c:v>0.11729028785233955</c:v>
                </c:pt>
                <c:pt idx="1272">
                  <c:v>0.11680828102063405</c:v>
                </c:pt>
                <c:pt idx="1273">
                  <c:v>0.11633505487141525</c:v>
                </c:pt>
                <c:pt idx="1274">
                  <c:v>0.11587058548602402</c:v>
                </c:pt>
                <c:pt idx="1275">
                  <c:v>0.11541485043028903</c:v>
                </c:pt>
                <c:pt idx="1276">
                  <c:v>0.11496782876953443</c:v>
                </c:pt>
                <c:pt idx="1277">
                  <c:v>0.11452950108427547</c:v>
                </c:pt>
                <c:pt idx="1278">
                  <c:v>0.11409984948662186</c:v>
                </c:pt>
                <c:pt idx="1279">
                  <c:v>0.1136788576374097</c:v>
                </c:pt>
                <c:pt idx="1280">
                  <c:v>0.11326651076408352</c:v>
                </c:pt>
                <c:pt idx="1281">
                  <c:v>0.11286279567935072</c:v>
                </c:pt>
                <c:pt idx="1282">
                  <c:v>0.11246770080063187</c:v>
                </c:pt>
                <c:pt idx="1283">
                  <c:v>0.11208121617033059</c:v>
                </c:pt>
                <c:pt idx="1284">
                  <c:v>0.11170333347694851</c:v>
                </c:pt>
                <c:pt idx="1285">
                  <c:v>0.11133404607707088</c:v>
                </c:pt>
                <c:pt idx="1286">
                  <c:v>0.11097334901825016</c:v>
                </c:pt>
                <c:pt idx="1287">
                  <c:v>0.11062123906281558</c:v>
                </c:pt>
                <c:pt idx="1288">
                  <c:v>0.11027771471263759</c:v>
                </c:pt>
                <c:pt idx="1289">
                  <c:v>0.10994277623487786</c:v>
                </c:pt>
                <c:pt idx="1290">
                  <c:v>0.109616425688756</c:v>
                </c:pt>
                <c:pt idx="1291">
                  <c:v>0.10929866695336572</c:v>
                </c:pt>
                <c:pt idx="1292">
                  <c:v>0.1089895057565746</c:v>
                </c:pt>
                <c:pt idx="1293">
                  <c:v>0.10868894970504245</c:v>
                </c:pt>
                <c:pt idx="1294">
                  <c:v>0.10839700831539534</c:v>
                </c:pt>
                <c:pt idx="1295">
                  <c:v>0.10811369304659299</c:v>
                </c:pt>
                <c:pt idx="1296">
                  <c:v>0.10783901733352962</c:v>
                </c:pt>
                <c:pt idx="1297">
                  <c:v>0.10757299662190913</c:v>
                </c:pt>
                <c:pt idx="1298">
                  <c:v>0.10731564840443765</c:v>
                </c:pt>
                <c:pt idx="1299">
                  <c:v>0.10706699225837804</c:v>
                </c:pt>
                <c:pt idx="1300">
                  <c:v>0.10682704988451255</c:v>
                </c:pt>
                <c:pt idx="1301">
                  <c:v>0.10659584514756208</c:v>
                </c:pt>
                <c:pt idx="1302">
                  <c:v>0.10637340411811191</c:v>
                </c:pt>
                <c:pt idx="1303">
                  <c:v>0.10615975511609638</c:v>
                </c:pt>
                <c:pt idx="1304">
                  <c:v>0.10595492875589659</c:v>
                </c:pt>
                <c:pt idx="1305">
                  <c:v>0.10575895799310775</c:v>
                </c:pt>
                <c:pt idx="1306">
                  <c:v>0.1055718781730349</c:v>
                </c:pt>
                <c:pt idx="1307">
                  <c:v>0.1053937270809782</c:v>
                </c:pt>
                <c:pt idx="1308">
                  <c:v>0.10522454499437163</c:v>
                </c:pt>
                <c:pt idx="1309">
                  <c:v>0.10506437473684123</c:v>
                </c:pt>
                <c:pt idx="1310">
                  <c:v>0.10491326173425211</c:v>
                </c:pt>
                <c:pt idx="1311">
                  <c:v>0.10477125407281609</c:v>
                </c:pt>
                <c:pt idx="1312">
                  <c:v>0.10463840255933485</c:v>
                </c:pt>
                <c:pt idx="1313">
                  <c:v>0.10451476078365668</c:v>
                </c:pt>
                <c:pt idx="1314">
                  <c:v>0.10440038518342816</c:v>
                </c:pt>
                <c:pt idx="1315">
                  <c:v>0.10429533511122534</c:v>
                </c:pt>
                <c:pt idx="1316">
                  <c:v>0.10419967290415279</c:v>
                </c:pt>
                <c:pt idx="1317">
                  <c:v>0.10411346395600246</c:v>
                </c:pt>
                <c:pt idx="1318">
                  <c:v>0.10403677679206837</c:v>
                </c:pt>
                <c:pt idx="1319">
                  <c:v>0.10396968314671684</c:v>
                </c:pt>
                <c:pt idx="1320">
                  <c:v>0.10391225804381679</c:v>
                </c:pt>
                <c:pt idx="1321">
                  <c:v>0.10386457988013853</c:v>
                </c:pt>
                <c:pt idx="1322">
                  <c:v>0.10382673051183466</c:v>
                </c:pt>
                <c:pt idx="1323">
                  <c:v>0.10379879534412108</c:v>
                </c:pt>
                <c:pt idx="1324">
                  <c:v>0.10378086342428165</c:v>
                </c:pt>
                <c:pt idx="1325">
                  <c:v>0.1037730275381252</c:v>
                </c:pt>
                <c:pt idx="1326">
                  <c:v>0.103775384310029</c:v>
                </c:pt>
                <c:pt idx="1327">
                  <c:v>0.10378803430670928</c:v>
                </c:pt>
                <c:pt idx="1328">
                  <c:v>0.10381108214486481</c:v>
                </c:pt>
                <c:pt idx="1329">
                  <c:v>0.10384463660284646</c:v>
                </c:pt>
                <c:pt idx="1330">
                  <c:v>0.10388881073651227</c:v>
                </c:pt>
                <c:pt idx="1331">
                  <c:v>0.10394372199943475</c:v>
                </c:pt>
                <c:pt idx="1332">
                  <c:v>0.10400949236763439</c:v>
                </c:pt>
                <c:pt idx="1333">
                  <c:v>0.10408624846902109</c:v>
                </c:pt>
                <c:pt idx="1334">
                  <c:v>0.10417412171773362</c:v>
                </c:pt>
                <c:pt idx="1335">
                  <c:v>0.10427324845357572</c:v>
                </c:pt>
                <c:pt idx="1336">
                  <c:v>0.10438377008675617</c:v>
                </c:pt>
                <c:pt idx="1337">
                  <c:v>0.10450583324814985</c:v>
                </c:pt>
                <c:pt idx="1338">
                  <c:v>0.10463958994530648</c:v>
                </c:pt>
                <c:pt idx="1339">
                  <c:v>0.1047851977244444</c:v>
                </c:pt>
                <c:pt idx="1340">
                  <c:v>0.10494281983867726</c:v>
                </c:pt>
                <c:pt idx="1341">
                  <c:v>0.10511262542273307</c:v>
                </c:pt>
                <c:pt idx="1342">
                  <c:v>0.10529478967443724</c:v>
                </c:pt>
                <c:pt idx="1343">
                  <c:v>0.10548949404324338</c:v>
                </c:pt>
                <c:pt idx="1344">
                  <c:v>0.10569692642610948</c:v>
                </c:pt>
                <c:pt idx="1345">
                  <c:v>0.10591728137103035</c:v>
                </c:pt>
                <c:pt idx="1346">
                  <c:v>0.10615076028855232</c:v>
                </c:pt>
                <c:pt idx="1347">
                  <c:v>0.10639757167161117</c:v>
                </c:pt>
                <c:pt idx="1348">
                  <c:v>0.10665793132405073</c:v>
                </c:pt>
                <c:pt idx="1349">
                  <c:v>0.10693206259819629</c:v>
                </c:pt>
                <c:pt idx="1350">
                  <c:v>0.10722019664187489</c:v>
                </c:pt>
                <c:pt idx="1351">
                  <c:v>0.10752257265529348</c:v>
                </c:pt>
                <c:pt idx="1352">
                  <c:v>0.10783943815820536</c:v>
                </c:pt>
                <c:pt idx="1353">
                  <c:v>0.10817104926781639</c:v>
                </c:pt>
                <c:pt idx="1354">
                  <c:v>0.10851767098790409</c:v>
                </c:pt>
                <c:pt idx="1355">
                  <c:v>0.10887957750964608</c:v>
                </c:pt>
                <c:pt idx="1356">
                  <c:v>0.10925705252467785</c:v>
                </c:pt>
                <c:pt idx="1357">
                  <c:v>0.1096503895509264</c:v>
                </c:pt>
                <c:pt idx="1358">
                  <c:v>0.11005989227179208</c:v>
                </c:pt>
                <c:pt idx="1359">
                  <c:v>0.11048587488927995</c:v>
                </c:pt>
                <c:pt idx="1360">
                  <c:v>0.11092866249171168</c:v>
                </c:pt>
                <c:pt idx="1361">
                  <c:v>0.11138859143667994</c:v>
                </c:pt>
                <c:pt idx="1362">
                  <c:v>0.11186600974994117</c:v>
                </c:pt>
                <c:pt idx="1363">
                  <c:v>0.11236127754097684</c:v>
                </c:pt>
                <c:pt idx="1364">
                  <c:v>0.1128747674359903</c:v>
                </c:pt>
                <c:pt idx="1365">
                  <c:v>0.11340686502914538</c:v>
                </c:pt>
                <c:pt idx="1366">
                  <c:v>0.11395796935289346</c:v>
                </c:pt>
                <c:pt idx="1367">
                  <c:v>0.11452849336827918</c:v>
                </c:pt>
                <c:pt idx="1368">
                  <c:v>0.1151188644761607</c:v>
                </c:pt>
                <c:pt idx="1369">
                  <c:v>0.11572952505032781</c:v>
                </c:pt>
                <c:pt idx="1370">
                  <c:v>0.11636093299355318</c:v>
                </c:pt>
                <c:pt idx="1371">
                  <c:v>0.1170135623176643</c:v>
                </c:pt>
                <c:pt idx="1372">
                  <c:v>0.11768790374878152</c:v>
                </c:pt>
                <c:pt idx="1373">
                  <c:v>0.11838446535892663</c:v>
                </c:pt>
                <c:pt idx="1374">
                  <c:v>0.11910377322527005</c:v>
                </c:pt>
                <c:pt idx="1375">
                  <c:v>0.11984637211835139</c:v>
                </c:pt>
                <c:pt idx="1376">
                  <c:v>0.12061282622067869</c:v>
                </c:pt>
                <c:pt idx="1377">
                  <c:v>0.12140371987718646</c:v>
                </c:pt>
                <c:pt idx="1378">
                  <c:v>0.12221965837911149</c:v>
                </c:pt>
                <c:pt idx="1379">
                  <c:v>0.12306126878292899</c:v>
                </c:pt>
                <c:pt idx="1380">
                  <c:v>0.12392920076607999</c:v>
                </c:pt>
                <c:pt idx="1381">
                  <c:v>0.12482412752131415</c:v>
                </c:pt>
                <c:pt idx="1382">
                  <c:v>0.12574674669157135</c:v>
                </c:pt>
                <c:pt idx="1383">
                  <c:v>0.12669778134743029</c:v>
                </c:pt>
                <c:pt idx="1384">
                  <c:v>0.1276779810092627</c:v>
                </c:pt>
                <c:pt idx="1385">
                  <c:v>0.12868812271634977</c:v>
                </c:pt>
                <c:pt idx="1386">
                  <c:v>0.12972901214534144</c:v>
                </c:pt>
                <c:pt idx="1387">
                  <c:v>0.13080148478057099</c:v>
                </c:pt>
                <c:pt idx="1388">
                  <c:v>0.1319064071388778</c:v>
                </c:pt>
                <c:pt idx="1389">
                  <c:v>0.13304467805173767</c:v>
                </c:pt>
                <c:pt idx="1390">
                  <c:v>0.13421723000765892</c:v>
                </c:pt>
                <c:pt idx="1391">
                  <c:v>0.13542503055796737</c:v>
                </c:pt>
                <c:pt idx="1392">
                  <c:v>0.13666908378928086</c:v>
                </c:pt>
                <c:pt idx="1393">
                  <c:v>0.13795043186616099</c:v>
                </c:pt>
                <c:pt idx="1394">
                  <c:v>0.13927015664762823</c:v>
                </c:pt>
                <c:pt idx="1395">
                  <c:v>0.14062938138143824</c:v>
                </c:pt>
                <c:pt idx="1396">
                  <c:v>0.14202927248024028</c:v>
                </c:pt>
                <c:pt idx="1397">
                  <c:v>0.14347104138397737</c:v>
                </c:pt>
                <c:pt idx="1398">
                  <c:v>0.1449559465131397</c:v>
                </c:pt>
                <c:pt idx="1399">
                  <c:v>0.14648529531775178</c:v>
                </c:pt>
                <c:pt idx="1400">
                  <c:v>0.14806044642725824</c:v>
                </c:pt>
                <c:pt idx="1401">
                  <c:v>0.14968281190677701</c:v>
                </c:pt>
                <c:pt idx="1402">
                  <c:v>0.15135385962551021</c:v>
                </c:pt>
                <c:pt idx="1403">
                  <c:v>0.15307511574344582</c:v>
                </c:pt>
                <c:pt idx="1404">
                  <c:v>0.15484816732284776</c:v>
                </c:pt>
                <c:pt idx="1405">
                  <c:v>0.15667466507141897</c:v>
                </c:pt>
                <c:pt idx="1406">
                  <c:v>0.15855632622443502</c:v>
                </c:pt>
                <c:pt idx="1407">
                  <c:v>0.16049493757358446</c:v>
                </c:pt>
                <c:pt idx="1408">
                  <c:v>0.16249235865071912</c:v>
                </c:pt>
                <c:pt idx="1409">
                  <c:v>0.16455052507521495</c:v>
                </c:pt>
                <c:pt idx="1410">
                  <c:v>0.16667145207417444</c:v>
                </c:pt>
                <c:pt idx="1411">
                  <c:v>0.16885723818526452</c:v>
                </c:pt>
                <c:pt idx="1412">
                  <c:v>0.17111006915258642</c:v>
                </c:pt>
                <c:pt idx="1413">
                  <c:v>0.17343222202661412</c:v>
                </c:pt>
                <c:pt idx="1414">
                  <c:v>0.17582606947992058</c:v>
                </c:pt>
                <c:pt idx="1415">
                  <c:v>0.17829408435113964</c:v>
                </c:pt>
                <c:pt idx="1416">
                  <c:v>0.18083884443038784</c:v>
                </c:pt>
                <c:pt idx="1417">
                  <c:v>0.18346303750019832</c:v>
                </c:pt>
                <c:pt idx="1418">
                  <c:v>0.18616946664690284</c:v>
                </c:pt>
                <c:pt idx="1419">
                  <c:v>0.18896105585834075</c:v>
                </c:pt>
                <c:pt idx="1420">
                  <c:v>0.19184085592478012</c:v>
                </c:pt>
                <c:pt idx="1421">
                  <c:v>0.19481205066101079</c:v>
                </c:pt>
                <c:pt idx="1422">
                  <c:v>0.19787796346871567</c:v>
                </c:pt>
                <c:pt idx="1423">
                  <c:v>0.20104206425945312</c:v>
                </c:pt>
                <c:pt idx="1424">
                  <c:v>0.20430797675989049</c:v>
                </c:pt>
                <c:pt idx="1425">
                  <c:v>0.20767948622232896</c:v>
                </c:pt>
                <c:pt idx="1426">
                  <c:v>0.21116054756505304</c:v>
                </c:pt>
                <c:pt idx="1427">
                  <c:v>0.21475529396863649</c:v>
                </c:pt>
                <c:pt idx="1428">
                  <c:v>0.21846804595604391</c:v>
                </c:pt>
                <c:pt idx="1429">
                  <c:v>0.22230332098619388</c:v>
                </c:pt>
                <c:pt idx="1430">
                  <c:v>0.22626584359260207</c:v>
                </c:pt>
                <c:pt idx="1431">
                  <c:v>0.23036055610081402</c:v>
                </c:pt>
                <c:pt idx="1432">
                  <c:v>0.23459262996057043</c:v>
                </c:pt>
                <c:pt idx="1433">
                  <c:v>0.23896747773104304</c:v>
                </c:pt>
                <c:pt idx="1434">
                  <c:v>0.24349076576003773</c:v>
                </c:pt>
                <c:pt idx="1435">
                  <c:v>0.24816842760080376</c:v>
                </c:pt>
                <c:pt idx="1436">
                  <c:v>0.25300667821302358</c:v>
                </c:pt>
                <c:pt idx="1437">
                  <c:v>0.25801202899769921</c:v>
                </c:pt>
                <c:pt idx="1438">
                  <c:v>0.26319130371901944</c:v>
                </c:pt>
                <c:pt idx="1439">
                  <c:v>0.26855165536989628</c:v>
                </c:pt>
                <c:pt idx="1440">
                  <c:v>0.27410058404172388</c:v>
                </c:pt>
                <c:pt idx="1441">
                  <c:v>0.27984595586305133</c:v>
                </c:pt>
                <c:pt idx="1442">
                  <c:v>0.28579602307629798</c:v>
                </c:pt>
                <c:pt idx="1443">
                  <c:v>0.29195944532639301</c:v>
                </c:pt>
                <c:pt idx="1444">
                  <c:v>0.29834531224031796</c:v>
                </c:pt>
                <c:pt idx="1445">
                  <c:v>0.30496316738199353</c:v>
                </c:pt>
                <c:pt idx="1446">
                  <c:v>0.31182303367280817</c:v>
                </c:pt>
                <c:pt idx="1447">
                  <c:v>0.31893544037436611</c:v>
                </c:pt>
                <c:pt idx="1448">
                  <c:v>0.32631145173676501</c:v>
                </c:pt>
                <c:pt idx="1449">
                  <c:v>0.333962697422933</c:v>
                </c:pt>
                <c:pt idx="1450">
                  <c:v>0.34190140482729697</c:v>
                </c:pt>
                <c:pt idx="1451">
                  <c:v>0.35014043341535683</c:v>
                </c:pt>
                <c:pt idx="1452">
                  <c:v>0.35869331121964249</c:v>
                </c:pt>
                <c:pt idx="1453">
                  <c:v>0.36757427363707856</c:v>
                </c:pt>
                <c:pt idx="1454">
                  <c:v>0.37679830468301978</c:v>
                </c:pt>
                <c:pt idx="1455">
                  <c:v>0.38638118086819734</c:v>
                </c:pt>
                <c:pt idx="1456">
                  <c:v>0.39633951787658828</c:v>
                </c:pt>
                <c:pt idx="1457">
                  <c:v>0.40669082023483882</c:v>
                </c:pt>
                <c:pt idx="1458">
                  <c:v>0.41745353417739933</c:v>
                </c:pt>
                <c:pt idx="1459">
                  <c:v>0.42864710392603017</c:v>
                </c:pt>
                <c:pt idx="1460">
                  <c:v>0.44029203161787261</c:v>
                </c:pt>
                <c:pt idx="1461">
                  <c:v>0.45240994113292765</c:v>
                </c:pt>
                <c:pt idx="1462">
                  <c:v>0.46502364608961566</c:v>
                </c:pt>
                <c:pt idx="1463">
                  <c:v>0.47815722229618463</c:v>
                </c:pt>
                <c:pt idx="1464">
                  <c:v>0.49183608496617215</c:v>
                </c:pt>
                <c:pt idx="1465">
                  <c:v>0.50608707102799944</c:v>
                </c:pt>
                <c:pt idx="1466">
                  <c:v>0.52093852688216802</c:v>
                </c:pt>
                <c:pt idx="1467">
                  <c:v>0.53642040198453966</c:v>
                </c:pt>
                <c:pt idx="1468">
                  <c:v>0.55256434866090387</c:v>
                </c:pt>
                <c:pt idx="1469">
                  <c:v>0.56940382858657246</c:v>
                </c:pt>
                <c:pt idx="1470">
                  <c:v>0.58697422639519148</c:v>
                </c:pt>
                <c:pt idx="1471">
                  <c:v>0.60531297091343261</c:v>
                </c:pt>
                <c:pt idx="1472">
                  <c:v>0.6244596645528161</c:v>
                </c:pt>
                <c:pt idx="1473">
                  <c:v>0.6444562214267362</c:v>
                </c:pt>
                <c:pt idx="1474">
                  <c:v>0.66534701479990443</c:v>
                </c:pt>
                <c:pt idx="1475">
                  <c:v>0.68717903451899254</c:v>
                </c:pt>
                <c:pt idx="1476">
                  <c:v>0.71000205511733672</c:v>
                </c:pt>
                <c:pt idx="1477">
                  <c:v>0.73386881533324</c:v>
                </c:pt>
                <c:pt idx="1478">
                  <c:v>0.75883520983074326</c:v>
                </c:pt>
                <c:pt idx="1479">
                  <c:v>0.78496049396378398</c:v>
                </c:pt>
                <c:pt idx="1480">
                  <c:v>0.81230750247945394</c:v>
                </c:pt>
                <c:pt idx="1481">
                  <c:v>0.84094288311360077</c:v>
                </c:pt>
                <c:pt idx="1482">
                  <c:v>0.87093734609226747</c:v>
                </c:pt>
                <c:pt idx="1483">
                  <c:v>0.90236593061534887</c:v>
                </c:pt>
                <c:pt idx="1484">
                  <c:v>0.93530828946424394</c:v>
                </c:pt>
                <c:pt idx="1485">
                  <c:v>0.9698489929430002</c:v>
                </c:pt>
                <c:pt idx="1486">
                  <c:v>1.0060778534322248</c:v>
                </c:pt>
                <c:pt idx="1487">
                  <c:v>1.0440902719065084</c:v>
                </c:pt>
                <c:pt idx="1488">
                  <c:v>1.0839876078388169</c:v>
                </c:pt>
                <c:pt idx="1489">
                  <c:v>1.1258775739886451</c:v>
                </c:pt>
                <c:pt idx="1490">
                  <c:v>1.1698746576439445</c:v>
                </c:pt>
                <c:pt idx="1491">
                  <c:v>1.2161005699590086</c:v>
                </c:pt>
                <c:pt idx="1492">
                  <c:v>1.2646847251004665</c:v>
                </c:pt>
                <c:pt idx="1493">
                  <c:v>1.3157647509798949</c:v>
                </c:pt>
                <c:pt idx="1494">
                  <c:v>1.3694870334126321</c:v>
                </c:pt>
                <c:pt idx="1495">
                  <c:v>1.4260072955961127</c:v>
                </c:pt>
                <c:pt idx="1496">
                  <c:v>1.4854912148450108</c:v>
                </c:pt>
                <c:pt idx="1497">
                  <c:v>1.5481150785518025</c:v>
                </c:pt>
                <c:pt idx="1498">
                  <c:v>1.6140664813565977</c:v>
                </c:pt>
                <c:pt idx="1499">
                  <c:v>1.6835450655052273</c:v>
                </c:pt>
                <c:pt idx="1500">
                  <c:v>1.7567633063448933</c:v>
                </c:pt>
                <c:pt idx="1501">
                  <c:v>1.8339473448466446</c:v>
                </c:pt>
                <c:pt idx="1502">
                  <c:v>1.9153378689471598</c:v>
                </c:pt>
                <c:pt idx="1503">
                  <c:v>2.0011910453613146</c:v>
                </c:pt>
                <c:pt idx="1504">
                  <c:v>2.091779503323238</c:v>
                </c:pt>
                <c:pt idx="1505">
                  <c:v>2.187393371457115</c:v>
                </c:pt>
                <c:pt idx="1506">
                  <c:v>2.288341368648612</c:v>
                </c:pt>
                <c:pt idx="1507">
                  <c:v>2.3949519493705536</c:v>
                </c:pt>
                <c:pt idx="1508">
                  <c:v>2.5075745033977888</c:v>
                </c:pt>
                <c:pt idx="1509">
                  <c:v>2.6265806092095381</c:v>
                </c:pt>
                <c:pt idx="1510">
                  <c:v>2.7523653396043244</c:v>
                </c:pt>
                <c:pt idx="1511">
                  <c:v>2.8853486171222449</c:v>
                </c:pt>
                <c:pt idx="1512">
                  <c:v>3.0259766157587888</c:v>
                </c:pt>
                <c:pt idx="1513">
                  <c:v>3.1747232041384299</c:v>
                </c:pt>
                <c:pt idx="1514">
                  <c:v>3.3320914237671784</c:v>
                </c:pt>
                <c:pt idx="1515">
                  <c:v>3.4986149941713474</c:v>
                </c:pt>
                <c:pt idx="1516">
                  <c:v>3.6748598346230756</c:v>
                </c:pt>
                <c:pt idx="1517">
                  <c:v>3.8614255897180634</c:v>
                </c:pt>
                <c:pt idx="1518">
                  <c:v>4.0589471432727153</c:v>
                </c:pt>
                <c:pt idx="1519">
                  <c:v>4.2680961018112686</c:v>
                </c:pt>
                <c:pt idx="1520">
                  <c:v>4.4895822252838853</c:v>
                </c:pt>
                <c:pt idx="1521">
                  <c:v>4.7241547785615134</c:v>
                </c:pt>
                <c:pt idx="1522">
                  <c:v>4.9726037726639154</c:v>
                </c:pt>
                <c:pt idx="1523">
                  <c:v>5.2357610595710051</c:v>
                </c:pt>
                <c:pt idx="1524">
                  <c:v>5.5145012388312455</c:v>
                </c:pt>
                <c:pt idx="1525">
                  <c:v>5.8097423280136251</c:v>
                </c:pt>
                <c:pt idx="1526">
                  <c:v>6.1224461423683501</c:v>
                </c:pt>
                <c:pt idx="1527">
                  <c:v>6.4536183219046759</c:v>
                </c:pt>
                <c:pt idx="1528">
                  <c:v>6.8043079365299697</c:v>
                </c:pt>
                <c:pt idx="1529">
                  <c:v>7.1756065920250665</c:v>
                </c:pt>
                <c:pt idx="1530">
                  <c:v>7.5686469516040384</c:v>
                </c:pt>
                <c:pt idx="1531">
                  <c:v>7.9846005798202651</c:v>
                </c:pt>
                <c:pt idx="1532">
                  <c:v>8.4246750078953507</c:v>
                </c:pt>
                <c:pt idx="1533">
                  <c:v>8.8901099124935712</c:v>
                </c:pt>
                <c:pt idx="1534">
                  <c:v>9.3821722939525447</c:v>
                </c:pt>
                <c:pt idx="1535">
                  <c:v>9.9021505355080865</c:v>
                </c:pt>
                <c:pt idx="1536">
                  <c:v>10.451347222708414</c:v>
                </c:pt>
                <c:pt idx="1537">
                  <c:v>11.031070602685302</c:v>
                </c:pt>
                <c:pt idx="1538">
                  <c:v>11.642624567015211</c:v>
                </c:pt>
                <c:pt idx="1539">
                  <c:v>12.287297050421653</c:v>
                </c:pt>
                <c:pt idx="1540">
                  <c:v>12.966346751464352</c:v>
                </c:pt>
                <c:pt idx="1541">
                  <c:v>13.68098810158766</c:v>
                </c:pt>
                <c:pt idx="1542">
                  <c:v>14.43237443640616</c:v>
                </c:pt>
                <c:pt idx="1543">
                  <c:v>15.221579358765879</c:v>
                </c:pt>
                <c:pt idx="1544">
                  <c:v>16.049576327665971</c:v>
                </c:pt>
                <c:pt idx="1545">
                  <c:v>16.917216561050544</c:v>
                </c:pt>
                <c:pt idx="1546">
                  <c:v>17.825205403928617</c:v>
                </c:pt>
                <c:pt idx="1547">
                  <c:v>18.774077385928933</c:v>
                </c:pt>
                <c:pt idx="1548">
                  <c:v>19.76417027332699</c:v>
                </c:pt>
                <c:pt idx="1549">
                  <c:v>20.795598508155926</c:v>
                </c:pt>
                <c:pt idx="1550">
                  <c:v>21.868226518765702</c:v>
                </c:pt>
                <c:pt idx="1551">
                  <c:v>22.981642478757056</c:v>
                </c:pt>
                <c:pt idx="1552">
                  <c:v>24.135133180291767</c:v>
                </c:pt>
                <c:pt idx="1553">
                  <c:v>25.327660768189141</c:v>
                </c:pt>
                <c:pt idx="1554">
                  <c:v>26.557842147036336</c:v>
                </c:pt>
                <c:pt idx="1555">
                  <c:v>27.82393191833895</c:v>
                </c:pt>
                <c:pt idx="1556">
                  <c:v>29.123809721944486</c:v>
                </c:pt>
                <c:pt idx="1557">
                  <c:v>30.454972839331919</c:v>
                </c:pt>
                <c:pt idx="1558">
                  <c:v>31.814534860508058</c:v>
                </c:pt>
                <c:pt idx="1559">
                  <c:v>33.199231117323876</c:v>
                </c:pt>
                <c:pt idx="1560">
                  <c:v>34.605431442295568</c:v>
                </c:pt>
                <c:pt idx="1561">
                  <c:v>36.029160624465177</c:v>
                </c:pt>
                <c:pt idx="1562">
                  <c:v>37.466126706578251</c:v>
                </c:pt>
                <c:pt idx="1563">
                  <c:v>38.911757008352517</c:v>
                </c:pt>
                <c:pt idx="1564">
                  <c:v>40.361241479595186</c:v>
                </c:pt>
                <c:pt idx="1565">
                  <c:v>41.809582697991836</c:v>
                </c:pt>
                <c:pt idx="1566">
                  <c:v>43.25165154523917</c:v>
                </c:pt>
                <c:pt idx="1567">
                  <c:v>44.682247338568764</c:v>
                </c:pt>
                <c:pt idx="1568">
                  <c:v>46.096160979090087</c:v>
                </c:pt>
                <c:pt idx="1569">
                  <c:v>47.488239518578688</c:v>
                </c:pt>
                <c:pt idx="1570">
                  <c:v>48.853450454118779</c:v>
                </c:pt>
                <c:pt idx="1571">
                  <c:v>50.186944042943445</c:v>
                </c:pt>
                <c:pt idx="1572">
                  <c:v>51.484111990447708</c:v>
                </c:pt>
                <c:pt idx="1573">
                  <c:v>52.74064099986257</c:v>
                </c:pt>
                <c:pt idx="1574">
                  <c:v>53.952559874462864</c:v>
                </c:pt>
                <c:pt idx="1575">
                  <c:v>55.116279119917479</c:v>
                </c:pt>
                <c:pt idx="1576">
                  <c:v>56.228622289555389</c:v>
                </c:pt>
                <c:pt idx="1577">
                  <c:v>57.286848631000034</c:v>
                </c:pt>
                <c:pt idx="1578">
                  <c:v>58.288666910447162</c:v>
                </c:pt>
                <c:pt idx="1579">
                  <c:v>59.232240593491397</c:v>
                </c:pt>
                <c:pt idx="1580">
                  <c:v>60.116184833829678</c:v>
                </c:pt>
                <c:pt idx="1581">
                  <c:v>60.939555951652181</c:v>
                </c:pt>
                <c:pt idx="1582">
                  <c:v>61.701834264185287</c:v>
                </c:pt>
                <c:pt idx="1583">
                  <c:v>62.402901257793964</c:v>
                </c:pt>
                <c:pt idx="1584">
                  <c:v>63.043012164186095</c:v>
                </c:pt>
                <c:pt idx="1585">
                  <c:v>63.622765025772253</c:v>
                </c:pt>
                <c:pt idx="1586">
                  <c:v>64.143067312866236</c:v>
                </c:pt>
                <c:pt idx="1587">
                  <c:v>64.605101095667365</c:v>
                </c:pt>
                <c:pt idx="1588">
                  <c:v>65.010287685290066</c:v>
                </c:pt>
                <c:pt idx="1589">
                  <c:v>65.360252549151042</c:v>
                </c:pt>
                <c:pt idx="1590">
                  <c:v>65.656791185034109</c:v>
                </c:pt>
                <c:pt idx="1591">
                  <c:v>65.901836512511721</c:v>
                </c:pt>
                <c:pt idx="1592">
                  <c:v>66.097428216335928</c:v>
                </c:pt>
                <c:pt idx="1593">
                  <c:v>66.245684358844414</c:v>
                </c:pt>
                <c:pt idx="1594">
                  <c:v>66.348775470959197</c:v>
                </c:pt>
                <c:pt idx="1595">
                  <c:v>66.408901236346466</c:v>
                </c:pt>
                <c:pt idx="1596">
                  <c:v>66.428269802012395</c:v>
                </c:pt>
                <c:pt idx="1597">
                  <c:v>66.409079681374877</c:v>
                </c:pt>
                <c:pt idx="1598">
                  <c:v>66.353504162298293</c:v>
                </c:pt>
                <c:pt idx="1599">
                  <c:v>66.263678091803371</c:v>
                </c:pt>
                <c:pt idx="1600">
                  <c:v>66.141686879914303</c:v>
                </c:pt>
                <c:pt idx="1601">
                  <c:v>65.989557545925805</c:v>
                </c:pt>
                <c:pt idx="1602">
                  <c:v>65.809251619733274</c:v>
                </c:pt>
                <c:pt idx="1603">
                  <c:v>65.602659707254418</c:v>
                </c:pt>
                <c:pt idx="1604">
                  <c:v>65.371597530951419</c:v>
                </c:pt>
                <c:pt idx="1605">
                  <c:v>65.117803262735848</c:v>
                </c:pt>
                <c:pt idx="1606">
                  <c:v>64.842935975957445</c:v>
                </c:pt>
                <c:pt idx="1607">
                  <c:v>64.548575054757947</c:v>
                </c:pt>
                <c:pt idx="1608">
                  <c:v>64.236220411991937</c:v>
                </c:pt>
                <c:pt idx="1609">
                  <c:v>63.90729338051171</c:v>
                </c:pt>
                <c:pt idx="1610">
                  <c:v>63.563138156357532</c:v>
                </c:pt>
                <c:pt idx="1611">
                  <c:v>63.205023685885919</c:v>
                </c:pt>
                <c:pt idx="1612">
                  <c:v>62.834145901813258</c:v>
                </c:pt>
                <c:pt idx="1613">
                  <c:v>62.451630225344843</c:v>
                </c:pt>
                <c:pt idx="1614">
                  <c:v>62.058534262868491</c:v>
                </c:pt>
                <c:pt idx="1615">
                  <c:v>61.655850636044583</c:v>
                </c:pt>
                <c:pt idx="1616">
                  <c:v>61.244509893492932</c:v>
                </c:pt>
                <c:pt idx="1617">
                  <c:v>60.825383460668462</c:v>
                </c:pt>
                <c:pt idx="1618">
                  <c:v>60.399286591964227</c:v>
                </c:pt>
                <c:pt idx="1619">
                  <c:v>59.966981295631577</c:v>
                </c:pt>
                <c:pt idx="1620">
                  <c:v>59.529179207824093</c:v>
                </c:pt>
                <c:pt idx="1621">
                  <c:v>59.086544397021527</c:v>
                </c:pt>
                <c:pt idx="1622">
                  <c:v>58.639696084342781</c:v>
                </c:pt>
                <c:pt idx="1623">
                  <c:v>58.189211268882893</c:v>
                </c:pt>
                <c:pt idx="1624">
                  <c:v>57.735627250276131</c:v>
                </c:pt>
                <c:pt idx="1625">
                  <c:v>57.279444043260852</c:v>
                </c:pt>
                <c:pt idx="1626">
                  <c:v>56.821126681161566</c:v>
                </c:pt>
                <c:pt idx="1627">
                  <c:v>56.361107406965921</c:v>
                </c:pt>
                <c:pt idx="1628">
                  <c:v>55.899787752109738</c:v>
                </c:pt>
                <c:pt idx="1629">
                  <c:v>55.437540504237106</c:v>
                </c:pt>
                <c:pt idx="1630">
                  <c:v>54.974711566116127</c:v>
                </c:pt>
                <c:pt idx="1631">
                  <c:v>54.511621708600138</c:v>
                </c:pt>
                <c:pt idx="1632">
                  <c:v>54.048568221061124</c:v>
                </c:pt>
                <c:pt idx="1633">
                  <c:v>53.585826463114074</c:v>
                </c:pt>
                <c:pt idx="1634">
                  <c:v>53.123651321722896</c:v>
                </c:pt>
                <c:pt idx="1635">
                  <c:v>52.662278577950751</c:v>
                </c:pt>
                <c:pt idx="1636">
                  <c:v>52.201926187708445</c:v>
                </c:pt>
                <c:pt idx="1637">
                  <c:v>51.742795480879231</c:v>
                </c:pt>
                <c:pt idx="1638">
                  <c:v>51.285072283170038</c:v>
                </c:pt>
                <c:pt idx="1639">
                  <c:v>50.828927964969004</c:v>
                </c:pt>
                <c:pt idx="1640">
                  <c:v>50.374520421386322</c:v>
                </c:pt>
                <c:pt idx="1641">
                  <c:v>49.921994987528166</c:v>
                </c:pt>
                <c:pt idx="1642">
                  <c:v>49.47148529290763</c:v>
                </c:pt>
                <c:pt idx="1643">
                  <c:v>49.023114058738273</c:v>
                </c:pt>
                <c:pt idx="1644">
                  <c:v>48.576993841689124</c:v>
                </c:pt>
                <c:pt idx="1645">
                  <c:v>48.133227727508434</c:v>
                </c:pt>
                <c:pt idx="1646">
                  <c:v>47.69190997775025</c:v>
                </c:pt>
                <c:pt idx="1647">
                  <c:v>47.253126632665023</c:v>
                </c:pt>
                <c:pt idx="1648">
                  <c:v>46.816956073145128</c:v>
                </c:pt>
                <c:pt idx="1649">
                  <c:v>46.38346954444971</c:v>
                </c:pt>
                <c:pt idx="1650">
                  <c:v>45.952731644271338</c:v>
                </c:pt>
                <c:pt idx="1651">
                  <c:v>45.524800777551242</c:v>
                </c:pt>
                <c:pt idx="1652">
                  <c:v>45.099729580300092</c:v>
                </c:pt>
                <c:pt idx="1653">
                  <c:v>44.677565314538192</c:v>
                </c:pt>
                <c:pt idx="1654">
                  <c:v>44.258350236332774</c:v>
                </c:pt>
                <c:pt idx="1655">
                  <c:v>43.84212193878092</c:v>
                </c:pt>
                <c:pt idx="1656">
                  <c:v>43.428913671664169</c:v>
                </c:pt>
                <c:pt idx="1657">
                  <c:v>43.01875463938557</c:v>
                </c:pt>
                <c:pt idx="1658">
                  <c:v>42.611670278691143</c:v>
                </c:pt>
                <c:pt idx="1659">
                  <c:v>42.207682517575428</c:v>
                </c:pt>
                <c:pt idx="1660">
                  <c:v>41.806810016675037</c:v>
                </c:pt>
                <c:pt idx="1661">
                  <c:v>41.409068394363999</c:v>
                </c:pt>
                <c:pt idx="1662">
                  <c:v>41.01447043668076</c:v>
                </c:pt>
                <c:pt idx="1663">
                  <c:v>40.623026293137904</c:v>
                </c:pt>
                <c:pt idx="1664">
                  <c:v>40.234743659392258</c:v>
                </c:pt>
                <c:pt idx="1665">
                  <c:v>39.849627947684624</c:v>
                </c:pt>
                <c:pt idx="1666">
                  <c:v>39.467682445894312</c:v>
                </c:pt>
                <c:pt idx="1667">
                  <c:v>39.088908465994315</c:v>
                </c:pt>
                <c:pt idx="1668">
                  <c:v>38.713305482637459</c:v>
                </c:pt>
                <c:pt idx="1669">
                  <c:v>38.340871262552405</c:v>
                </c:pt>
                <c:pt idx="1670">
                  <c:v>37.971601985380318</c:v>
                </c:pt>
                <c:pt idx="1671">
                  <c:v>37.605492356538619</c:v>
                </c:pt>
                <c:pt idx="1672">
                  <c:v>37.242535712656625</c:v>
                </c:pt>
                <c:pt idx="1673">
                  <c:v>36.882724120089584</c:v>
                </c:pt>
                <c:pt idx="1674">
                  <c:v>36.526048466981699</c:v>
                </c:pt>
                <c:pt idx="1675">
                  <c:v>36.172498549315769</c:v>
                </c:pt>
                <c:pt idx="1676">
                  <c:v>35.822063151355977</c:v>
                </c:pt>
                <c:pt idx="1677">
                  <c:v>35.474730120862041</c:v>
                </c:pt>
                <c:pt idx="1678">
                  <c:v>35.130486439426193</c:v>
                </c:pt>
                <c:pt idx="1679">
                  <c:v>34.789318288259842</c:v>
                </c:pt>
                <c:pt idx="1680">
                  <c:v>34.451211109734068</c:v>
                </c:pt>
                <c:pt idx="1681">
                  <c:v>34.116149664956559</c:v>
                </c:pt>
                <c:pt idx="1682">
                  <c:v>33.784118087648238</c:v>
                </c:pt>
                <c:pt idx="1683">
                  <c:v>33.455099934564295</c:v>
                </c:pt>
                <c:pt idx="1684">
                  <c:v>33.129078232687476</c:v>
                </c:pt>
                <c:pt idx="1685">
                  <c:v>32.806035523405733</c:v>
                </c:pt>
                <c:pt idx="1686">
                  <c:v>32.48595390387166</c:v>
                </c:pt>
                <c:pt idx="1687">
                  <c:v>32.168815065727628</c:v>
                </c:pt>
                <c:pt idx="1688">
                  <c:v>31.854600331367863</c:v>
                </c:pt>
                <c:pt idx="1689">
                  <c:v>31.54329068789707</c:v>
                </c:pt>
                <c:pt idx="1690">
                  <c:v>31.234866818934247</c:v>
                </c:pt>
                <c:pt idx="1691">
                  <c:v>30.929309134400377</c:v>
                </c:pt>
                <c:pt idx="1692">
                  <c:v>30.626597798419098</c:v>
                </c:pt>
                <c:pt idx="1693">
                  <c:v>30.326712755450963</c:v>
                </c:pt>
                <c:pt idx="1694">
                  <c:v>30.029633754773606</c:v>
                </c:pt>
                <c:pt idx="1695">
                  <c:v>29.73534037341274</c:v>
                </c:pt>
                <c:pt idx="1696">
                  <c:v>29.443812037621793</c:v>
                </c:pt>
                <c:pt idx="1697">
                  <c:v>29.155028043001593</c:v>
                </c:pt>
                <c:pt idx="1698">
                  <c:v>28.868967573345351</c:v>
                </c:pt>
                <c:pt idx="1699">
                  <c:v>28.585609718288659</c:v>
                </c:pt>
                <c:pt idx="1700">
                  <c:v>28.304933489838874</c:v>
                </c:pt>
                <c:pt idx="1701">
                  <c:v>28.026917837853471</c:v>
                </c:pt>
                <c:pt idx="1702">
                  <c:v>27.75154166453234</c:v>
                </c:pt>
                <c:pt idx="1703">
                  <c:v>27.478783837984821</c:v>
                </c:pt>
                <c:pt idx="1704">
                  <c:v>27.208623204928301</c:v>
                </c:pt>
                <c:pt idx="1705">
                  <c:v>26.941038602571535</c:v>
                </c:pt>
                <c:pt idx="1706">
                  <c:v>26.676008869732442</c:v>
                </c:pt>
                <c:pt idx="1707">
                  <c:v>26.413512857236928</c:v>
                </c:pt>
                <c:pt idx="1708">
                  <c:v>26.153529437642344</c:v>
                </c:pt>
                <c:pt idx="1709">
                  <c:v>25.896037514326355</c:v>
                </c:pt>
                <c:pt idx="1710">
                  <c:v>25.641016029979504</c:v>
                </c:pt>
                <c:pt idx="1711">
                  <c:v>25.388443974537232</c:v>
                </c:pt>
                <c:pt idx="1712">
                  <c:v>25.138300392584988</c:v>
                </c:pt>
                <c:pt idx="1713">
                  <c:v>24.890564390267848</c:v>
                </c:pt>
                <c:pt idx="1714">
                  <c:v>24.645215141734173</c:v>
                </c:pt>
                <c:pt idx="1715">
                  <c:v>24.402231895140996</c:v>
                </c:pt>
                <c:pt idx="1716">
                  <c:v>24.161593978247073</c:v>
                </c:pt>
                <c:pt idx="1717">
                  <c:v>23.923280803617978</c:v>
                </c:pt>
                <c:pt idx="1718">
                  <c:v>23.68727187346612</c:v>
                </c:pt>
                <c:pt idx="1719">
                  <c:v>23.45354678414715</c:v>
                </c:pt>
                <c:pt idx="1720">
                  <c:v>23.222085230332922</c:v>
                </c:pt>
                <c:pt idx="1721">
                  <c:v>22.992867008879948</c:v>
                </c:pt>
                <c:pt idx="1722">
                  <c:v>22.765872022411159</c:v>
                </c:pt>
                <c:pt idx="1723">
                  <c:v>22.541080282627689</c:v>
                </c:pt>
                <c:pt idx="1724">
                  <c:v>22.318471913366398</c:v>
                </c:pt>
                <c:pt idx="1725">
                  <c:v>22.098027153417959</c:v>
                </c:pt>
                <c:pt idx="1726">
                  <c:v>21.879726359119378</c:v>
                </c:pt>
                <c:pt idx="1727">
                  <c:v>21.663550006734038</c:v>
                </c:pt>
                <c:pt idx="1728">
                  <c:v>21.449478694631598</c:v>
                </c:pt>
                <c:pt idx="1729">
                  <c:v>21.237493145279306</c:v>
                </c:pt>
                <c:pt idx="1730">
                  <c:v>21.027574207055657</c:v>
                </c:pt>
                <c:pt idx="1731">
                  <c:v>20.819702855896672</c:v>
                </c:pt>
                <c:pt idx="1732">
                  <c:v>20.613860196784419</c:v>
                </c:pt>
                <c:pt idx="1733">
                  <c:v>20.41002746508698</c:v>
                </c:pt>
                <c:pt idx="1734">
                  <c:v>20.208186027758373</c:v>
                </c:pt>
                <c:pt idx="1735">
                  <c:v>20.008317384406546</c:v>
                </c:pt>
                <c:pt idx="1736">
                  <c:v>19.810403168237098</c:v>
                </c:pt>
                <c:pt idx="1737">
                  <c:v>19.614425146879888</c:v>
                </c:pt>
                <c:pt idx="1738">
                  <c:v>19.420365223105328</c:v>
                </c:pt>
                <c:pt idx="1739">
                  <c:v>19.22820543543676</c:v>
                </c:pt>
                <c:pt idx="1740">
                  <c:v>19.037927958664945</c:v>
                </c:pt>
                <c:pt idx="1741">
                  <c:v>18.849515104270381</c:v>
                </c:pt>
                <c:pt idx="1742">
                  <c:v>18.662949320758816</c:v>
                </c:pt>
                <c:pt idx="1743">
                  <c:v>18.478213193915003</c:v>
                </c:pt>
                <c:pt idx="1744">
                  <c:v>18.295289446979549</c:v>
                </c:pt>
                <c:pt idx="1745">
                  <c:v>18.114160940753315</c:v>
                </c:pt>
                <c:pt idx="1746">
                  <c:v>17.93481067363372</c:v>
                </c:pt>
                <c:pt idx="1747">
                  <c:v>17.757221781586889</c:v>
                </c:pt>
                <c:pt idx="1748">
                  <c:v>17.581377538059559</c:v>
                </c:pt>
                <c:pt idx="1749">
                  <c:v>17.407261353834272</c:v>
                </c:pt>
                <c:pt idx="1750">
                  <c:v>17.234856776831304</c:v>
                </c:pt>
                <c:pt idx="1751">
                  <c:v>17.064147491860542</c:v>
                </c:pt>
                <c:pt idx="1752">
                  <c:v>16.895117320326339</c:v>
                </c:pt>
                <c:pt idx="1753">
                  <c:v>16.727750219888243</c:v>
                </c:pt>
                <c:pt idx="1754">
                  <c:v>16.562030284080322</c:v>
                </c:pt>
                <c:pt idx="1755">
                  <c:v>16.397941741891646</c:v>
                </c:pt>
                <c:pt idx="1756">
                  <c:v>16.235468957310378</c:v>
                </c:pt>
                <c:pt idx="1757">
                  <c:v>16.074596428833757</c:v>
                </c:pt>
                <c:pt idx="1758">
                  <c:v>15.915308788946195</c:v>
                </c:pt>
                <c:pt idx="1759">
                  <c:v>15.75759080356749</c:v>
                </c:pt>
                <c:pt idx="1760">
                  <c:v>15.601427371473161</c:v>
                </c:pt>
                <c:pt idx="1761">
                  <c:v>15.446803523688732</c:v>
                </c:pt>
                <c:pt idx="1762">
                  <c:v>15.293704422859706</c:v>
                </c:pt>
                <c:pt idx="1763">
                  <c:v>15.142115362598902</c:v>
                </c:pt>
                <c:pt idx="1764">
                  <c:v>14.992021766812702</c:v>
                </c:pt>
                <c:pt idx="1765">
                  <c:v>14.843409189007717</c:v>
                </c:pt>
                <c:pt idx="1766">
                  <c:v>14.696263311579253</c:v>
                </c:pt>
                <c:pt idx="1767">
                  <c:v>14.550569945082927</c:v>
                </c:pt>
                <c:pt idx="1768">
                  <c:v>14.40631502749067</c:v>
                </c:pt>
                <c:pt idx="1769">
                  <c:v>14.263484623432335</c:v>
                </c:pt>
                <c:pt idx="1770">
                  <c:v>14.122064923424025</c:v>
                </c:pt>
                <c:pt idx="1771">
                  <c:v>13.98204224308421</c:v>
                </c:pt>
                <c:pt idx="1772">
                  <c:v>13.843403022338652</c:v>
                </c:pt>
                <c:pt idx="1773">
                  <c:v>13.706133824615092</c:v>
                </c:pt>
                <c:pt idx="1774">
                  <c:v>13.570221336028617</c:v>
                </c:pt>
                <c:pt idx="1775">
                  <c:v>13.435652364558548</c:v>
                </c:pt>
                <c:pt idx="1776">
                  <c:v>13.302413839217696</c:v>
                </c:pt>
                <c:pt idx="1777">
                  <c:v>13.170492809214711</c:v>
                </c:pt>
                <c:pt idx="1778">
                  <c:v>13.039876443110304</c:v>
                </c:pt>
                <c:pt idx="1779">
                  <c:v>12.910552027967999</c:v>
                </c:pt>
                <c:pt idx="1780">
                  <c:v>12.782506968500083</c:v>
                </c:pt>
                <c:pt idx="1781">
                  <c:v>12.655728786209373</c:v>
                </c:pt>
                <c:pt idx="1782">
                  <c:v>12.530205118527382</c:v>
                </c:pt>
                <c:pt idx="1783">
                  <c:v>12.405923717949452</c:v>
                </c:pt>
                <c:pt idx="1784">
                  <c:v>12.282872451167355</c:v>
                </c:pt>
                <c:pt idx="1785">
                  <c:v>12.161039298199888</c:v>
                </c:pt>
                <c:pt idx="1786">
                  <c:v>12.040412351521917</c:v>
                </c:pt>
                <c:pt idx="1787">
                  <c:v>11.9209798151923</c:v>
                </c:pt>
                <c:pt idx="1788">
                  <c:v>11.80273000398115</c:v>
                </c:pt>
                <c:pt idx="1789">
                  <c:v>11.685651342496795</c:v>
                </c:pt>
                <c:pt idx="1790">
                  <c:v>11.569732364312836</c:v>
                </c:pt>
                <c:pt idx="1791">
                  <c:v>11.454961711095638</c:v>
                </c:pt>
                <c:pt idx="1792">
                  <c:v>11.341328131732618</c:v>
                </c:pt>
                <c:pt idx="1793">
                  <c:v>11.228820481461611</c:v>
                </c:pt>
                <c:pt idx="1794">
                  <c:v>11.117427721001651</c:v>
                </c:pt>
                <c:pt idx="1795">
                  <c:v>11.007138915685411</c:v>
                </c:pt>
                <c:pt idx="1796">
                  <c:v>10.897943234593606</c:v>
                </c:pt>
                <c:pt idx="1797">
                  <c:v>10.789829949691578</c:v>
                </c:pt>
                <c:pt idx="1798">
                  <c:v>10.682788434968316</c:v>
                </c:pt>
                <c:pt idx="1799">
                  <c:v>10.576808165578131</c:v>
                </c:pt>
                <c:pt idx="1800">
                  <c:v>10.471878716985204</c:v>
                </c:pt>
                <c:pt idx="1801">
                  <c:v>10.367989764111181</c:v>
                </c:pt>
                <c:pt idx="1802">
                  <c:v>10.265131080486025</c:v>
                </c:pt>
                <c:pt idx="1803">
                  <c:v>10.16329253740229</c:v>
                </c:pt>
                <c:pt idx="1804">
                  <c:v>10.062464103072976</c:v>
                </c:pt>
                <c:pt idx="1805">
                  <c:v>9.9626358417931247</c:v>
                </c:pt>
                <c:pt idx="1806">
                  <c:v>9.8637979131052997</c:v>
                </c:pt>
                <c:pt idx="1807">
                  <c:v>9.7659405709690841</c:v>
                </c:pt>
                <c:pt idx="1808">
                  <c:v>9.6690541629347226</c:v>
                </c:pt>
                <c:pt idx="1809">
                  <c:v>9.5731291293210159</c:v>
                </c:pt>
                <c:pt idx="1810">
                  <c:v>9.4781560023976041</c:v>
                </c:pt>
                <c:pt idx="1811">
                  <c:v>9.3841254055717052</c:v>
                </c:pt>
                <c:pt idx="1812">
                  <c:v>9.2910280525794331</c:v>
                </c:pt>
                <c:pt idx="1813">
                  <c:v>9.1988547466817732</c:v>
                </c:pt>
                <c:pt idx="1814">
                  <c:v>9.1075963798652904</c:v>
                </c:pt>
                <c:pt idx="1815">
                  <c:v>9.0172439320476592</c:v>
                </c:pt>
                <c:pt idx="1816">
                  <c:v>8.9277884702880712</c:v>
                </c:pt>
                <c:pt idx="1817">
                  <c:v>8.8392211480026006</c:v>
                </c:pt>
                <c:pt idx="1818">
                  <c:v>8.7515332041845735</c:v>
                </c:pt>
                <c:pt idx="1819">
                  <c:v>8.6647159626300017</c:v>
                </c:pt>
                <c:pt idx="1820">
                  <c:v>8.5787608311681272</c:v>
                </c:pt>
                <c:pt idx="1821">
                  <c:v>8.4936593008971251</c:v>
                </c:pt>
                <c:pt idx="1822">
                  <c:v>8.4094029454250041</c:v>
                </c:pt>
                <c:pt idx="1823">
                  <c:v>8.3259834201157439</c:v>
                </c:pt>
                <c:pt idx="1824">
                  <c:v>8.2433924613406901</c:v>
                </c:pt>
                <c:pt idx="1825">
                  <c:v>8.1616218857352614</c:v>
                </c:pt>
                <c:pt idx="1826">
                  <c:v>8.0806635894609578</c:v>
                </c:pt>
                <c:pt idx="1827">
                  <c:v>8.0005095474727277</c:v>
                </c:pt>
                <c:pt idx="1828">
                  <c:v>7.92115181279169</c:v>
                </c:pt>
                <c:pt idx="1829">
                  <c:v>7.8425825157832341</c:v>
                </c:pt>
                <c:pt idx="1830">
                  <c:v>7.7647938634405111</c:v>
                </c:pt>
                <c:pt idx="1831">
                  <c:v>7.687778138673325</c:v>
                </c:pt>
                <c:pt idx="1832">
                  <c:v>7.611527699602437</c:v>
                </c:pt>
                <c:pt idx="1833">
                  <c:v>7.5360349788592735</c:v>
                </c:pt>
                <c:pt idx="1834">
                  <c:v>7.4612924828910598</c:v>
                </c:pt>
                <c:pt idx="1835">
                  <c:v>7.3872927912713662</c:v>
                </c:pt>
                <c:pt idx="1836">
                  <c:v>7.3140285560160718</c:v>
                </c:pt>
                <c:pt idx="1837">
                  <c:v>7.2414925009047373</c:v>
                </c:pt>
                <c:pt idx="1838">
                  <c:v>7.1696774208073872</c:v>
                </c:pt>
                <c:pt idx="1839">
                  <c:v>7.0985761810166901</c:v>
                </c:pt>
                <c:pt idx="1840">
                  <c:v>7.0281817165855305</c:v>
                </c:pt>
                <c:pt idx="1841">
                  <c:v>6.958487031669959</c:v>
                </c:pt>
                <c:pt idx="1842">
                  <c:v>6.8894851988775141</c:v>
                </c:pt>
                <c:pt idx="1843">
                  <c:v>6.8211693586208959</c:v>
                </c:pt>
                <c:pt idx="1844">
                  <c:v>6.7535327184769782</c:v>
                </c:pt>
                <c:pt idx="1845">
                  <c:v>6.6865685525511509</c:v>
                </c:pt>
                <c:pt idx="1846">
                  <c:v>6.6202702008469636</c:v>
                </c:pt>
                <c:pt idx="1847">
                  <c:v>6.5546310686410587</c:v>
                </c:pt>
                <c:pt idx="1848">
                  <c:v>6.4896446258633729</c:v>
                </c:pt>
                <c:pt idx="1849">
                  <c:v>6.4253044064825895</c:v>
                </c:pt>
                <c:pt idx="1850">
                  <c:v>6.3616040078968155</c:v>
                </c:pt>
                <c:pt idx="1851">
                  <c:v>6.2985370903294644</c:v>
                </c:pt>
                <c:pt idx="1852">
                  <c:v>6.2360973762303145</c:v>
                </c:pt>
                <c:pt idx="1853">
                  <c:v>6.1742786496817343</c:v>
                </c:pt>
                <c:pt idx="1854">
                  <c:v>6.1130747558100325</c:v>
                </c:pt>
                <c:pt idx="1855">
                  <c:v>6.0524796002019157</c:v>
                </c:pt>
                <c:pt idx="1856">
                  <c:v>5.9924871483260311</c:v>
                </c:pt>
                <c:pt idx="1857">
                  <c:v>5.9330914249595557</c:v>
                </c:pt>
                <c:pt idx="1858">
                  <c:v>5.8742865136198219</c:v>
                </c:pt>
                <c:pt idx="1859">
                  <c:v>5.8160665560009308</c:v>
                </c:pt>
                <c:pt idx="1860">
                  <c:v>5.7584257514153432</c:v>
                </c:pt>
                <c:pt idx="1861">
                  <c:v>5.7013583562404078</c:v>
                </c:pt>
                <c:pt idx="1862">
                  <c:v>5.6448586833698045</c:v>
                </c:pt>
                <c:pt idx="1863">
                  <c:v>5.588921101669869</c:v>
                </c:pt>
                <c:pt idx="1864">
                  <c:v>5.5335400354407644</c:v>
                </c:pt>
                <c:pt idx="1865">
                  <c:v>5.4787099638824825</c:v>
                </c:pt>
                <c:pt idx="1866">
                  <c:v>5.4244254205656324</c:v>
                </c:pt>
                <c:pt idx="1867">
                  <c:v>5.3706809929069843</c:v>
                </c:pt>
                <c:pt idx="1868">
                  <c:v>5.3174713216497507</c:v>
                </c:pt>
                <c:pt idx="1869">
                  <c:v>5.2647911003485577</c:v>
                </c:pt>
                <c:pt idx="1870">
                  <c:v>5.212635074859084</c:v>
                </c:pt>
                <c:pt idx="1871">
                  <c:v>5.1609980428323325</c:v>
                </c:pt>
                <c:pt idx="1872">
                  <c:v>5.1098748532135048</c:v>
                </c:pt>
                <c:pt idx="1873">
                  <c:v>5.05926040574544</c:v>
                </c:pt>
                <c:pt idx="1874">
                  <c:v>5.0091496504765942</c:v>
                </c:pt>
                <c:pt idx="1875">
                  <c:v>4.9595375872735232</c:v>
                </c:pt>
                <c:pt idx="1876">
                  <c:v>4.9104192653378327</c:v>
                </c:pt>
                <c:pt idx="1877">
                  <c:v>4.8617897827275716</c:v>
                </c:pt>
                <c:pt idx="1878">
                  <c:v>4.8136442858830284</c:v>
                </c:pt>
                <c:pt idx="1879">
                  <c:v>4.7659779691568991</c:v>
                </c:pt>
                <c:pt idx="1880">
                  <c:v>4.7187860743487979</c:v>
                </c:pt>
                <c:pt idx="1881">
                  <c:v>4.6720638902440736</c:v>
                </c:pt>
                <c:pt idx="1882">
                  <c:v>4.6258067521568993</c:v>
                </c:pt>
                <c:pt idx="1883">
                  <c:v>4.5800100414776015</c:v>
                </c:pt>
                <c:pt idx="1884">
                  <c:v>4.5346691852242031</c:v>
                </c:pt>
                <c:pt idx="1885">
                  <c:v>4.4897796555981362</c:v>
                </c:pt>
                <c:pt idx="1886">
                  <c:v>4.4453369695440967</c:v>
                </c:pt>
                <c:pt idx="1887">
                  <c:v>4.4013366883140153</c:v>
                </c:pt>
                <c:pt idx="1888">
                  <c:v>4.3577744170350963</c:v>
                </c:pt>
                <c:pt idx="1889">
                  <c:v>4.3146458042819091</c:v>
                </c:pt>
                <c:pt idx="1890">
                  <c:v>4.2719465416524836</c:v>
                </c:pt>
                <c:pt idx="1891">
                  <c:v>4.2296723633483886</c:v>
                </c:pt>
                <c:pt idx="1892">
                  <c:v>4.1878190457587579</c:v>
                </c:pt>
                <c:pt idx="1893">
                  <c:v>4.1463824070482262</c:v>
                </c:pt>
                <c:pt idx="1894">
                  <c:v>4.1053583067487516</c:v>
                </c:pt>
                <c:pt idx="1895">
                  <c:v>4.0647426453552828</c:v>
                </c:pt>
                <c:pt idx="1896">
                  <c:v>4.0245313639252478</c:v>
                </c:pt>
                <c:pt idx="1897">
                  <c:v>3.9847204436818271</c:v>
                </c:pt>
                <c:pt idx="1898">
                  <c:v>3.9453059056209807</c:v>
                </c:pt>
                <c:pt idx="1899">
                  <c:v>3.9062838101221966</c:v>
                </c:pt>
                <c:pt idx="1900">
                  <c:v>3.8676502565629312</c:v>
                </c:pt>
                <c:pt idx="1901">
                  <c:v>3.8294013829367088</c:v>
                </c:pt>
                <c:pt idx="1902">
                  <c:v>3.7915333654748493</c:v>
                </c:pt>
                <c:pt idx="1903">
                  <c:v>3.7540424182717902</c:v>
                </c:pt>
                <c:pt idx="1904">
                  <c:v>3.7169247929139804</c:v>
                </c:pt>
                <c:pt idx="1905">
                  <c:v>3.6801767781123034</c:v>
                </c:pt>
                <c:pt idx="1906">
                  <c:v>3.6437946993380086</c:v>
                </c:pt>
                <c:pt idx="1907">
                  <c:v>3.6077749184621148</c:v>
                </c:pt>
                <c:pt idx="1908">
                  <c:v>3.5721138333982601</c:v>
                </c:pt>
                <c:pt idx="1909">
                  <c:v>3.5368078777489629</c:v>
                </c:pt>
                <c:pt idx="1910">
                  <c:v>3.5018535204552688</c:v>
                </c:pt>
                <c:pt idx="1911">
                  <c:v>3.4672472654497493</c:v>
                </c:pt>
                <c:pt idx="1912">
                  <c:v>3.4329856513128281</c:v>
                </c:pt>
                <c:pt idx="1913">
                  <c:v>3.3990652509324</c:v>
                </c:pt>
                <c:pt idx="1914">
                  <c:v>3.3654826711667156</c:v>
                </c:pt>
                <c:pt idx="1915">
                  <c:v>3.3322345525105046</c:v>
                </c:pt>
                <c:pt idx="1916">
                  <c:v>3.2993175687643057</c:v>
                </c:pt>
                <c:pt idx="1917">
                  <c:v>3.2667284267069752</c:v>
                </c:pt>
                <c:pt idx="1918">
                  <c:v>3.2344638657713487</c:v>
                </c:pt>
                <c:pt idx="1919">
                  <c:v>3.2025206577230225</c:v>
                </c:pt>
                <c:pt idx="1920">
                  <c:v>3.1708956063422304</c:v>
                </c:pt>
                <c:pt idx="1921">
                  <c:v>3.1395855471087883</c:v>
                </c:pt>
                <c:pt idx="1922">
                  <c:v>3.1085873468900758</c:v>
                </c:pt>
                <c:pt idx="1923">
                  <c:v>3.077897903632028</c:v>
                </c:pt>
                <c:pt idx="1924">
                  <c:v>3.047514146053115</c:v>
                </c:pt>
                <c:pt idx="1925">
                  <c:v>3.0174330333412747</c:v>
                </c:pt>
                <c:pt idx="1926">
                  <c:v>2.987651554853775</c:v>
                </c:pt>
                <c:pt idx="1927">
                  <c:v>2.9581667298199825</c:v>
                </c:pt>
                <c:pt idx="1928">
                  <c:v>2.9289756070470045</c:v>
                </c:pt>
                <c:pt idx="1929">
                  <c:v>2.9000752646281813</c:v>
                </c:pt>
                <c:pt idx="1930">
                  <c:v>2.8714628096544046</c:v>
                </c:pt>
                <c:pt idx="1931">
                  <c:v>2.843135377928232</c:v>
                </c:pt>
                <c:pt idx="1932">
                  <c:v>2.8150901336807732</c:v>
                </c:pt>
                <c:pt idx="1933">
                  <c:v>2.7873242692913247</c:v>
                </c:pt>
                <c:pt idx="1934">
                  <c:v>2.7598350050097245</c:v>
                </c:pt>
                <c:pt idx="1935">
                  <c:v>2.7326195886814024</c:v>
                </c:pt>
                <c:pt idx="1936">
                  <c:v>2.7056752954751038</c:v>
                </c:pt>
                <c:pt idx="1937">
                  <c:v>2.6789994276132556</c:v>
                </c:pt>
                <c:pt idx="1938">
                  <c:v>2.6525893141049584</c:v>
                </c:pt>
                <c:pt idx="1939">
                  <c:v>2.6264423104815724</c:v>
                </c:pt>
                <c:pt idx="1940">
                  <c:v>2.6005557985348782</c:v>
                </c:pt>
                <c:pt idx="1941">
                  <c:v>2.5749271860577863</c:v>
                </c:pt>
                <c:pt idx="1942">
                  <c:v>2.5495539065875712</c:v>
                </c:pt>
                <c:pt idx="1943">
                  <c:v>2.5244334191516091</c:v>
                </c:pt>
                <c:pt idx="1944">
                  <c:v>2.4995632080155912</c:v>
                </c:pt>
                <c:pt idx="1945">
                  <c:v>2.4749407824341927</c:v>
                </c:pt>
                <c:pt idx="1946">
                  <c:v>2.4505636764041761</c:v>
                </c:pt>
                <c:pt idx="1947">
                  <c:v>2.4264294484199</c:v>
                </c:pt>
                <c:pt idx="1948">
                  <c:v>2.4025356812312166</c:v>
                </c:pt>
                <c:pt idx="1949">
                  <c:v>2.3788799816037316</c:v>
                </c:pt>
                <c:pt idx="1950">
                  <c:v>2.3554599800814082</c:v>
                </c:pt>
                <c:pt idx="1951">
                  <c:v>2.3322733307514878</c:v>
                </c:pt>
                <c:pt idx="1952">
                  <c:v>2.3093177110117091</c:v>
                </c:pt>
                <c:pt idx="1953">
                  <c:v>2.2865908213398054</c:v>
                </c:pt>
                <c:pt idx="1954">
                  <c:v>2.2640903850652521</c:v>
                </c:pt>
                <c:pt idx="1955">
                  <c:v>2.2418141481432508</c:v>
                </c:pt>
                <c:pt idx="1956">
                  <c:v>2.219759878930923</c:v>
                </c:pt>
                <c:pt idx="1957">
                  <c:v>2.1979253679656963</c:v>
                </c:pt>
                <c:pt idx="1958">
                  <c:v>2.1763084277458593</c:v>
                </c:pt>
                <c:pt idx="1959">
                  <c:v>2.1549068925132659</c:v>
                </c:pt>
                <c:pt idx="1960">
                  <c:v>2.1337186180381691</c:v>
                </c:pt>
                <c:pt idx="1961">
                  <c:v>2.1127414814061636</c:v>
                </c:pt>
                <c:pt idx="1962">
                  <c:v>2.0919733808072158</c:v>
                </c:pt>
                <c:pt idx="1963">
                  <c:v>2.0714122353267634</c:v>
                </c:pt>
                <c:pt idx="1964">
                  <c:v>2.0510559847388636</c:v>
                </c:pt>
                <c:pt idx="1965">
                  <c:v>2.0309025893013715</c:v>
                </c:pt>
                <c:pt idx="1966">
                  <c:v>2.0109500295531251</c:v>
                </c:pt>
                <c:pt idx="1967">
                  <c:v>1.9911963061131255</c:v>
                </c:pt>
                <c:pt idx="1968">
                  <c:v>1.9716394394816859</c:v>
                </c:pt>
                <c:pt idx="1969">
                  <c:v>1.9522774698435332</c:v>
                </c:pt>
                <c:pt idx="1970">
                  <c:v>1.9331084568728452</c:v>
                </c:pt>
                <c:pt idx="1971">
                  <c:v>1.9141304795402012</c:v>
                </c:pt>
                <c:pt idx="1972">
                  <c:v>1.8953416359214317</c:v>
                </c:pt>
                <c:pt idx="1973">
                  <c:v>1.8767400430083458</c:v>
                </c:pt>
                <c:pt idx="1974">
                  <c:v>1.8583238365213191</c:v>
                </c:pt>
                <c:pt idx="1975">
                  <c:v>1.8400911707237249</c:v>
                </c:pt>
                <c:pt idx="1976">
                  <c:v>1.8220402182381907</c:v>
                </c:pt>
                <c:pt idx="1977">
                  <c:v>1.8041691698646622</c:v>
                </c:pt>
                <c:pt idx="1978">
                  <c:v>1.7864762344002572</c:v>
                </c:pt>
                <c:pt idx="1979">
                  <c:v>1.7689596384608921</c:v>
                </c:pt>
                <c:pt idx="1980">
                  <c:v>1.7516176263046652</c:v>
                </c:pt>
                <c:pt idx="1981">
                  <c:v>1.7344484596569778</c:v>
                </c:pt>
                <c:pt idx="1982">
                  <c:v>1.7174504175373775</c:v>
                </c:pt>
                <c:pt idx="1983">
                  <c:v>1.7006217960881083</c:v>
                </c:pt>
                <c:pt idx="1984">
                  <c:v>1.6839609084043472</c:v>
                </c:pt>
                <c:pt idx="1985">
                  <c:v>1.667466084366116</c:v>
                </c:pt>
                <c:pt idx="1986">
                  <c:v>1.6511356704718474</c:v>
                </c:pt>
                <c:pt idx="1987">
                  <c:v>1.6349680296735927</c:v>
                </c:pt>
                <c:pt idx="1988">
                  <c:v>1.6189615412138536</c:v>
                </c:pt>
                <c:pt idx="1989">
                  <c:v>1.6031146004640231</c:v>
                </c:pt>
                <c:pt idx="1990">
                  <c:v>1.5874256187644196</c:v>
                </c:pt>
                <c:pt idx="1991">
                  <c:v>1.5718930232658979</c:v>
                </c:pt>
                <c:pt idx="1992">
                  <c:v>1.556515256773024</c:v>
                </c:pt>
                <c:pt idx="1993">
                  <c:v>1.5412907775887958</c:v>
                </c:pt>
                <c:pt idx="1994">
                  <c:v>1.5262180593608972</c:v>
                </c:pt>
                <c:pt idx="1995">
                  <c:v>1.5112955909294687</c:v>
                </c:pt>
                <c:pt idx="1996">
                  <c:v>1.4965218761763814</c:v>
                </c:pt>
                <c:pt idx="1997">
                  <c:v>1.4818954338759989</c:v>
                </c:pt>
                <c:pt idx="1998">
                  <c:v>1.4674147975474114</c:v>
                </c:pt>
                <c:pt idx="1999">
                  <c:v>1.453078515308132</c:v>
                </c:pt>
                <c:pt idx="2000">
                  <c:v>1.4388851497292345</c:v>
                </c:pt>
                <c:pt idx="2001">
                  <c:v>1.4248332776919252</c:v>
                </c:pt>
                <c:pt idx="2002">
                  <c:v>1.4109214902455298</c:v>
                </c:pt>
                <c:pt idx="2003">
                  <c:v>1.3971483924668839</c:v>
                </c:pt>
                <c:pt idx="2004">
                  <c:v>1.3835126033211143</c:v>
                </c:pt>
                <c:pt idx="2005">
                  <c:v>1.3700127555237949</c:v>
                </c:pt>
                <c:pt idx="2006">
                  <c:v>1.3566474954044658</c:v>
                </c:pt>
                <c:pt idx="2007">
                  <c:v>1.3434154827715015</c:v>
                </c:pt>
                <c:pt idx="2008">
                  <c:v>1.3303153907783156</c:v>
                </c:pt>
                <c:pt idx="2009">
                  <c:v>1.3173459057908887</c:v>
                </c:pt>
                <c:pt idx="2010">
                  <c:v>1.3045057272566056</c:v>
                </c:pt>
                <c:pt idx="2011">
                  <c:v>1.2917935675743917</c:v>
                </c:pt>
                <c:pt idx="2012">
                  <c:v>1.2792081519661318</c:v>
                </c:pt>
                <c:pt idx="2013">
                  <c:v>1.2667482183493635</c:v>
                </c:pt>
                <c:pt idx="2014">
                  <c:v>1.2544125172112284</c:v>
                </c:pt>
                <c:pt idx="2015">
                  <c:v>1.2421998114836721</c:v>
                </c:pt>
                <c:pt idx="2016">
                  <c:v>1.2301088764198786</c:v>
                </c:pt>
                <c:pt idx="2017">
                  <c:v>1.2181384994719291</c:v>
                </c:pt>
                <c:pt idx="2018">
                  <c:v>1.2062874801696699</c:v>
                </c:pt>
                <c:pt idx="2019">
                  <c:v>1.1945546300007819</c:v>
                </c:pt>
                <c:pt idx="2020">
                  <c:v>1.1829387722920366</c:v>
                </c:pt>
                <c:pt idx="2021">
                  <c:v>1.1714387420917283</c:v>
                </c:pt>
                <c:pt idx="2022">
                  <c:v>1.1600533860532707</c:v>
                </c:pt>
                <c:pt idx="2023">
                  <c:v>1.1487815623199467</c:v>
                </c:pt>
                <c:pt idx="2024">
                  <c:v>1.1376221404108002</c:v>
                </c:pt>
                <c:pt idx="2025">
                  <c:v>1.1265740011076584</c:v>
                </c:pt>
                <c:pt idx="2026">
                  <c:v>1.1156360363432729</c:v>
                </c:pt>
                <c:pt idx="2027">
                  <c:v>1.1048071490905711</c:v>
                </c:pt>
                <c:pt idx="2028">
                  <c:v>1.0940862532530031</c:v>
                </c:pt>
                <c:pt idx="2029">
                  <c:v>1.0834722735559776</c:v>
                </c:pt>
                <c:pt idx="2030">
                  <c:v>1.072964145439373</c:v>
                </c:pt>
                <c:pt idx="2031">
                  <c:v>1.0625608149511139</c:v>
                </c:pt>
                <c:pt idx="2032">
                  <c:v>1.0522612386418035</c:v>
                </c:pt>
                <c:pt idx="2033">
                  <c:v>1.0420643834604013</c:v>
                </c:pt>
                <c:pt idx="2034">
                  <c:v>1.0319692266509344</c:v>
                </c:pt>
                <c:pt idx="2035">
                  <c:v>1.0219747556502337</c:v>
                </c:pt>
                <c:pt idx="2036">
                  <c:v>1.0120799679866856</c:v>
                </c:pt>
                <c:pt idx="2037">
                  <c:v>1.0022838711799864</c:v>
                </c:pt>
                <c:pt idx="2038">
                  <c:v>0.99258548264189228</c:v>
                </c:pt>
                <c:pt idx="2039">
                  <c:v>0.9829838295779546</c:v>
                </c:pt>
                <c:pt idx="2040">
                  <c:v>0.97347794889022954</c:v>
                </c:pt>
                <c:pt idx="2041">
                  <c:v>0.96406688708095356</c:v>
                </c:pt>
                <c:pt idx="2042">
                  <c:v>0.95474970015717542</c:v>
                </c:pt>
                <c:pt idx="2043">
                  <c:v>0.94552545353633433</c:v>
                </c:pt>
                <c:pt idx="2044">
                  <c:v>0.93639322195277586</c:v>
                </c:pt>
                <c:pt idx="2045">
                  <c:v>0.92735208936519609</c:v>
                </c:pt>
                <c:pt idx="2046">
                  <c:v>0.91840114886500479</c:v>
                </c:pt>
                <c:pt idx="2047">
                  <c:v>0.90953950258559835</c:v>
                </c:pt>
                <c:pt idx="2048">
                  <c:v>0.90076626161253437</c:v>
                </c:pt>
                <c:pt idx="2049">
                  <c:v>0.89208054589459795</c:v>
                </c:pt>
                <c:pt idx="2050">
                  <c:v>0.88348148415575189</c:v>
                </c:pt>
                <c:pt idx="2051">
                  <c:v>0.87496821380796153</c:v>
                </c:pt>
                <c:pt idx="2052">
                  <c:v>0.86653988086488554</c:v>
                </c:pt>
                <c:pt idx="2053">
                  <c:v>0.85819563985642444</c:v>
                </c:pt>
                <c:pt idx="2054">
                  <c:v>0.84993465374411847</c:v>
                </c:pt>
                <c:pt idx="2055">
                  <c:v>0.8417560938373867</c:v>
                </c:pt>
                <c:pt idx="2056">
                  <c:v>0.8336591397105978</c:v>
                </c:pt>
                <c:pt idx="2057">
                  <c:v>0.82564297912096585</c:v>
                </c:pt>
                <c:pt idx="2058">
                  <c:v>0.81770680792726247</c:v>
                </c:pt>
                <c:pt idx="2059">
                  <c:v>0.80984983000933675</c:v>
                </c:pt>
                <c:pt idx="2060">
                  <c:v>0.80207125718843597</c:v>
                </c:pt>
                <c:pt idx="2061">
                  <c:v>0.79437030914831841</c:v>
                </c:pt>
                <c:pt idx="2062">
                  <c:v>0.78674621335715089</c:v>
                </c:pt>
                <c:pt idx="2063">
                  <c:v>0.77919820499018322</c:v>
                </c:pt>
                <c:pt idx="2064">
                  <c:v>0.77172552685319185</c:v>
                </c:pt>
                <c:pt idx="2065">
                  <c:v>0.76432742930668518</c:v>
                </c:pt>
                <c:pt idx="2066">
                  <c:v>0.75700317019086316</c:v>
                </c:pt>
                <c:pt idx="2067">
                  <c:v>0.74975201475132347</c:v>
                </c:pt>
                <c:pt idx="2068">
                  <c:v>0.74257323556550714</c:v>
                </c:pt>
                <c:pt idx="2069">
                  <c:v>0.73546611246987648</c:v>
                </c:pt>
                <c:pt idx="2070">
                  <c:v>0.72842993248781762</c:v>
                </c:pt>
                <c:pt idx="2071">
                  <c:v>0.72146398975826087</c:v>
                </c:pt>
                <c:pt idx="2072">
                  <c:v>0.71456758546501209</c:v>
                </c:pt>
                <c:pt idx="2073">
                  <c:v>0.70774002776678724</c:v>
                </c:pt>
                <c:pt idx="2074">
                  <c:v>0.70098063172794434</c:v>
                </c:pt>
                <c:pt idx="2075">
                  <c:v>0.69428871924990476</c:v>
                </c:pt>
                <c:pt idx="2076">
                  <c:v>0.68766361900325801</c:v>
                </c:pt>
                <c:pt idx="2077">
                  <c:v>0.68110466636054268</c:v>
                </c:pt>
                <c:pt idx="2078">
                  <c:v>0.67461120332969715</c:v>
                </c:pt>
                <c:pt idx="2079">
                  <c:v>0.66818257848817364</c:v>
                </c:pt>
                <c:pt idx="2080">
                  <c:v>0.66181814691770868</c:v>
                </c:pt>
                <c:pt idx="2081">
                  <c:v>0.6555172701397437</c:v>
                </c:pt>
                <c:pt idx="2082">
                  <c:v>0.64927931605148947</c:v>
                </c:pt>
                <c:pt idx="2083">
                  <c:v>0.64310365886262799</c:v>
                </c:pt>
                <c:pt idx="2084">
                  <c:v>0.63698967903264514</c:v>
                </c:pt>
                <c:pt idx="2085">
                  <c:v>0.63093676320878889</c:v>
                </c:pt>
                <c:pt idx="2086">
                  <c:v>0.62494430416464553</c:v>
                </c:pt>
                <c:pt idx="2087">
                  <c:v>0.61901170073932943</c:v>
                </c:pt>
                <c:pt idx="2088">
                  <c:v>0.61313835777727832</c:v>
                </c:pt>
                <c:pt idx="2089">
                  <c:v>0.60732368606865028</c:v>
                </c:pt>
                <c:pt idx="2090">
                  <c:v>0.60156710229031507</c:v>
                </c:pt>
                <c:pt idx="2091">
                  <c:v>0.5958680289474344</c:v>
                </c:pt>
                <c:pt idx="2092">
                  <c:v>0.590225894315625</c:v>
                </c:pt>
                <c:pt idx="2093">
                  <c:v>0.58464013238369972</c:v>
                </c:pt>
                <c:pt idx="2094">
                  <c:v>0.57911018279697968</c:v>
                </c:pt>
                <c:pt idx="2095">
                  <c:v>0.57363549080117304</c:v>
                </c:pt>
                <c:pt idx="2096">
                  <c:v>0.56821550718681368</c:v>
                </c:pt>
                <c:pt idx="2097">
                  <c:v>0.56284968823425552</c:v>
                </c:pt>
                <c:pt idx="2098">
                  <c:v>0.55753749565921584</c:v>
                </c:pt>
                <c:pt idx="2099">
                  <c:v>0.55227839655886291</c:v>
                </c:pt>
                <c:pt idx="2100">
                  <c:v>0.54707186335844249</c:v>
                </c:pt>
                <c:pt idx="2101">
                  <c:v>0.54191737375843785</c:v>
                </c:pt>
                <c:pt idx="2102">
                  <c:v>0.53681441068225788</c:v>
                </c:pt>
                <c:pt idx="2103">
                  <c:v>0.53176246222444823</c:v>
                </c:pt>
                <c:pt idx="2104">
                  <c:v>0.52676102159942029</c:v>
                </c:pt>
                <c:pt idx="2105">
                  <c:v>0.52180958709069369</c:v>
                </c:pt>
                <c:pt idx="2106">
                  <c:v>0.5169076620006452</c:v>
                </c:pt>
                <c:pt idx="2107">
                  <c:v>0.51205475460076222</c:v>
                </c:pt>
                <c:pt idx="2108">
                  <c:v>0.50725037808239237</c:v>
                </c:pt>
                <c:pt idx="2109">
                  <c:v>0.50249405050798746</c:v>
                </c:pt>
                <c:pt idx="2110">
                  <c:v>0.49778529476283473</c:v>
                </c:pt>
                <c:pt idx="2111">
                  <c:v>0.49312363850727176</c:v>
                </c:pt>
                <c:pt idx="2112">
                  <c:v>0.48850861412938018</c:v>
                </c:pt>
                <c:pt idx="2113">
                  <c:v>0.48393975869815287</c:v>
                </c:pt>
                <c:pt idx="2114">
                  <c:v>0.47941661391713075</c:v>
                </c:pt>
                <c:pt idx="2115">
                  <c:v>0.47493872607850424</c:v>
                </c:pt>
                <c:pt idx="2116">
                  <c:v>0.47050564601767464</c:v>
                </c:pt>
                <c:pt idx="2117">
                  <c:v>0.46611692906827129</c:v>
                </c:pt>
                <c:pt idx="2118">
                  <c:v>0.46177213501762004</c:v>
                </c:pt>
                <c:pt idx="2119">
                  <c:v>0.45747082806265799</c:v>
                </c:pt>
                <c:pt idx="2120">
                  <c:v>0.45321257676629101</c:v>
                </c:pt>
                <c:pt idx="2121">
                  <c:v>0.44899695401418926</c:v>
                </c:pt>
                <c:pt idx="2122">
                  <c:v>0.44482353697201632</c:v>
                </c:pt>
                <c:pt idx="2123">
                  <c:v>0.44069190704308792</c:v>
                </c:pt>
                <c:pt idx="2124">
                  <c:v>0.436601649826456</c:v>
                </c:pt>
                <c:pt idx="2125">
                  <c:v>0.43255235507541384</c:v>
                </c:pt>
                <c:pt idx="2126">
                  <c:v>0.4285436166564186</c:v>
                </c:pt>
                <c:pt idx="2127">
                  <c:v>0.42457503250842626</c:v>
                </c:pt>
                <c:pt idx="2128">
                  <c:v>0.42064620460263608</c:v>
                </c:pt>
                <c:pt idx="2129">
                  <c:v>0.4167567389026397</c:v>
                </c:pt>
                <c:pt idx="2130">
                  <c:v>0.4129062453249715</c:v>
                </c:pt>
                <c:pt idx="2131">
                  <c:v>0.40909433770005577</c:v>
                </c:pt>
                <c:pt idx="2132">
                  <c:v>0.40532063373354754</c:v>
                </c:pt>
                <c:pt idx="2133">
                  <c:v>0.40158475496806245</c:v>
                </c:pt>
                <c:pt idx="2134">
                  <c:v>0.39788632674529256</c:v>
                </c:pt>
                <c:pt idx="2135">
                  <c:v>0.39422497816850399</c:v>
                </c:pt>
                <c:pt idx="2136">
                  <c:v>0.39060034206541255</c:v>
                </c:pt>
                <c:pt idx="2137">
                  <c:v>0.38701205495143415</c:v>
                </c:pt>
                <c:pt idx="2138">
                  <c:v>0.38345975699330603</c:v>
                </c:pt>
                <c:pt idx="2139">
                  <c:v>0.37994309197307508</c:v>
                </c:pt>
                <c:pt idx="2140">
                  <c:v>0.37646170725245026</c:v>
                </c:pt>
                <c:pt idx="2141">
                  <c:v>0.37301525373751487</c:v>
                </c:pt>
                <c:pt idx="2142">
                  <c:v>0.36960338584379576</c:v>
                </c:pt>
                <c:pt idx="2143">
                  <c:v>0.36622576146168584</c:v>
                </c:pt>
                <c:pt idx="2144">
                  <c:v>0.36288204192221624</c:v>
                </c:pt>
                <c:pt idx="2145">
                  <c:v>0.35957189196317524</c:v>
                </c:pt>
                <c:pt idx="2146">
                  <c:v>0.35629497969557017</c:v>
                </c:pt>
                <c:pt idx="2147">
                  <c:v>0.35305097657042911</c:v>
                </c:pt>
                <c:pt idx="2148">
                  <c:v>0.34983955734593947</c:v>
                </c:pt>
                <c:pt idx="2149">
                  <c:v>0.34666040005491949</c:v>
                </c:pt>
                <c:pt idx="2150">
                  <c:v>0.34351318597262032</c:v>
                </c:pt>
                <c:pt idx="2151">
                  <c:v>0.34039759958485455</c:v>
                </c:pt>
                <c:pt idx="2152">
                  <c:v>0.33731332855644913</c:v>
                </c:pt>
                <c:pt idx="2153">
                  <c:v>0.33426006370001871</c:v>
                </c:pt>
                <c:pt idx="2154">
                  <c:v>0.33123749894505644</c:v>
                </c:pt>
                <c:pt idx="2155">
                  <c:v>0.32824533130734002</c:v>
                </c:pt>
                <c:pt idx="2156">
                  <c:v>0.32528326085864878</c:v>
                </c:pt>
                <c:pt idx="2157">
                  <c:v>0.32235099069678974</c:v>
                </c:pt>
                <c:pt idx="2158">
                  <c:v>0.31944822691592922</c:v>
                </c:pt>
                <c:pt idx="2159">
                  <c:v>0.31657467857722749</c:v>
                </c:pt>
                <c:pt idx="2160">
                  <c:v>0.31373005767977308</c:v>
                </c:pt>
                <c:pt idx="2161">
                  <c:v>0.31091407913181429</c:v>
                </c:pt>
                <c:pt idx="2162">
                  <c:v>0.30812646072228522</c:v>
                </c:pt>
                <c:pt idx="2163">
                  <c:v>0.30536692309262292</c:v>
                </c:pt>
                <c:pt idx="2164">
                  <c:v>0.30263518970887343</c:v>
                </c:pt>
                <c:pt idx="2165">
                  <c:v>0.29993098683408403</c:v>
                </c:pt>
                <c:pt idx="2166">
                  <c:v>0.2972540435009785</c:v>
                </c:pt>
                <c:pt idx="2167">
                  <c:v>0.29460409148491334</c:v>
                </c:pt>
                <c:pt idx="2168">
                  <c:v>0.29198086527711203</c:v>
                </c:pt>
                <c:pt idx="2169">
                  <c:v>0.28938410205817439</c:v>
                </c:pt>
                <c:pt idx="2170">
                  <c:v>0.28681354167185924</c:v>
                </c:pt>
                <c:pt idx="2171">
                  <c:v>0.28426892659913716</c:v>
                </c:pt>
                <c:pt idx="2172">
                  <c:v>0.28175000193251104</c:v>
                </c:pt>
                <c:pt idx="2173">
                  <c:v>0.2792565153506022</c:v>
                </c:pt>
                <c:pt idx="2174">
                  <c:v>0.27678821709299906</c:v>
                </c:pt>
                <c:pt idx="2175">
                  <c:v>0.27434485993536639</c:v>
                </c:pt>
                <c:pt idx="2176">
                  <c:v>0.27192619916481275</c:v>
                </c:pt>
                <c:pt idx="2177">
                  <c:v>0.26953199255551341</c:v>
                </c:pt>
                <c:pt idx="2178">
                  <c:v>0.26716200034458654</c:v>
                </c:pt>
                <c:pt idx="2179">
                  <c:v>0.26481598520822069</c:v>
                </c:pt>
                <c:pt idx="2180">
                  <c:v>0.26249371223805068</c:v>
                </c:pt>
                <c:pt idx="2181">
                  <c:v>0.26019494891778011</c:v>
                </c:pt>
                <c:pt idx="2182">
                  <c:v>0.2579194651000481</c:v>
                </c:pt>
                <c:pt idx="2183">
                  <c:v>0.25566703298353788</c:v>
                </c:pt>
                <c:pt idx="2184">
                  <c:v>0.25343742709032541</c:v>
                </c:pt>
                <c:pt idx="2185">
                  <c:v>0.25123042424346559</c:v>
                </c:pt>
                <c:pt idx="2186">
                  <c:v>0.24904580354481393</c:v>
                </c:pt>
                <c:pt idx="2187">
                  <c:v>0.24688334635308168</c:v>
                </c:pt>
                <c:pt idx="2188">
                  <c:v>0.24474283626212243</c:v>
                </c:pt>
                <c:pt idx="2189">
                  <c:v>0.24262405907944803</c:v>
                </c:pt>
                <c:pt idx="2190">
                  <c:v>0.24052680280497163</c:v>
                </c:pt>
                <c:pt idx="2191">
                  <c:v>0.23845085760997609</c:v>
                </c:pt>
                <c:pt idx="2192">
                  <c:v>0.23639601581630579</c:v>
                </c:pt>
                <c:pt idx="2193">
                  <c:v>0.23436207187577965</c:v>
                </c:pt>
                <c:pt idx="2194">
                  <c:v>0.23234882234982382</c:v>
                </c:pt>
                <c:pt idx="2195">
                  <c:v>0.2303560658893217</c:v>
                </c:pt>
                <c:pt idx="2196">
                  <c:v>0.22838360321467974</c:v>
                </c:pt>
                <c:pt idx="2197">
                  <c:v>0.22643123709610707</c:v>
                </c:pt>
                <c:pt idx="2198">
                  <c:v>0.2244987723341072</c:v>
                </c:pt>
                <c:pt idx="2199">
                  <c:v>0.2225860157401798</c:v>
                </c:pt>
                <c:pt idx="2200">
                  <c:v>0.22069277611773111</c:v>
                </c:pt>
                <c:pt idx="2201">
                  <c:v>0.21881886424319086</c:v>
                </c:pt>
                <c:pt idx="2202">
                  <c:v>0.21696409284733439</c:v>
                </c:pt>
                <c:pt idx="2203">
                  <c:v>0.21512827659680792</c:v>
                </c:pt>
                <c:pt idx="2204">
                  <c:v>0.21331123207585542</c:v>
                </c:pt>
                <c:pt idx="2205">
                  <c:v>0.21151277776824562</c:v>
                </c:pt>
                <c:pt idx="2206">
                  <c:v>0.20973273403939716</c:v>
                </c:pt>
                <c:pt idx="2207">
                  <c:v>0.20797092311870072</c:v>
                </c:pt>
                <c:pt idx="2208">
                  <c:v>0.20622716908203617</c:v>
                </c:pt>
                <c:pt idx="2209">
                  <c:v>0.2045012978344834</c:v>
                </c:pt>
                <c:pt idx="2210">
                  <c:v>0.20279313709322541</c:v>
                </c:pt>
                <c:pt idx="2211">
                  <c:v>0.20110251637064178</c:v>
                </c:pt>
                <c:pt idx="2212">
                  <c:v>0.1994292669575915</c:v>
                </c:pt>
                <c:pt idx="2213">
                  <c:v>0.19777322190688348</c:v>
                </c:pt>
                <c:pt idx="2214">
                  <c:v>0.19613421601693326</c:v>
                </c:pt>
                <c:pt idx="2215">
                  <c:v>0.19451208581560459</c:v>
                </c:pt>
                <c:pt idx="2216">
                  <c:v>0.19290666954423472</c:v>
                </c:pt>
                <c:pt idx="2217">
                  <c:v>0.1913178071418416</c:v>
                </c:pt>
                <c:pt idx="2218">
                  <c:v>0.18974534022951214</c:v>
                </c:pt>
                <c:pt idx="2219">
                  <c:v>0.18818911209496988</c:v>
                </c:pt>
                <c:pt idx="2220">
                  <c:v>0.18664896767732098</c:v>
                </c:pt>
                <c:pt idx="2221">
                  <c:v>0.18512475355197722</c:v>
                </c:pt>
                <c:pt idx="2222">
                  <c:v>0.18361631791575495</c:v>
                </c:pt>
                <c:pt idx="2223">
                  <c:v>0.18212351057214834</c:v>
                </c:pt>
                <c:pt idx="2224">
                  <c:v>0.18064618291677645</c:v>
                </c:pt>
                <c:pt idx="2225">
                  <c:v>0.17918418792300217</c:v>
                </c:pt>
                <c:pt idx="2226">
                  <c:v>0.17773738012772278</c:v>
                </c:pt>
                <c:pt idx="2227">
                  <c:v>0.17630561561733021</c:v>
                </c:pt>
                <c:pt idx="2228">
                  <c:v>0.1748887520138406</c:v>
                </c:pt>
                <c:pt idx="2229">
                  <c:v>0.17348664846119163</c:v>
                </c:pt>
                <c:pt idx="2230">
                  <c:v>0.17209916561170682</c:v>
                </c:pt>
                <c:pt idx="2231">
                  <c:v>0.17072616561272599</c:v>
                </c:pt>
                <c:pt idx="2232">
                  <c:v>0.16936751209340048</c:v>
                </c:pt>
                <c:pt idx="2233">
                  <c:v>0.16802307015165258</c:v>
                </c:pt>
                <c:pt idx="2234">
                  <c:v>0.1666927063412981</c:v>
                </c:pt>
                <c:pt idx="2235">
                  <c:v>0.16537628865933118</c:v>
                </c:pt>
                <c:pt idx="2236">
                  <c:v>0.16407368653337065</c:v>
                </c:pt>
                <c:pt idx="2237">
                  <c:v>0.16278477080926679</c:v>
                </c:pt>
                <c:pt idx="2238">
                  <c:v>0.16150941373886807</c:v>
                </c:pt>
                <c:pt idx="2239">
                  <c:v>0.16024748896794688</c:v>
                </c:pt>
                <c:pt idx="2240">
                  <c:v>0.15899887152428352</c:v>
                </c:pt>
                <c:pt idx="2241">
                  <c:v>0.15776343780590787</c:v>
                </c:pt>
                <c:pt idx="2242">
                  <c:v>0.1565410655694979</c:v>
                </c:pt>
                <c:pt idx="2243">
                  <c:v>0.1553316339189344</c:v>
                </c:pt>
                <c:pt idx="2244">
                  <c:v>0.15413502329401149</c:v>
                </c:pt>
                <c:pt idx="2245">
                  <c:v>0.15295111545930207</c:v>
                </c:pt>
                <c:pt idx="2246">
                  <c:v>0.15177979349317769</c:v>
                </c:pt>
                <c:pt idx="2247">
                  <c:v>0.15062094177698265</c:v>
                </c:pt>
                <c:pt idx="2248">
                  <c:v>0.14947444598436124</c:v>
                </c:pt>
                <c:pt idx="2249">
                  <c:v>0.14834019307073823</c:v>
                </c:pt>
                <c:pt idx="2250">
                  <c:v>0.14721807126295181</c:v>
                </c:pt>
                <c:pt idx="2251">
                  <c:v>0.14610797004903867</c:v>
                </c:pt>
                <c:pt idx="2252">
                  <c:v>0.14500978016817101</c:v>
                </c:pt>
                <c:pt idx="2253">
                  <c:v>0.14392339360074502</c:v>
                </c:pt>
                <c:pt idx="2254">
                  <c:v>0.14284870355862037</c:v>
                </c:pt>
                <c:pt idx="2255">
                  <c:v>0.14178560447551086</c:v>
                </c:pt>
                <c:pt idx="2256">
                  <c:v>0.14073399199752562</c:v>
                </c:pt>
                <c:pt idx="2257">
                  <c:v>0.13969376297386085</c:v>
                </c:pt>
                <c:pt idx="2258">
                  <c:v>0.138664815447642</c:v>
                </c:pt>
                <c:pt idx="2259">
                  <c:v>0.13764704864691615</c:v>
                </c:pt>
                <c:pt idx="2260">
                  <c:v>0.13664036297579457</c:v>
                </c:pt>
                <c:pt idx="2261">
                  <c:v>0.13564466000574543</c:v>
                </c:pt>
                <c:pt idx="2262">
                  <c:v>0.13465984246703666</c:v>
                </c:pt>
                <c:pt idx="2263">
                  <c:v>0.13368581424032916</c:v>
                </c:pt>
                <c:pt idx="2264">
                  <c:v>0.13272248034842007</c:v>
                </c:pt>
                <c:pt idx="2265">
                  <c:v>0.13176974694813667</c:v>
                </c:pt>
                <c:pt idx="2266">
                  <c:v>0.13082752132238085</c:v>
                </c:pt>
                <c:pt idx="2267">
                  <c:v>0.12989571187232427</c:v>
                </c:pt>
                <c:pt idx="2268">
                  <c:v>0.12897422810975487</c:v>
                </c:pt>
                <c:pt idx="2269">
                  <c:v>0.12806298064957464</c:v>
                </c:pt>
                <c:pt idx="2270">
                  <c:v>0.12716188120244915</c:v>
                </c:pt>
                <c:pt idx="2271">
                  <c:v>0.1262708425676094</c:v>
                </c:pt>
                <c:pt idx="2272">
                  <c:v>0.12538977862580622</c:v>
                </c:pt>
                <c:pt idx="2273">
                  <c:v>0.12451860433241789</c:v>
                </c:pt>
                <c:pt idx="2274">
                  <c:v>0.12365723571071147</c:v>
                </c:pt>
                <c:pt idx="2275">
                  <c:v>0.12280558984525848</c:v>
                </c:pt>
                <c:pt idx="2276">
                  <c:v>0.1219635848755057</c:v>
                </c:pt>
                <c:pt idx="2277">
                  <c:v>0.12113113998950155</c:v>
                </c:pt>
                <c:pt idx="2278">
                  <c:v>0.12030817541777926</c:v>
                </c:pt>
                <c:pt idx="2279">
                  <c:v>0.11949461242739723</c:v>
                </c:pt>
                <c:pt idx="2280">
                  <c:v>0.11869037331613781</c:v>
                </c:pt>
                <c:pt idx="2281">
                  <c:v>0.11789538140686537</c:v>
                </c:pt>
                <c:pt idx="2282">
                  <c:v>0.11710956104204459</c:v>
                </c:pt>
                <c:pt idx="2283">
                  <c:v>0.11633283757842038</c:v>
                </c:pt>
                <c:pt idx="2284">
                  <c:v>0.11556513738186013</c:v>
                </c:pt>
                <c:pt idx="2285">
                  <c:v>0.11480638782236006</c:v>
                </c:pt>
                <c:pt idx="2286">
                  <c:v>0.11405651726921653</c:v>
                </c:pt>
                <c:pt idx="2287">
                  <c:v>0.11331545508636398</c:v>
                </c:pt>
                <c:pt idx="2288">
                  <c:v>0.11258313162788085</c:v>
                </c:pt>
                <c:pt idx="2289">
                  <c:v>0.11185947823366506</c:v>
                </c:pt>
                <c:pt idx="2290">
                  <c:v>0.11114442722528063</c:v>
                </c:pt>
                <c:pt idx="2291">
                  <c:v>0.11043791190197717</c:v>
                </c:pt>
                <c:pt idx="2292">
                  <c:v>0.10973986653688407</c:v>
                </c:pt>
                <c:pt idx="2293">
                  <c:v>0.10905022637338115</c:v>
                </c:pt>
                <c:pt idx="2294">
                  <c:v>0.10836892762164788</c:v>
                </c:pt>
                <c:pt idx="2295">
                  <c:v>0.10769590745539312</c:v>
                </c:pt>
                <c:pt idx="2296">
                  <c:v>0.1070311040087676</c:v>
                </c:pt>
                <c:pt idx="2297">
                  <c:v>0.10637445637346138</c:v>
                </c:pt>
                <c:pt idx="2298">
                  <c:v>0.10572590459598859</c:v>
                </c:pt>
                <c:pt idx="2299">
                  <c:v>0.10508538967516201</c:v>
                </c:pt>
                <c:pt idx="2300">
                  <c:v>0.10445285355976004</c:v>
                </c:pt>
                <c:pt idx="2301">
                  <c:v>0.10382823914638864</c:v>
                </c:pt>
                <c:pt idx="2302">
                  <c:v>0.10321149027754115</c:v>
                </c:pt>
                <c:pt idx="2303">
                  <c:v>0.10260255173985885</c:v>
                </c:pt>
                <c:pt idx="2304">
                  <c:v>0.10200136926259544</c:v>
                </c:pt>
                <c:pt idx="2305">
                  <c:v>0.10140788951628828</c:v>
                </c:pt>
                <c:pt idx="2306">
                  <c:v>0.10082206011164005</c:v>
                </c:pt>
                <c:pt idx="2307">
                  <c:v>0.1002438295986141</c:v>
                </c:pt>
                <c:pt idx="2308">
                  <c:v>9.9673147465746986E-2</c:v>
                </c:pt>
                <c:pt idx="2309">
                  <c:v>9.9109964139682122E-2</c:v>
                </c:pt>
                <c:pt idx="2310">
                  <c:v>9.8554230984928159E-2</c:v>
                </c:pt>
                <c:pt idx="2311">
                  <c:v>9.8005900303846386E-2</c:v>
                </c:pt>
                <c:pt idx="2312">
                  <c:v>9.7464925336871108E-2</c:v>
                </c:pt>
                <c:pt idx="2313">
                  <c:v>9.6931260262967459E-2</c:v>
                </c:pt>
                <c:pt idx="2314">
                  <c:v>9.6404860200331177E-2</c:v>
                </c:pt>
                <c:pt idx="2315">
                  <c:v>9.5885681207334997E-2</c:v>
                </c:pt>
                <c:pt idx="2316">
                  <c:v>9.5373680283726531E-2</c:v>
                </c:pt>
                <c:pt idx="2317">
                  <c:v>9.4868815372082763E-2</c:v>
                </c:pt>
                <c:pt idx="2318">
                  <c:v>9.4371045359526409E-2</c:v>
                </c:pt>
                <c:pt idx="2319">
                  <c:v>9.3880330079709515E-2</c:v>
                </c:pt>
                <c:pt idx="2320">
                  <c:v>9.3396630315070145E-2</c:v>
                </c:pt>
                <c:pt idx="2321">
                  <c:v>9.2919907799367873E-2</c:v>
                </c:pt>
                <c:pt idx="2322">
                  <c:v>9.2450125220504331E-2</c:v>
                </c:pt>
                <c:pt idx="2323">
                  <c:v>9.1987246223635161E-2</c:v>
                </c:pt>
                <c:pt idx="2324">
                  <c:v>9.1531235414579803E-2</c:v>
                </c:pt>
                <c:pt idx="2325">
                  <c:v>9.1082058363536278E-2</c:v>
                </c:pt>
                <c:pt idx="2326">
                  <c:v>9.0639681609107764E-2</c:v>
                </c:pt>
                <c:pt idx="2327">
                  <c:v>9.0204072662648488E-2</c:v>
                </c:pt>
                <c:pt idx="2328">
                  <c:v>8.977520001293661E-2</c:v>
                </c:pt>
                <c:pt idx="2329">
                  <c:v>8.9353033131182008E-2</c:v>
                </c:pt>
                <c:pt idx="2330">
                  <c:v>8.8937542476377238E-2</c:v>
                </c:pt>
                <c:pt idx="2331">
                  <c:v>8.8528699501000147E-2</c:v>
                </c:pt>
                <c:pt idx="2332">
                  <c:v>8.8126476657077152E-2</c:v>
                </c:pt>
                <c:pt idx="2333">
                  <c:v>8.7730847402616288E-2</c:v>
                </c:pt>
                <c:pt idx="2334">
                  <c:v>8.7341786208419703E-2</c:v>
                </c:pt>
                <c:pt idx="2335">
                  <c:v>8.6959268565285394E-2</c:v>
                </c:pt>
                <c:pt idx="2336">
                  <c:v>8.6583270991608646E-2</c:v>
                </c:pt>
                <c:pt idx="2337">
                  <c:v>8.6213771041393744E-2</c:v>
                </c:pt>
                <c:pt idx="2338">
                  <c:v>8.585074731268709E-2</c:v>
                </c:pt>
                <c:pt idx="2339">
                  <c:v>8.5494179456443276E-2</c:v>
                </c:pt>
                <c:pt idx="2340">
                  <c:v>8.5144048185836096E-2</c:v>
                </c:pt>
                <c:pt idx="2341">
                  <c:v>8.4800335286026762E-2</c:v>
                </c:pt>
                <c:pt idx="2342">
                  <c:v>8.4463023624402389E-2</c:v>
                </c:pt>
                <c:pt idx="2343">
                  <c:v>8.4132097161297992E-2</c:v>
                </c:pt>
                <c:pt idx="2344">
                  <c:v>8.3807540961215968E-2</c:v>
                </c:pt>
                <c:pt idx="2345">
                  <c:v>8.3489341204557352E-2</c:v>
                </c:pt>
                <c:pt idx="2346">
                  <c:v>8.3177485199879941E-2</c:v>
                </c:pt>
                <c:pt idx="2347">
                  <c:v>8.2871961396698751E-2</c:v>
                </c:pt>
                <c:pt idx="2348">
                  <c:v>8.2572759398844883E-2</c:v>
                </c:pt>
                <c:pt idx="2349">
                  <c:v>8.2279869978399672E-2</c:v>
                </c:pt>
                <c:pt idx="2350">
                  <c:v>8.1993285090221371E-2</c:v>
                </c:pt>
                <c:pt idx="2351">
                  <c:v>8.1712997887082542E-2</c:v>
                </c:pt>
                <c:pt idx="2352">
                  <c:v>8.1439002735436833E-2</c:v>
                </c:pt>
                <c:pt idx="2353">
                  <c:v>8.1171295231834653E-2</c:v>
                </c:pt>
                <c:pt idx="2354">
                  <c:v>8.090987222000795E-2</c:v>
                </c:pt>
                <c:pt idx="2355">
                  <c:v>8.0654731808645214E-2</c:v>
                </c:pt>
                <c:pt idx="2356">
                  <c:v>8.0405873389878368E-2</c:v>
                </c:pt>
                <c:pt idx="2357">
                  <c:v>8.0163297658504426E-2</c:v>
                </c:pt>
                <c:pt idx="2358">
                  <c:v>7.9927006631965378E-2</c:v>
                </c:pt>
                <c:pt idx="2359">
                  <c:v>7.969700367111085E-2</c:v>
                </c:pt>
                <c:pt idx="2360">
                  <c:v>7.9473293501768946E-2</c:v>
                </c:pt>
                <c:pt idx="2361">
                  <c:v>7.9255882237151867E-2</c:v>
                </c:pt>
                <c:pt idx="2362">
                  <c:v>7.9044777401123686E-2</c:v>
                </c:pt>
                <c:pt idx="2363">
                  <c:v>7.8839987952359011E-2</c:v>
                </c:pt>
                <c:pt idx="2364">
                  <c:v>7.8641524309422159E-2</c:v>
                </c:pt>
                <c:pt idx="2365">
                  <c:v>7.8449398376797805E-2</c:v>
                </c:pt>
                <c:pt idx="2366">
                  <c:v>7.8263623571905361E-2</c:v>
                </c:pt>
                <c:pt idx="2367">
                  <c:v>7.8084214853130413E-2</c:v>
                </c:pt>
                <c:pt idx="2368">
                  <c:v>7.7911188748908011E-2</c:v>
                </c:pt>
                <c:pt idx="2369">
                  <c:v>7.7744563387894164E-2</c:v>
                </c:pt>
                <c:pt idx="2370">
                  <c:v>7.7584358530262965E-2</c:v>
                </c:pt>
                <c:pt idx="2371">
                  <c:v>7.7430595600168753E-2</c:v>
                </c:pt>
                <c:pt idx="2372">
                  <c:v>7.7283297719413918E-2</c:v>
                </c:pt>
                <c:pt idx="2373">
                  <c:v>7.71424897423649E-2</c:v>
                </c:pt>
                <c:pt idx="2374">
                  <c:v>7.7008198292160476E-2</c:v>
                </c:pt>
                <c:pt idx="2375">
                  <c:v>7.6880451798258406E-2</c:v>
                </c:pt>
                <c:pt idx="2376">
                  <c:v>7.6759280535368304E-2</c:v>
                </c:pt>
                <c:pt idx="2377">
                  <c:v>7.6644716663820472E-2</c:v>
                </c:pt>
                <c:pt idx="2378">
                  <c:v>7.6536794271422834E-2</c:v>
                </c:pt>
                <c:pt idx="2379">
                  <c:v>7.6435549416859844E-2</c:v>
                </c:pt>
                <c:pt idx="2380">
                  <c:v>7.6341020174689869E-2</c:v>
                </c:pt>
                <c:pt idx="2381">
                  <c:v>7.6253246681999648E-2</c:v>
                </c:pt>
                <c:pt idx="2382">
                  <c:v>7.6172271186777052E-2</c:v>
                </c:pt>
                <c:pt idx="2383">
                  <c:v>7.6098138098065787E-2</c:v>
                </c:pt>
                <c:pt idx="2384">
                  <c:v>7.6030894037968588E-2</c:v>
                </c:pt>
                <c:pt idx="2385">
                  <c:v>7.5970587895568112E-2</c:v>
                </c:pt>
                <c:pt idx="2386">
                  <c:v>7.5917270882837617E-2</c:v>
                </c:pt>
                <c:pt idx="2387">
                  <c:v>7.5870996592616979E-2</c:v>
                </c:pt>
                <c:pt idx="2388">
                  <c:v>7.5831821058732179E-2</c:v>
                </c:pt>
                <c:pt idx="2389">
                  <c:v>7.5799802818340506E-2</c:v>
                </c:pt>
                <c:pt idx="2390">
                  <c:v>7.5775002976586653E-2</c:v>
                </c:pt>
                <c:pt idx="2391">
                  <c:v>7.5757485273658901E-2</c:v>
                </c:pt>
                <c:pt idx="2392">
                  <c:v>7.574731615433844E-2</c:v>
                </c:pt>
                <c:pt idx="2393">
                  <c:v>7.5744564840138751E-2</c:v>
                </c:pt>
                <c:pt idx="2394">
                  <c:v>7.5749303404136478E-2</c:v>
                </c:pt>
                <c:pt idx="2395">
                  <c:v>7.576160684859945E-2</c:v>
                </c:pt>
                <c:pt idx="2396">
                  <c:v>7.5781553185522266E-2</c:v>
                </c:pt>
                <c:pt idx="2397">
                  <c:v>7.5809223520184793E-2</c:v>
                </c:pt>
                <c:pt idx="2398">
                  <c:v>7.5844702137854034E-2</c:v>
                </c:pt>
                <c:pt idx="2399">
                  <c:v>7.588807659375503E-2</c:v>
                </c:pt>
                <c:pt idx="2400">
                  <c:v>7.5939437806442314E-2</c:v>
                </c:pt>
                <c:pt idx="2401">
                  <c:v>7.5998880154709236E-2</c:v>
                </c:pt>
                <c:pt idx="2402">
                  <c:v>7.6066501578178736E-2</c:v>
                </c:pt>
                <c:pt idx="2403">
                  <c:v>7.6142403681725382E-2</c:v>
                </c:pt>
                <c:pt idx="2404">
                  <c:v>7.6226691843885794E-2</c:v>
                </c:pt>
                <c:pt idx="2405">
                  <c:v>7.6319475329421196E-2</c:v>
                </c:pt>
                <c:pt idx="2406">
                  <c:v>7.6420867406203796E-2</c:v>
                </c:pt>
                <c:pt idx="2407">
                  <c:v>7.653098546660618E-2</c:v>
                </c:pt>
                <c:pt idx="2408">
                  <c:v>7.6649951153581516E-2</c:v>
                </c:pt>
                <c:pt idx="2409">
                  <c:v>7.6777890491630876E-2</c:v>
                </c:pt>
                <c:pt idx="2410">
                  <c:v>7.6914934022863091E-2</c:v>
                </c:pt>
                <c:pt idx="2411">
                  <c:v>7.7061216948362363E-2</c:v>
                </c:pt>
                <c:pt idx="2412">
                  <c:v>7.7216879275088524E-2</c:v>
                </c:pt>
                <c:pt idx="2413">
                  <c:v>7.7382065968545966E-2</c:v>
                </c:pt>
                <c:pt idx="2414">
                  <c:v>7.755692711146786E-2</c:v>
                </c:pt>
                <c:pt idx="2415">
                  <c:v>7.7741618068774332E-2</c:v>
                </c:pt>
                <c:pt idx="2416">
                  <c:v>7.7936299659075517E-2</c:v>
                </c:pt>
                <c:pt idx="2417">
                  <c:v>7.8141138333003235E-2</c:v>
                </c:pt>
                <c:pt idx="2418">
                  <c:v>7.8356306358668734E-2</c:v>
                </c:pt>
                <c:pt idx="2419">
                  <c:v>7.8581982014558183E-2</c:v>
                </c:pt>
                <c:pt idx="2420">
                  <c:v>7.8818349790193018E-2</c:v>
                </c:pt>
                <c:pt idx="2421">
                  <c:v>7.9065600594897409E-2</c:v>
                </c:pt>
                <c:pt idx="2422">
                  <c:v>7.9323931975032611E-2</c:v>
                </c:pt>
                <c:pt idx="2423">
                  <c:v>7.9593548340075038E-2</c:v>
                </c:pt>
                <c:pt idx="2424">
                  <c:v>7.9874661197933502E-2</c:v>
                </c:pt>
                <c:pt idx="2425">
                  <c:v>8.0167489399920841E-2</c:v>
                </c:pt>
                <c:pt idx="2426">
                  <c:v>8.0472259395815246E-2</c:v>
                </c:pt>
                <c:pt idx="2427">
                  <c:v>8.0789205499468719E-2</c:v>
                </c:pt>
                <c:pt idx="2428">
                  <c:v>8.111857016544273E-2</c:v>
                </c:pt>
                <c:pt idx="2429">
                  <c:v>8.1460604277175053E-2</c:v>
                </c:pt>
                <c:pt idx="2430">
                  <c:v>8.1815567447207471E-2</c:v>
                </c:pt>
                <c:pt idx="2431">
                  <c:v>8.2183728330030514E-2</c:v>
                </c:pt>
                <c:pt idx="2432">
                  <c:v>8.2565364948129813E-2</c:v>
                </c:pt>
                <c:pt idx="2433">
                  <c:v>8.2960765031848363E-2</c:v>
                </c:pt>
                <c:pt idx="2434">
                  <c:v>8.3370226373710443E-2</c:v>
                </c:pt>
                <c:pt idx="2435">
                  <c:v>8.3794057197886032E-2</c:v>
                </c:pt>
                <c:pt idx="2436">
                  <c:v>8.4232576545509807E-2</c:v>
                </c:pt>
                <c:pt idx="2437">
                  <c:v>8.4686114676605626E-2</c:v>
                </c:pt>
                <c:pt idx="2438">
                  <c:v>8.515501348940642E-2</c:v>
                </c:pt>
                <c:pt idx="2439">
                  <c:v>8.563962695790088E-2</c:v>
                </c:pt>
                <c:pt idx="2440">
                  <c:v>8.6140321588481811E-2</c:v>
                </c:pt>
                <c:pt idx="2441">
                  <c:v>8.6657476896617125E-2</c:v>
                </c:pt>
                <c:pt idx="2442">
                  <c:v>8.7191485904513116E-2</c:v>
                </c:pt>
                <c:pt idx="2443">
                  <c:v>8.7742755660791386E-2</c:v>
                </c:pt>
                <c:pt idx="2444">
                  <c:v>8.8311707783254881E-2</c:v>
                </c:pt>
                <c:pt idx="2445">
                  <c:v>8.8898779025876604E-2</c:v>
                </c:pt>
                <c:pt idx="2446">
                  <c:v>8.9504421871205123E-2</c:v>
                </c:pt>
                <c:pt idx="2447">
                  <c:v>9.0129105149445596E-2</c:v>
                </c:pt>
                <c:pt idx="2448">
                  <c:v>9.0773314685543657E-2</c:v>
                </c:pt>
                <c:pt idx="2449">
                  <c:v>9.1437553975671285E-2</c:v>
                </c:pt>
                <c:pt idx="2450">
                  <c:v>9.2122344894590633E-2</c:v>
                </c:pt>
                <c:pt idx="2451">
                  <c:v>9.2828228435453047E-2</c:v>
                </c:pt>
                <c:pt idx="2452">
                  <c:v>9.3555765483675918E-2</c:v>
                </c:pt>
                <c:pt idx="2453">
                  <c:v>9.4305537626631561E-2</c:v>
                </c:pt>
                <c:pt idx="2454">
                  <c:v>9.5078148000978441E-2</c:v>
                </c:pt>
                <c:pt idx="2455">
                  <c:v>9.5874222179567523E-2</c:v>
                </c:pt>
                <c:pt idx="2456">
                  <c:v>9.6694409099965115E-2</c:v>
                </c:pt>
                <c:pt idx="2457">
                  <c:v>9.7539382036748168E-2</c:v>
                </c:pt>
                <c:pt idx="2458">
                  <c:v>9.84098396198506E-2</c:v>
                </c:pt>
                <c:pt idx="2459">
                  <c:v>9.9306506901368399E-2</c:v>
                </c:pt>
                <c:pt idx="2460">
                  <c:v>0.10023013647336877</c:v>
                </c:pt>
                <c:pt idx="2461">
                  <c:v>0.10118150963939448</c:v>
                </c:pt>
                <c:pt idx="2462">
                  <c:v>0.10216143764250978</c:v>
                </c:pt>
                <c:pt idx="2463">
                  <c:v>0.10317076295289837</c:v>
                </c:pt>
                <c:pt idx="2464">
                  <c:v>0.10421036061819948</c:v>
                </c:pt>
                <c:pt idx="2465">
                  <c:v>0.10528113967995292</c:v>
                </c:pt>
                <c:pt idx="2466">
                  <c:v>0.10638404465972255</c:v>
                </c:pt>
                <c:pt idx="2467">
                  <c:v>0.10752005711867677</c:v>
                </c:pt>
                <c:pt idx="2468">
                  <c:v>0.10869019729462828</c:v>
                </c:pt>
                <c:pt idx="2469">
                  <c:v>0.10989552582077276</c:v>
                </c:pt>
                <c:pt idx="2470">
                  <c:v>0.11113714553061879</c:v>
                </c:pt>
                <c:pt idx="2471">
                  <c:v>0.11241620335387008</c:v>
                </c:pt>
                <c:pt idx="2472">
                  <c:v>0.11373389230830769</c:v>
                </c:pt>
                <c:pt idx="2473">
                  <c:v>0.115091453593024</c:v>
                </c:pt>
                <c:pt idx="2474">
                  <c:v>0.11649017878868521</c:v>
                </c:pt>
                <c:pt idx="2475">
                  <c:v>0.11793141217084468</c:v>
                </c:pt>
                <c:pt idx="2476">
                  <c:v>0.11941655314269754</c:v>
                </c:pt>
                <c:pt idx="2477">
                  <c:v>0.12094705879405973</c:v>
                </c:pt>
                <c:pt idx="2478">
                  <c:v>0.12252444659377289</c:v>
                </c:pt>
                <c:pt idx="2479">
                  <c:v>0.12415029722318262</c:v>
                </c:pt>
                <c:pt idx="2480">
                  <c:v>0.12582625755881366</c:v>
                </c:pt>
                <c:pt idx="2481">
                  <c:v>0.12755404381287269</c:v>
                </c:pt>
                <c:pt idx="2482">
                  <c:v>0.12933544484075163</c:v>
                </c:pt>
                <c:pt idx="2483">
                  <c:v>0.13117232562528169</c:v>
                </c:pt>
                <c:pt idx="2484">
                  <c:v>0.1330666309481062</c:v>
                </c:pt>
                <c:pt idx="2485">
                  <c:v>0.1350203892591986</c:v>
                </c:pt>
                <c:pt idx="2486">
                  <c:v>0.13703571675625667</c:v>
                </c:pt>
                <c:pt idx="2487">
                  <c:v>0.13911482168645489</c:v>
                </c:pt>
                <c:pt idx="2488">
                  <c:v>0.14126000888384146</c:v>
                </c:pt>
                <c:pt idx="2489">
                  <c:v>0.14347368455652493</c:v>
                </c:pt>
                <c:pt idx="2490">
                  <c:v>0.14575836133871387</c:v>
                </c:pt>
                <c:pt idx="2491">
                  <c:v>0.14811666362365467</c:v>
                </c:pt>
                <c:pt idx="2492">
                  <c:v>0.15055133319456404</c:v>
                </c:pt>
                <c:pt idx="2493">
                  <c:v>0.15306523517177567</c:v>
                </c:pt>
                <c:pt idx="2494">
                  <c:v>0.15566136429552377</c:v>
                </c:pt>
                <c:pt idx="2495">
                  <c:v>0.15834285156507436</c:v>
                </c:pt>
                <c:pt idx="2496">
                  <c:v>0.16111297125629284</c:v>
                </c:pt>
                <c:pt idx="2497">
                  <c:v>0.16397514834121379</c:v>
                </c:pt>
                <c:pt idx="2498">
                  <c:v>0.16693296633475987</c:v>
                </c:pt>
                <c:pt idx="2499">
                  <c:v>0.1699901755954519</c:v>
                </c:pt>
                <c:pt idx="2500">
                  <c:v>0.17315070210876804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56832"/>
        <c:axId val="128858368"/>
      </c:scatterChart>
      <c:valAx>
        <c:axId val="128856832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28858368"/>
        <c:crosses val="autoZero"/>
        <c:crossBetween val="midCat"/>
      </c:valAx>
      <c:valAx>
        <c:axId val="128858368"/>
        <c:scaling>
          <c:orientation val="minMax"/>
        </c:scaling>
        <c:delete val="0"/>
        <c:axPos val="l"/>
        <c:majorGridlines/>
        <c:minorGridlines/>
        <c:numFmt formatCode="#,##0.0_ " sourceLinked="0"/>
        <c:majorTickMark val="out"/>
        <c:minorTickMark val="none"/>
        <c:tickLblPos val="nextTo"/>
        <c:crossAx val="12885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感染症の流行!$B$1</c:f>
              <c:strCache>
                <c:ptCount val="1"/>
                <c:pt idx="0">
                  <c:v>S(t)；感受性人口</c:v>
                </c:pt>
              </c:strCache>
            </c:strRef>
          </c:tx>
          <c:marker>
            <c:symbol val="none"/>
          </c:marker>
          <c:xVal>
            <c:numRef>
              <c:f>感染症の流行!$A$2:$A$902</c:f>
              <c:numCache>
                <c:formatCode>General</c:formatCode>
                <c:ptCount val="9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1.3000000000000003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1.8000000000000003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2.5000000000000004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3.0000000000000004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3.5000000000000004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4.3999999999999995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10.200000000000001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11.700000000000001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12.200000000000001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12.700000000000001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13.200000000000001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13.700000000000001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14.200000000000001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14.700000000000001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15.200000000000001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15.700000000000001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16.200000000000003</c:v>
                </c:pt>
                <c:pt idx="163">
                  <c:v>16.3</c:v>
                </c:pt>
                <c:pt idx="164">
                  <c:v>16.400000000000002</c:v>
                </c:pt>
                <c:pt idx="165">
                  <c:v>16.500000000000004</c:v>
                </c:pt>
                <c:pt idx="166">
                  <c:v>16.600000000000001</c:v>
                </c:pt>
                <c:pt idx="167">
                  <c:v>16.700000000000003</c:v>
                </c:pt>
                <c:pt idx="168">
                  <c:v>16.8</c:v>
                </c:pt>
                <c:pt idx="169">
                  <c:v>16.900000000000002</c:v>
                </c:pt>
                <c:pt idx="170">
                  <c:v>17.000000000000004</c:v>
                </c:pt>
                <c:pt idx="171">
                  <c:v>17.100000000000001</c:v>
                </c:pt>
                <c:pt idx="172">
                  <c:v>17.200000000000003</c:v>
                </c:pt>
                <c:pt idx="173">
                  <c:v>17.3</c:v>
                </c:pt>
                <c:pt idx="174">
                  <c:v>17.400000000000002</c:v>
                </c:pt>
                <c:pt idx="175">
                  <c:v>17.500000000000004</c:v>
                </c:pt>
                <c:pt idx="176">
                  <c:v>17.600000000000001</c:v>
                </c:pt>
                <c:pt idx="177">
                  <c:v>17.700000000000003</c:v>
                </c:pt>
                <c:pt idx="178">
                  <c:v>17.8</c:v>
                </c:pt>
                <c:pt idx="179">
                  <c:v>17.900000000000002</c:v>
                </c:pt>
                <c:pt idx="180">
                  <c:v>18.000000000000004</c:v>
                </c:pt>
                <c:pt idx="181">
                  <c:v>18.100000000000001</c:v>
                </c:pt>
                <c:pt idx="182">
                  <c:v>18.200000000000003</c:v>
                </c:pt>
                <c:pt idx="183">
                  <c:v>18.3</c:v>
                </c:pt>
                <c:pt idx="184">
                  <c:v>18.400000000000002</c:v>
                </c:pt>
                <c:pt idx="185">
                  <c:v>18.500000000000004</c:v>
                </c:pt>
                <c:pt idx="186">
                  <c:v>18.600000000000001</c:v>
                </c:pt>
                <c:pt idx="187">
                  <c:v>18.700000000000003</c:v>
                </c:pt>
                <c:pt idx="188">
                  <c:v>18.8</c:v>
                </c:pt>
                <c:pt idx="189">
                  <c:v>18.900000000000002</c:v>
                </c:pt>
                <c:pt idx="190">
                  <c:v>19.000000000000004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19.400000000000002</c:v>
                </c:pt>
                <c:pt idx="195">
                  <c:v>19.500000000000004</c:v>
                </c:pt>
                <c:pt idx="196">
                  <c:v>19.600000000000001</c:v>
                </c:pt>
                <c:pt idx="197">
                  <c:v>19.700000000000003</c:v>
                </c:pt>
                <c:pt idx="198">
                  <c:v>19.800000000000004</c:v>
                </c:pt>
                <c:pt idx="199">
                  <c:v>19.900000000000002</c:v>
                </c:pt>
                <c:pt idx="200">
                  <c:v>20.000000000000004</c:v>
                </c:pt>
                <c:pt idx="201">
                  <c:v>20.100000000000001</c:v>
                </c:pt>
                <c:pt idx="202">
                  <c:v>20.200000000000003</c:v>
                </c:pt>
                <c:pt idx="203">
                  <c:v>20.300000000000004</c:v>
                </c:pt>
                <c:pt idx="204">
                  <c:v>20.400000000000002</c:v>
                </c:pt>
                <c:pt idx="205">
                  <c:v>20.500000000000004</c:v>
                </c:pt>
                <c:pt idx="206">
                  <c:v>20.6</c:v>
                </c:pt>
                <c:pt idx="207">
                  <c:v>20.700000000000003</c:v>
                </c:pt>
                <c:pt idx="208">
                  <c:v>20.800000000000004</c:v>
                </c:pt>
                <c:pt idx="209">
                  <c:v>20.900000000000002</c:v>
                </c:pt>
                <c:pt idx="210">
                  <c:v>21.000000000000004</c:v>
                </c:pt>
                <c:pt idx="211">
                  <c:v>21.1</c:v>
                </c:pt>
                <c:pt idx="212">
                  <c:v>21.200000000000003</c:v>
                </c:pt>
                <c:pt idx="213">
                  <c:v>21.300000000000004</c:v>
                </c:pt>
                <c:pt idx="214">
                  <c:v>21.400000000000002</c:v>
                </c:pt>
                <c:pt idx="215">
                  <c:v>21.500000000000004</c:v>
                </c:pt>
                <c:pt idx="216">
                  <c:v>21.6</c:v>
                </c:pt>
                <c:pt idx="217">
                  <c:v>21.700000000000003</c:v>
                </c:pt>
                <c:pt idx="218">
                  <c:v>21.800000000000004</c:v>
                </c:pt>
                <c:pt idx="219">
                  <c:v>21.900000000000002</c:v>
                </c:pt>
                <c:pt idx="220">
                  <c:v>22.000000000000004</c:v>
                </c:pt>
                <c:pt idx="221">
                  <c:v>22.1</c:v>
                </c:pt>
                <c:pt idx="222">
                  <c:v>22.200000000000003</c:v>
                </c:pt>
                <c:pt idx="223">
                  <c:v>22.300000000000004</c:v>
                </c:pt>
                <c:pt idx="224">
                  <c:v>22.400000000000002</c:v>
                </c:pt>
                <c:pt idx="225">
                  <c:v>22.500000000000004</c:v>
                </c:pt>
                <c:pt idx="226">
                  <c:v>22.6</c:v>
                </c:pt>
                <c:pt idx="227">
                  <c:v>22.700000000000003</c:v>
                </c:pt>
                <c:pt idx="228">
                  <c:v>22.800000000000004</c:v>
                </c:pt>
                <c:pt idx="229">
                  <c:v>22.900000000000002</c:v>
                </c:pt>
                <c:pt idx="230">
                  <c:v>23.000000000000004</c:v>
                </c:pt>
                <c:pt idx="231">
                  <c:v>23.1</c:v>
                </c:pt>
                <c:pt idx="232">
                  <c:v>23.200000000000003</c:v>
                </c:pt>
                <c:pt idx="233">
                  <c:v>23.300000000000004</c:v>
                </c:pt>
                <c:pt idx="234">
                  <c:v>23.400000000000002</c:v>
                </c:pt>
                <c:pt idx="235">
                  <c:v>23.500000000000004</c:v>
                </c:pt>
                <c:pt idx="236">
                  <c:v>23.6</c:v>
                </c:pt>
                <c:pt idx="237">
                  <c:v>23.700000000000003</c:v>
                </c:pt>
                <c:pt idx="238">
                  <c:v>23.800000000000004</c:v>
                </c:pt>
                <c:pt idx="239">
                  <c:v>23.900000000000002</c:v>
                </c:pt>
                <c:pt idx="240">
                  <c:v>24.000000000000004</c:v>
                </c:pt>
                <c:pt idx="241">
                  <c:v>24.1</c:v>
                </c:pt>
                <c:pt idx="242">
                  <c:v>24.200000000000003</c:v>
                </c:pt>
                <c:pt idx="243">
                  <c:v>24.300000000000004</c:v>
                </c:pt>
                <c:pt idx="244">
                  <c:v>24.400000000000002</c:v>
                </c:pt>
                <c:pt idx="245">
                  <c:v>24.500000000000004</c:v>
                </c:pt>
                <c:pt idx="246">
                  <c:v>24.6</c:v>
                </c:pt>
                <c:pt idx="247">
                  <c:v>24.700000000000003</c:v>
                </c:pt>
                <c:pt idx="248">
                  <c:v>24.800000000000004</c:v>
                </c:pt>
                <c:pt idx="249">
                  <c:v>24.900000000000002</c:v>
                </c:pt>
                <c:pt idx="250">
                  <c:v>25.000000000000004</c:v>
                </c:pt>
                <c:pt idx="251">
                  <c:v>25.1</c:v>
                </c:pt>
                <c:pt idx="252">
                  <c:v>25.200000000000003</c:v>
                </c:pt>
                <c:pt idx="253">
                  <c:v>25.300000000000004</c:v>
                </c:pt>
                <c:pt idx="254">
                  <c:v>25.400000000000002</c:v>
                </c:pt>
                <c:pt idx="255">
                  <c:v>25.500000000000004</c:v>
                </c:pt>
                <c:pt idx="256">
                  <c:v>25.6</c:v>
                </c:pt>
                <c:pt idx="257">
                  <c:v>25.700000000000003</c:v>
                </c:pt>
                <c:pt idx="258">
                  <c:v>25.800000000000004</c:v>
                </c:pt>
                <c:pt idx="259">
                  <c:v>25.900000000000002</c:v>
                </c:pt>
                <c:pt idx="260">
                  <c:v>26.000000000000004</c:v>
                </c:pt>
                <c:pt idx="261">
                  <c:v>26.1</c:v>
                </c:pt>
                <c:pt idx="262">
                  <c:v>26.200000000000003</c:v>
                </c:pt>
                <c:pt idx="263">
                  <c:v>26.300000000000004</c:v>
                </c:pt>
                <c:pt idx="264">
                  <c:v>26.400000000000002</c:v>
                </c:pt>
                <c:pt idx="265">
                  <c:v>26.500000000000004</c:v>
                </c:pt>
                <c:pt idx="266">
                  <c:v>26.6</c:v>
                </c:pt>
                <c:pt idx="267">
                  <c:v>26.700000000000003</c:v>
                </c:pt>
                <c:pt idx="268">
                  <c:v>26.800000000000004</c:v>
                </c:pt>
                <c:pt idx="269">
                  <c:v>26.900000000000002</c:v>
                </c:pt>
                <c:pt idx="270">
                  <c:v>27.000000000000004</c:v>
                </c:pt>
                <c:pt idx="271">
                  <c:v>27.1</c:v>
                </c:pt>
                <c:pt idx="272">
                  <c:v>27.200000000000003</c:v>
                </c:pt>
                <c:pt idx="273">
                  <c:v>27.300000000000004</c:v>
                </c:pt>
                <c:pt idx="274">
                  <c:v>27.400000000000002</c:v>
                </c:pt>
                <c:pt idx="275">
                  <c:v>27.500000000000004</c:v>
                </c:pt>
                <c:pt idx="276">
                  <c:v>27.6</c:v>
                </c:pt>
                <c:pt idx="277">
                  <c:v>27.700000000000003</c:v>
                </c:pt>
                <c:pt idx="278">
                  <c:v>27.800000000000004</c:v>
                </c:pt>
                <c:pt idx="279">
                  <c:v>27.900000000000002</c:v>
                </c:pt>
                <c:pt idx="280">
                  <c:v>28.000000000000004</c:v>
                </c:pt>
                <c:pt idx="281">
                  <c:v>28.1</c:v>
                </c:pt>
                <c:pt idx="282">
                  <c:v>28.200000000000003</c:v>
                </c:pt>
                <c:pt idx="283">
                  <c:v>28.300000000000004</c:v>
                </c:pt>
                <c:pt idx="284">
                  <c:v>28.400000000000002</c:v>
                </c:pt>
                <c:pt idx="285">
                  <c:v>28.500000000000004</c:v>
                </c:pt>
                <c:pt idx="286">
                  <c:v>28.6</c:v>
                </c:pt>
                <c:pt idx="287">
                  <c:v>28.700000000000003</c:v>
                </c:pt>
                <c:pt idx="288">
                  <c:v>28.800000000000004</c:v>
                </c:pt>
                <c:pt idx="289">
                  <c:v>28.900000000000002</c:v>
                </c:pt>
                <c:pt idx="290">
                  <c:v>29.000000000000004</c:v>
                </c:pt>
                <c:pt idx="291">
                  <c:v>29.1</c:v>
                </c:pt>
                <c:pt idx="292">
                  <c:v>29.200000000000003</c:v>
                </c:pt>
                <c:pt idx="293">
                  <c:v>29.300000000000004</c:v>
                </c:pt>
                <c:pt idx="294">
                  <c:v>29.400000000000002</c:v>
                </c:pt>
                <c:pt idx="295">
                  <c:v>29.500000000000004</c:v>
                </c:pt>
                <c:pt idx="296">
                  <c:v>29.6</c:v>
                </c:pt>
                <c:pt idx="297">
                  <c:v>29.700000000000003</c:v>
                </c:pt>
                <c:pt idx="298">
                  <c:v>29.800000000000004</c:v>
                </c:pt>
                <c:pt idx="299">
                  <c:v>29.900000000000002</c:v>
                </c:pt>
                <c:pt idx="300">
                  <c:v>30.000000000000004</c:v>
                </c:pt>
                <c:pt idx="301">
                  <c:v>30.1</c:v>
                </c:pt>
                <c:pt idx="302">
                  <c:v>30.200000000000003</c:v>
                </c:pt>
                <c:pt idx="303">
                  <c:v>30.300000000000004</c:v>
                </c:pt>
                <c:pt idx="304">
                  <c:v>30.400000000000002</c:v>
                </c:pt>
                <c:pt idx="305">
                  <c:v>30.500000000000004</c:v>
                </c:pt>
                <c:pt idx="306">
                  <c:v>30.6</c:v>
                </c:pt>
                <c:pt idx="307">
                  <c:v>30.700000000000003</c:v>
                </c:pt>
                <c:pt idx="308">
                  <c:v>30.800000000000004</c:v>
                </c:pt>
                <c:pt idx="309">
                  <c:v>30.900000000000002</c:v>
                </c:pt>
                <c:pt idx="310">
                  <c:v>31.000000000000004</c:v>
                </c:pt>
                <c:pt idx="311">
                  <c:v>31.1</c:v>
                </c:pt>
                <c:pt idx="312">
                  <c:v>31.200000000000003</c:v>
                </c:pt>
                <c:pt idx="313">
                  <c:v>31.300000000000004</c:v>
                </c:pt>
                <c:pt idx="314">
                  <c:v>31.400000000000002</c:v>
                </c:pt>
                <c:pt idx="315">
                  <c:v>31.500000000000004</c:v>
                </c:pt>
                <c:pt idx="316">
                  <c:v>31.6</c:v>
                </c:pt>
                <c:pt idx="317">
                  <c:v>31.700000000000003</c:v>
                </c:pt>
                <c:pt idx="318">
                  <c:v>31.800000000000004</c:v>
                </c:pt>
                <c:pt idx="319">
                  <c:v>31.900000000000002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32.300000000000004</c:v>
                </c:pt>
                <c:pt idx="324">
                  <c:v>32.400000000000006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32.800000000000004</c:v>
                </c:pt>
                <c:pt idx="329">
                  <c:v>32.900000000000006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33.300000000000004</c:v>
                </c:pt>
                <c:pt idx="334">
                  <c:v>33.400000000000006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33.800000000000004</c:v>
                </c:pt>
                <c:pt idx="339">
                  <c:v>33.900000000000006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34.300000000000004</c:v>
                </c:pt>
                <c:pt idx="344">
                  <c:v>34.400000000000006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34.800000000000004</c:v>
                </c:pt>
                <c:pt idx="349">
                  <c:v>34.900000000000006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35.300000000000004</c:v>
                </c:pt>
                <c:pt idx="354">
                  <c:v>35.400000000000006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35.800000000000004</c:v>
                </c:pt>
                <c:pt idx="359">
                  <c:v>35.900000000000006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36.300000000000004</c:v>
                </c:pt>
                <c:pt idx="364">
                  <c:v>36.400000000000006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36.800000000000004</c:v>
                </c:pt>
                <c:pt idx="369">
                  <c:v>36.900000000000006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37.300000000000004</c:v>
                </c:pt>
                <c:pt idx="374">
                  <c:v>37.400000000000006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37.800000000000004</c:v>
                </c:pt>
                <c:pt idx="379">
                  <c:v>37.900000000000006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38.300000000000004</c:v>
                </c:pt>
                <c:pt idx="384">
                  <c:v>38.400000000000006</c:v>
                </c:pt>
                <c:pt idx="385">
                  <c:v>38.500000000000007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38.800000000000004</c:v>
                </c:pt>
                <c:pt idx="389">
                  <c:v>38.900000000000006</c:v>
                </c:pt>
                <c:pt idx="390">
                  <c:v>39.000000000000007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39.300000000000004</c:v>
                </c:pt>
                <c:pt idx="394">
                  <c:v>39.400000000000006</c:v>
                </c:pt>
                <c:pt idx="395">
                  <c:v>39.500000000000007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39.800000000000004</c:v>
                </c:pt>
                <c:pt idx="399">
                  <c:v>39.900000000000006</c:v>
                </c:pt>
                <c:pt idx="400">
                  <c:v>40.000000000000007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40.300000000000004</c:v>
                </c:pt>
                <c:pt idx="404">
                  <c:v>40.400000000000006</c:v>
                </c:pt>
                <c:pt idx="405">
                  <c:v>40.500000000000007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40.800000000000004</c:v>
                </c:pt>
                <c:pt idx="409">
                  <c:v>40.900000000000006</c:v>
                </c:pt>
                <c:pt idx="410">
                  <c:v>41.000000000000007</c:v>
                </c:pt>
                <c:pt idx="411">
                  <c:v>41.1</c:v>
                </c:pt>
                <c:pt idx="412">
                  <c:v>41.2</c:v>
                </c:pt>
                <c:pt idx="413">
                  <c:v>41.300000000000004</c:v>
                </c:pt>
                <c:pt idx="414">
                  <c:v>41.400000000000006</c:v>
                </c:pt>
                <c:pt idx="415">
                  <c:v>41.500000000000007</c:v>
                </c:pt>
                <c:pt idx="416">
                  <c:v>41.6</c:v>
                </c:pt>
                <c:pt idx="417">
                  <c:v>41.7</c:v>
                </c:pt>
                <c:pt idx="418">
                  <c:v>41.800000000000004</c:v>
                </c:pt>
                <c:pt idx="419">
                  <c:v>41.900000000000006</c:v>
                </c:pt>
                <c:pt idx="420">
                  <c:v>42.000000000000007</c:v>
                </c:pt>
                <c:pt idx="421">
                  <c:v>42.1</c:v>
                </c:pt>
                <c:pt idx="422">
                  <c:v>42.2</c:v>
                </c:pt>
                <c:pt idx="423">
                  <c:v>42.300000000000004</c:v>
                </c:pt>
                <c:pt idx="424">
                  <c:v>42.400000000000006</c:v>
                </c:pt>
                <c:pt idx="425">
                  <c:v>42.500000000000007</c:v>
                </c:pt>
                <c:pt idx="426">
                  <c:v>42.6</c:v>
                </c:pt>
                <c:pt idx="427">
                  <c:v>42.7</c:v>
                </c:pt>
                <c:pt idx="428">
                  <c:v>42.800000000000004</c:v>
                </c:pt>
                <c:pt idx="429">
                  <c:v>42.900000000000006</c:v>
                </c:pt>
                <c:pt idx="430">
                  <c:v>43.000000000000007</c:v>
                </c:pt>
                <c:pt idx="431">
                  <c:v>43.1</c:v>
                </c:pt>
                <c:pt idx="432">
                  <c:v>43.2</c:v>
                </c:pt>
                <c:pt idx="433">
                  <c:v>43.300000000000004</c:v>
                </c:pt>
                <c:pt idx="434">
                  <c:v>43.400000000000006</c:v>
                </c:pt>
                <c:pt idx="435">
                  <c:v>43.500000000000007</c:v>
                </c:pt>
                <c:pt idx="436">
                  <c:v>43.6</c:v>
                </c:pt>
                <c:pt idx="437">
                  <c:v>43.7</c:v>
                </c:pt>
                <c:pt idx="438">
                  <c:v>43.800000000000004</c:v>
                </c:pt>
                <c:pt idx="439">
                  <c:v>43.900000000000006</c:v>
                </c:pt>
                <c:pt idx="440">
                  <c:v>44.000000000000007</c:v>
                </c:pt>
                <c:pt idx="441">
                  <c:v>44.1</c:v>
                </c:pt>
                <c:pt idx="442">
                  <c:v>44.2</c:v>
                </c:pt>
                <c:pt idx="443">
                  <c:v>44.300000000000004</c:v>
                </c:pt>
                <c:pt idx="444">
                  <c:v>44.400000000000006</c:v>
                </c:pt>
                <c:pt idx="445">
                  <c:v>44.500000000000007</c:v>
                </c:pt>
                <c:pt idx="446">
                  <c:v>44.6</c:v>
                </c:pt>
                <c:pt idx="447">
                  <c:v>44.7</c:v>
                </c:pt>
                <c:pt idx="448">
                  <c:v>44.800000000000004</c:v>
                </c:pt>
                <c:pt idx="449">
                  <c:v>44.900000000000006</c:v>
                </c:pt>
                <c:pt idx="450">
                  <c:v>45.000000000000007</c:v>
                </c:pt>
                <c:pt idx="451">
                  <c:v>45.1</c:v>
                </c:pt>
                <c:pt idx="452">
                  <c:v>45.2</c:v>
                </c:pt>
                <c:pt idx="453">
                  <c:v>45.300000000000004</c:v>
                </c:pt>
                <c:pt idx="454">
                  <c:v>45.400000000000006</c:v>
                </c:pt>
                <c:pt idx="455">
                  <c:v>45.500000000000007</c:v>
                </c:pt>
                <c:pt idx="456">
                  <c:v>45.6</c:v>
                </c:pt>
                <c:pt idx="457">
                  <c:v>45.7</c:v>
                </c:pt>
                <c:pt idx="458">
                  <c:v>45.800000000000004</c:v>
                </c:pt>
                <c:pt idx="459">
                  <c:v>45.900000000000006</c:v>
                </c:pt>
                <c:pt idx="460">
                  <c:v>46.000000000000007</c:v>
                </c:pt>
                <c:pt idx="461">
                  <c:v>46.1</c:v>
                </c:pt>
                <c:pt idx="462">
                  <c:v>46.2</c:v>
                </c:pt>
                <c:pt idx="463">
                  <c:v>46.300000000000004</c:v>
                </c:pt>
                <c:pt idx="464">
                  <c:v>46.400000000000006</c:v>
                </c:pt>
                <c:pt idx="465">
                  <c:v>46.500000000000007</c:v>
                </c:pt>
                <c:pt idx="466">
                  <c:v>46.6</c:v>
                </c:pt>
                <c:pt idx="467">
                  <c:v>46.7</c:v>
                </c:pt>
                <c:pt idx="468">
                  <c:v>46.800000000000004</c:v>
                </c:pt>
                <c:pt idx="469">
                  <c:v>46.900000000000006</c:v>
                </c:pt>
                <c:pt idx="470">
                  <c:v>47.000000000000007</c:v>
                </c:pt>
                <c:pt idx="471">
                  <c:v>47.1</c:v>
                </c:pt>
                <c:pt idx="472">
                  <c:v>47.2</c:v>
                </c:pt>
                <c:pt idx="473">
                  <c:v>47.300000000000004</c:v>
                </c:pt>
                <c:pt idx="474">
                  <c:v>47.400000000000006</c:v>
                </c:pt>
                <c:pt idx="475">
                  <c:v>47.500000000000007</c:v>
                </c:pt>
                <c:pt idx="476">
                  <c:v>47.6</c:v>
                </c:pt>
                <c:pt idx="477">
                  <c:v>47.7</c:v>
                </c:pt>
                <c:pt idx="478">
                  <c:v>47.800000000000004</c:v>
                </c:pt>
                <c:pt idx="479">
                  <c:v>47.900000000000006</c:v>
                </c:pt>
                <c:pt idx="480">
                  <c:v>48.000000000000007</c:v>
                </c:pt>
                <c:pt idx="481">
                  <c:v>48.1</c:v>
                </c:pt>
                <c:pt idx="482">
                  <c:v>48.2</c:v>
                </c:pt>
                <c:pt idx="483">
                  <c:v>48.300000000000004</c:v>
                </c:pt>
                <c:pt idx="484">
                  <c:v>48.400000000000006</c:v>
                </c:pt>
                <c:pt idx="485">
                  <c:v>48.500000000000007</c:v>
                </c:pt>
                <c:pt idx="486">
                  <c:v>48.6</c:v>
                </c:pt>
                <c:pt idx="487">
                  <c:v>48.7</c:v>
                </c:pt>
                <c:pt idx="488">
                  <c:v>48.800000000000004</c:v>
                </c:pt>
                <c:pt idx="489">
                  <c:v>48.900000000000006</c:v>
                </c:pt>
                <c:pt idx="490">
                  <c:v>49.000000000000007</c:v>
                </c:pt>
                <c:pt idx="491">
                  <c:v>49.1</c:v>
                </c:pt>
                <c:pt idx="492">
                  <c:v>49.2</c:v>
                </c:pt>
                <c:pt idx="493">
                  <c:v>49.300000000000004</c:v>
                </c:pt>
                <c:pt idx="494">
                  <c:v>49.400000000000006</c:v>
                </c:pt>
                <c:pt idx="495">
                  <c:v>49.500000000000007</c:v>
                </c:pt>
                <c:pt idx="496">
                  <c:v>49.6</c:v>
                </c:pt>
                <c:pt idx="497">
                  <c:v>49.7</c:v>
                </c:pt>
                <c:pt idx="498">
                  <c:v>49.800000000000004</c:v>
                </c:pt>
                <c:pt idx="499">
                  <c:v>49.900000000000006</c:v>
                </c:pt>
                <c:pt idx="500">
                  <c:v>50.000000000000007</c:v>
                </c:pt>
                <c:pt idx="501">
                  <c:v>50.1</c:v>
                </c:pt>
                <c:pt idx="502">
                  <c:v>50.2</c:v>
                </c:pt>
                <c:pt idx="503">
                  <c:v>50.300000000000004</c:v>
                </c:pt>
                <c:pt idx="504">
                  <c:v>50.400000000000006</c:v>
                </c:pt>
                <c:pt idx="505">
                  <c:v>50.500000000000007</c:v>
                </c:pt>
                <c:pt idx="506">
                  <c:v>50.6</c:v>
                </c:pt>
                <c:pt idx="507">
                  <c:v>50.7</c:v>
                </c:pt>
                <c:pt idx="508">
                  <c:v>50.800000000000004</c:v>
                </c:pt>
                <c:pt idx="509">
                  <c:v>50.900000000000006</c:v>
                </c:pt>
                <c:pt idx="510">
                  <c:v>51.000000000000007</c:v>
                </c:pt>
                <c:pt idx="511">
                  <c:v>51.1</c:v>
                </c:pt>
                <c:pt idx="512">
                  <c:v>51.2</c:v>
                </c:pt>
                <c:pt idx="513">
                  <c:v>51.300000000000004</c:v>
                </c:pt>
                <c:pt idx="514">
                  <c:v>51.400000000000006</c:v>
                </c:pt>
                <c:pt idx="515">
                  <c:v>51.500000000000007</c:v>
                </c:pt>
                <c:pt idx="516">
                  <c:v>51.6</c:v>
                </c:pt>
                <c:pt idx="517">
                  <c:v>51.7</c:v>
                </c:pt>
                <c:pt idx="518">
                  <c:v>51.800000000000004</c:v>
                </c:pt>
                <c:pt idx="519">
                  <c:v>51.900000000000006</c:v>
                </c:pt>
                <c:pt idx="520">
                  <c:v>52.000000000000007</c:v>
                </c:pt>
                <c:pt idx="521">
                  <c:v>52.1</c:v>
                </c:pt>
                <c:pt idx="522">
                  <c:v>52.2</c:v>
                </c:pt>
                <c:pt idx="523">
                  <c:v>52.300000000000004</c:v>
                </c:pt>
                <c:pt idx="524">
                  <c:v>52.400000000000006</c:v>
                </c:pt>
                <c:pt idx="525">
                  <c:v>52.500000000000007</c:v>
                </c:pt>
                <c:pt idx="526">
                  <c:v>52.6</c:v>
                </c:pt>
                <c:pt idx="527">
                  <c:v>52.7</c:v>
                </c:pt>
                <c:pt idx="528">
                  <c:v>52.800000000000004</c:v>
                </c:pt>
                <c:pt idx="529">
                  <c:v>52.900000000000006</c:v>
                </c:pt>
                <c:pt idx="530">
                  <c:v>53.000000000000007</c:v>
                </c:pt>
                <c:pt idx="531">
                  <c:v>53.1</c:v>
                </c:pt>
                <c:pt idx="532">
                  <c:v>53.2</c:v>
                </c:pt>
                <c:pt idx="533">
                  <c:v>53.300000000000004</c:v>
                </c:pt>
                <c:pt idx="534">
                  <c:v>53.400000000000006</c:v>
                </c:pt>
                <c:pt idx="535">
                  <c:v>53.500000000000007</c:v>
                </c:pt>
                <c:pt idx="536">
                  <c:v>53.6</c:v>
                </c:pt>
                <c:pt idx="537">
                  <c:v>53.7</c:v>
                </c:pt>
                <c:pt idx="538">
                  <c:v>53.800000000000004</c:v>
                </c:pt>
                <c:pt idx="539">
                  <c:v>53.900000000000006</c:v>
                </c:pt>
                <c:pt idx="540">
                  <c:v>54.000000000000007</c:v>
                </c:pt>
                <c:pt idx="541">
                  <c:v>54.1</c:v>
                </c:pt>
                <c:pt idx="542">
                  <c:v>54.2</c:v>
                </c:pt>
                <c:pt idx="543">
                  <c:v>54.300000000000004</c:v>
                </c:pt>
                <c:pt idx="544">
                  <c:v>54.400000000000006</c:v>
                </c:pt>
                <c:pt idx="545">
                  <c:v>54.500000000000007</c:v>
                </c:pt>
                <c:pt idx="546">
                  <c:v>54.6</c:v>
                </c:pt>
                <c:pt idx="547">
                  <c:v>54.7</c:v>
                </c:pt>
                <c:pt idx="548">
                  <c:v>54.800000000000004</c:v>
                </c:pt>
                <c:pt idx="549">
                  <c:v>54.900000000000006</c:v>
                </c:pt>
                <c:pt idx="550">
                  <c:v>55.000000000000007</c:v>
                </c:pt>
                <c:pt idx="551">
                  <c:v>55.1</c:v>
                </c:pt>
                <c:pt idx="552">
                  <c:v>55.2</c:v>
                </c:pt>
                <c:pt idx="553">
                  <c:v>55.300000000000004</c:v>
                </c:pt>
                <c:pt idx="554">
                  <c:v>55.400000000000006</c:v>
                </c:pt>
                <c:pt idx="555">
                  <c:v>55.500000000000007</c:v>
                </c:pt>
                <c:pt idx="556">
                  <c:v>55.6</c:v>
                </c:pt>
                <c:pt idx="557">
                  <c:v>55.7</c:v>
                </c:pt>
                <c:pt idx="558">
                  <c:v>55.800000000000004</c:v>
                </c:pt>
                <c:pt idx="559">
                  <c:v>55.900000000000006</c:v>
                </c:pt>
                <c:pt idx="560">
                  <c:v>56.000000000000007</c:v>
                </c:pt>
                <c:pt idx="561">
                  <c:v>56.1</c:v>
                </c:pt>
                <c:pt idx="562">
                  <c:v>56.2</c:v>
                </c:pt>
                <c:pt idx="563">
                  <c:v>56.300000000000004</c:v>
                </c:pt>
                <c:pt idx="564">
                  <c:v>56.400000000000006</c:v>
                </c:pt>
                <c:pt idx="565">
                  <c:v>56.500000000000007</c:v>
                </c:pt>
                <c:pt idx="566">
                  <c:v>56.6</c:v>
                </c:pt>
                <c:pt idx="567">
                  <c:v>56.7</c:v>
                </c:pt>
                <c:pt idx="568">
                  <c:v>56.800000000000004</c:v>
                </c:pt>
                <c:pt idx="569">
                  <c:v>56.900000000000006</c:v>
                </c:pt>
                <c:pt idx="570">
                  <c:v>57.000000000000007</c:v>
                </c:pt>
                <c:pt idx="571">
                  <c:v>57.1</c:v>
                </c:pt>
                <c:pt idx="572">
                  <c:v>57.2</c:v>
                </c:pt>
                <c:pt idx="573">
                  <c:v>57.300000000000004</c:v>
                </c:pt>
                <c:pt idx="574">
                  <c:v>57.400000000000006</c:v>
                </c:pt>
                <c:pt idx="575">
                  <c:v>57.500000000000007</c:v>
                </c:pt>
                <c:pt idx="576">
                  <c:v>57.6</c:v>
                </c:pt>
                <c:pt idx="577">
                  <c:v>57.7</c:v>
                </c:pt>
                <c:pt idx="578">
                  <c:v>57.800000000000004</c:v>
                </c:pt>
                <c:pt idx="579">
                  <c:v>57.900000000000006</c:v>
                </c:pt>
                <c:pt idx="580">
                  <c:v>58.000000000000007</c:v>
                </c:pt>
                <c:pt idx="581">
                  <c:v>58.1</c:v>
                </c:pt>
                <c:pt idx="582">
                  <c:v>58.2</c:v>
                </c:pt>
                <c:pt idx="583">
                  <c:v>58.300000000000004</c:v>
                </c:pt>
                <c:pt idx="584">
                  <c:v>58.400000000000006</c:v>
                </c:pt>
                <c:pt idx="585">
                  <c:v>58.500000000000007</c:v>
                </c:pt>
                <c:pt idx="586">
                  <c:v>58.6</c:v>
                </c:pt>
                <c:pt idx="587">
                  <c:v>58.7</c:v>
                </c:pt>
                <c:pt idx="588">
                  <c:v>58.800000000000004</c:v>
                </c:pt>
                <c:pt idx="589">
                  <c:v>58.900000000000006</c:v>
                </c:pt>
                <c:pt idx="590">
                  <c:v>59.000000000000007</c:v>
                </c:pt>
                <c:pt idx="591">
                  <c:v>59.1</c:v>
                </c:pt>
                <c:pt idx="592">
                  <c:v>59.2</c:v>
                </c:pt>
                <c:pt idx="593">
                  <c:v>59.300000000000004</c:v>
                </c:pt>
                <c:pt idx="594">
                  <c:v>59.400000000000006</c:v>
                </c:pt>
                <c:pt idx="595">
                  <c:v>59.500000000000007</c:v>
                </c:pt>
                <c:pt idx="596">
                  <c:v>59.6</c:v>
                </c:pt>
                <c:pt idx="597">
                  <c:v>59.7</c:v>
                </c:pt>
                <c:pt idx="598">
                  <c:v>59.800000000000004</c:v>
                </c:pt>
                <c:pt idx="599">
                  <c:v>59.900000000000006</c:v>
                </c:pt>
                <c:pt idx="600">
                  <c:v>60.000000000000007</c:v>
                </c:pt>
                <c:pt idx="601">
                  <c:v>60.1</c:v>
                </c:pt>
                <c:pt idx="602">
                  <c:v>60.2</c:v>
                </c:pt>
                <c:pt idx="603">
                  <c:v>60.300000000000004</c:v>
                </c:pt>
                <c:pt idx="604">
                  <c:v>60.400000000000006</c:v>
                </c:pt>
                <c:pt idx="605">
                  <c:v>60.500000000000007</c:v>
                </c:pt>
                <c:pt idx="606">
                  <c:v>60.6</c:v>
                </c:pt>
                <c:pt idx="607">
                  <c:v>60.7</c:v>
                </c:pt>
                <c:pt idx="608">
                  <c:v>60.800000000000004</c:v>
                </c:pt>
                <c:pt idx="609">
                  <c:v>60.900000000000006</c:v>
                </c:pt>
                <c:pt idx="610">
                  <c:v>61.000000000000007</c:v>
                </c:pt>
                <c:pt idx="611">
                  <c:v>61.1</c:v>
                </c:pt>
                <c:pt idx="612">
                  <c:v>61.2</c:v>
                </c:pt>
                <c:pt idx="613">
                  <c:v>61.300000000000004</c:v>
                </c:pt>
                <c:pt idx="614">
                  <c:v>61.400000000000006</c:v>
                </c:pt>
                <c:pt idx="615">
                  <c:v>61.500000000000007</c:v>
                </c:pt>
                <c:pt idx="616">
                  <c:v>61.6</c:v>
                </c:pt>
                <c:pt idx="617">
                  <c:v>61.7</c:v>
                </c:pt>
                <c:pt idx="618">
                  <c:v>61.800000000000004</c:v>
                </c:pt>
                <c:pt idx="619">
                  <c:v>61.900000000000006</c:v>
                </c:pt>
                <c:pt idx="620">
                  <c:v>62.000000000000007</c:v>
                </c:pt>
                <c:pt idx="621">
                  <c:v>62.1</c:v>
                </c:pt>
                <c:pt idx="622">
                  <c:v>62.2</c:v>
                </c:pt>
                <c:pt idx="623">
                  <c:v>62.300000000000004</c:v>
                </c:pt>
                <c:pt idx="624">
                  <c:v>62.400000000000006</c:v>
                </c:pt>
                <c:pt idx="625">
                  <c:v>62.500000000000007</c:v>
                </c:pt>
                <c:pt idx="626">
                  <c:v>62.6</c:v>
                </c:pt>
                <c:pt idx="627">
                  <c:v>62.7</c:v>
                </c:pt>
                <c:pt idx="628">
                  <c:v>62.800000000000004</c:v>
                </c:pt>
                <c:pt idx="629">
                  <c:v>62.900000000000006</c:v>
                </c:pt>
                <c:pt idx="630">
                  <c:v>63.000000000000007</c:v>
                </c:pt>
                <c:pt idx="631">
                  <c:v>63.1</c:v>
                </c:pt>
                <c:pt idx="632">
                  <c:v>63.2</c:v>
                </c:pt>
                <c:pt idx="633">
                  <c:v>63.300000000000004</c:v>
                </c:pt>
                <c:pt idx="634">
                  <c:v>63.400000000000006</c:v>
                </c:pt>
                <c:pt idx="635">
                  <c:v>63.500000000000007</c:v>
                </c:pt>
                <c:pt idx="636">
                  <c:v>63.6</c:v>
                </c:pt>
                <c:pt idx="637">
                  <c:v>63.7</c:v>
                </c:pt>
                <c:pt idx="638">
                  <c:v>63.800000000000004</c:v>
                </c:pt>
                <c:pt idx="639">
                  <c:v>63.900000000000006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64.399999999999991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64.899999999999991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65.399999999999991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65.899999999999991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66.399999999999991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66.899999999999991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67.399999999999991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67.899999999999991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68.399999999999991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68.899999999999991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69.399999999999991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69.899999999999991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70.399999999999991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70.899999999999991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71.399999999999991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71.899999999999991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72.399999999999991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72.899999999999991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73.399999999999991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73.899999999999991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74.399999999999991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74.899999999999991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75.899999999999991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76.399999999999991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</c:numCache>
            </c:numRef>
          </c:xVal>
          <c:yVal>
            <c:numRef>
              <c:f>感染症の流行!$B$2:$B$902</c:f>
              <c:numCache>
                <c:formatCode>General</c:formatCode>
                <c:ptCount val="901"/>
                <c:pt idx="0">
                  <c:v>1000</c:v>
                </c:pt>
                <c:pt idx="1">
                  <c:v>999.96</c:v>
                </c:pt>
                <c:pt idx="2">
                  <c:v>999.91920163200007</c:v>
                </c:pt>
                <c:pt idx="3">
                  <c:v>999.87758905977967</c:v>
                </c:pt>
                <c:pt idx="4">
                  <c:v>999.83514613697935</c:v>
                </c:pt>
                <c:pt idx="5">
                  <c:v>999.79185640118806</c:v>
                </c:pt>
                <c:pt idx="6">
                  <c:v>999.74770306792425</c:v>
                </c:pt>
                <c:pt idx="7">
                  <c:v>999.70266902450942</c:v>
                </c:pt>
                <c:pt idx="8">
                  <c:v>999.65673682383226</c:v>
                </c:pt>
                <c:pt idx="9">
                  <c:v>999.60988867800154</c:v>
                </c:pt>
                <c:pt idx="10">
                  <c:v>999.56210645188617</c:v>
                </c:pt>
                <c:pt idx="11">
                  <c:v>999.51337165654115</c:v>
                </c:pt>
                <c:pt idx="12">
                  <c:v>999.46366544251691</c:v>
                </c:pt>
                <c:pt idx="13">
                  <c:v>999.412968593051</c:v>
                </c:pt>
                <c:pt idx="14">
                  <c:v>999.36126151714029</c:v>
                </c:pt>
                <c:pt idx="15">
                  <c:v>999.30852424249156</c:v>
                </c:pt>
                <c:pt idx="16">
                  <c:v>999.25473640834957</c:v>
                </c:pt>
                <c:pt idx="17">
                  <c:v>999.19987725819965</c:v>
                </c:pt>
                <c:pt idx="18">
                  <c:v>999.14392563234435</c:v>
                </c:pt>
                <c:pt idx="19">
                  <c:v>999.0868599603516</c:v>
                </c:pt>
                <c:pt idx="20">
                  <c:v>999.02865825337244</c:v>
                </c:pt>
                <c:pt idx="21">
                  <c:v>998.96929809632763</c:v>
                </c:pt>
                <c:pt idx="22">
                  <c:v>998.90875663996019</c:v>
                </c:pt>
                <c:pt idx="23">
                  <c:v>998.84701059275244</c:v>
                </c:pt>
                <c:pt idx="24">
                  <c:v>998.78403621270661</c:v>
                </c:pt>
                <c:pt idx="25">
                  <c:v>998.71980929898587</c:v>
                </c:pt>
                <c:pt idx="26">
                  <c:v>998.65430518341475</c:v>
                </c:pt>
                <c:pt idx="27">
                  <c:v>998.58749872183762</c:v>
                </c:pt>
                <c:pt idx="28">
                  <c:v>998.51936428533247</c:v>
                </c:pt>
                <c:pt idx="29">
                  <c:v>998.44987575127902</c:v>
                </c:pt>
                <c:pt idx="30">
                  <c:v>998.37900649427911</c:v>
                </c:pt>
                <c:pt idx="31">
                  <c:v>998.30672937692748</c:v>
                </c:pt>
                <c:pt idx="32">
                  <c:v>998.23301674043182</c:v>
                </c:pt>
                <c:pt idx="33">
                  <c:v>998.15784039507957</c:v>
                </c:pt>
                <c:pt idx="34">
                  <c:v>998.0811716105502</c:v>
                </c:pt>
                <c:pt idx="35">
                  <c:v>998.00298110607173</c:v>
                </c:pt>
                <c:pt idx="36">
                  <c:v>997.92323904041893</c:v>
                </c:pt>
                <c:pt idx="37">
                  <c:v>997.84191500175211</c:v>
                </c:pt>
                <c:pt idx="38">
                  <c:v>997.75897799729489</c:v>
                </c:pt>
                <c:pt idx="39">
                  <c:v>997.67439644284946</c:v>
                </c:pt>
                <c:pt idx="40">
                  <c:v>997.58813815214728</c:v>
                </c:pt>
                <c:pt idx="41">
                  <c:v>997.50017032603421</c:v>
                </c:pt>
                <c:pt idx="42">
                  <c:v>997.41045954148854</c:v>
                </c:pt>
                <c:pt idx="43">
                  <c:v>997.31897174047026</c:v>
                </c:pt>
                <c:pt idx="44">
                  <c:v>997.22567221860038</c:v>
                </c:pt>
                <c:pt idx="45">
                  <c:v>997.13052561366862</c:v>
                </c:pt>
                <c:pt idx="46">
                  <c:v>997.03349589396885</c:v>
                </c:pt>
                <c:pt idx="47">
                  <c:v>996.93454634646002</c:v>
                </c:pt>
                <c:pt idx="48">
                  <c:v>996.83363956475262</c:v>
                </c:pt>
                <c:pt idx="49">
                  <c:v>996.7307374369185</c:v>
                </c:pt>
                <c:pt idx="50">
                  <c:v>996.62580113312356</c:v>
                </c:pt>
                <c:pt idx="51">
                  <c:v>996.51879109308197</c:v>
                </c:pt>
                <c:pt idx="52">
                  <c:v>996.40966701333127</c:v>
                </c:pt>
                <c:pt idx="53">
                  <c:v>996.29838783432774</c:v>
                </c:pt>
                <c:pt idx="54">
                  <c:v>996.18491172736026</c:v>
                </c:pt>
                <c:pt idx="55">
                  <c:v>996.06919608128362</c:v>
                </c:pt>
                <c:pt idx="56">
                  <c:v>995.95119748906905</c:v>
                </c:pt>
                <c:pt idx="57">
                  <c:v>995.83087173417266</c:v>
                </c:pt>
                <c:pt idx="58">
                  <c:v>995.70817377672108</c:v>
                </c:pt>
                <c:pt idx="59">
                  <c:v>995.58305773951349</c:v>
                </c:pt>
                <c:pt idx="60">
                  <c:v>995.45547689384091</c:v>
                </c:pt>
                <c:pt idx="61">
                  <c:v>995.32538364512243</c:v>
                </c:pt>
                <c:pt idx="62">
                  <c:v>995.19272951835751</c:v>
                </c:pt>
                <c:pt idx="63">
                  <c:v>995.05746514339614</c:v>
                </c:pt>
                <c:pt idx="64">
                  <c:v>994.91954024002644</c:v>
                </c:pt>
                <c:pt idx="65">
                  <c:v>994.77890360288006</c:v>
                </c:pt>
                <c:pt idx="66">
                  <c:v>994.63550308615663</c:v>
                </c:pt>
                <c:pt idx="67">
                  <c:v>994.48928558816795</c:v>
                </c:pt>
                <c:pt idx="68">
                  <c:v>994.340197035703</c:v>
                </c:pt>
                <c:pt idx="69">
                  <c:v>994.18818236821471</c:v>
                </c:pt>
                <c:pt idx="70">
                  <c:v>994.03318552183077</c:v>
                </c:pt>
                <c:pt idx="71">
                  <c:v>993.87514941318886</c:v>
                </c:pt>
                <c:pt idx="72">
                  <c:v>993.7140159230994</c:v>
                </c:pt>
                <c:pt idx="73">
                  <c:v>993.54972588003739</c:v>
                </c:pt>
                <c:pt idx="74">
                  <c:v>993.3822190434654</c:v>
                </c:pt>
                <c:pt idx="75">
                  <c:v>993.21143408699061</c:v>
                </c:pt>
                <c:pt idx="76">
                  <c:v>993.03730858135884</c:v>
                </c:pt>
                <c:pt idx="77">
                  <c:v>992.85977897728822</c:v>
                </c:pt>
                <c:pt idx="78">
                  <c:v>992.67878058814631</c:v>
                </c:pt>
                <c:pt idx="79">
                  <c:v>992.49424757247368</c:v>
                </c:pt>
                <c:pt idx="80">
                  <c:v>992.30611291635921</c:v>
                </c:pt>
                <c:pt idx="81">
                  <c:v>992.11430841566937</c:v>
                </c:pt>
                <c:pt idx="82">
                  <c:v>991.91876465813834</c:v>
                </c:pt>
                <c:pt idx="83">
                  <c:v>991.71941100532172</c:v>
                </c:pt>
                <c:pt idx="84">
                  <c:v>991.51617557442103</c:v>
                </c:pt>
                <c:pt idx="85">
                  <c:v>991.30898521998336</c:v>
                </c:pt>
                <c:pt idx="86">
                  <c:v>991.09776551548259</c:v>
                </c:pt>
                <c:pt idx="87">
                  <c:v>990.88244073478916</c:v>
                </c:pt>
                <c:pt idx="88">
                  <c:v>990.662933833534</c:v>
                </c:pt>
                <c:pt idx="89">
                  <c:v>990.43916643037539</c:v>
                </c:pt>
                <c:pt idx="90">
                  <c:v>990.21105878817536</c:v>
                </c:pt>
                <c:pt idx="91">
                  <c:v>989.97852979509412</c:v>
                </c:pt>
                <c:pt idx="92">
                  <c:v>989.74149694561174</c:v>
                </c:pt>
                <c:pt idx="93">
                  <c:v>989.49987632148509</c:v>
                </c:pt>
                <c:pt idx="94">
                  <c:v>989.25358257265111</c:v>
                </c:pt>
                <c:pt idx="95">
                  <c:v>989.00252889808507</c:v>
                </c:pt>
                <c:pt idx="96">
                  <c:v>988.74662702662647</c:v>
                </c:pt>
                <c:pt idx="97">
                  <c:v>988.48578719778163</c:v>
                </c:pt>
                <c:pt idx="98">
                  <c:v>988.21991814251703</c:v>
                </c:pt>
                <c:pt idx="99">
                  <c:v>987.94892706405471</c:v>
                </c:pt>
                <c:pt idx="100">
                  <c:v>987.67271961868289</c:v>
                </c:pt>
                <c:pt idx="101">
                  <c:v>987.39119989659605</c:v>
                </c:pt>
                <c:pt idx="102">
                  <c:v>987.10427040277909</c:v>
                </c:pt>
                <c:pt idx="103">
                  <c:v>986.81183203794967</c:v>
                </c:pt>
                <c:pt idx="104">
                  <c:v>986.513784079576</c:v>
                </c:pt>
                <c:pt idx="105">
                  <c:v>986.21002416298552</c:v>
                </c:pt>
                <c:pt idx="106">
                  <c:v>985.9004482625827</c:v>
                </c:pt>
                <c:pt idx="107">
                  <c:v>985.58495067319348</c:v>
                </c:pt>
                <c:pt idx="108">
                  <c:v>985.26342399155544</c:v>
                </c:pt>
                <c:pt idx="109">
                  <c:v>984.93575909797346</c:v>
                </c:pt>
                <c:pt idx="110">
                  <c:v>984.60184513816205</c:v>
                </c:pt>
                <c:pt idx="111">
                  <c:v>984.26156950529457</c:v>
                </c:pt>
                <c:pt idx="112">
                  <c:v>983.91481782228277</c:v>
                </c:pt>
                <c:pt idx="113">
                  <c:v>983.56147392430955</c:v>
                </c:pt>
                <c:pt idx="114">
                  <c:v>983.20141984163934</c:v>
                </c:pt>
                <c:pt idx="115">
                  <c:v>982.83453578273065</c:v>
                </c:pt>
                <c:pt idx="116">
                  <c:v>982.46070011767756</c:v>
                </c:pt>
                <c:pt idx="117">
                  <c:v>982.07978936200755</c:v>
                </c:pt>
                <c:pt idx="118">
                  <c:v>981.69167816086281</c:v>
                </c:pt>
                <c:pt idx="119">
                  <c:v>981.29623927359501</c:v>
                </c:pt>
                <c:pt idx="120">
                  <c:v>980.89334355880419</c:v>
                </c:pt>
                <c:pt idx="121">
                  <c:v>980.48285995985225</c:v>
                </c:pt>
                <c:pt idx="122">
                  <c:v>980.06465549088409</c:v>
                </c:pt>
                <c:pt idx="123">
                  <c:v>979.63859522339021</c:v>
                </c:pt>
                <c:pt idx="124">
                  <c:v>979.20454227334517</c:v>
                </c:pt>
                <c:pt idx="125">
                  <c:v>978.76235778895818</c:v>
                </c:pt>
                <c:pt idx="126">
                  <c:v>978.3119009390731</c:v>
                </c:pt>
                <c:pt idx="127">
                  <c:v>977.85302890225614</c:v>
                </c:pt>
                <c:pt idx="128">
                  <c:v>977.38559685661062</c:v>
                </c:pt>
                <c:pt idx="129">
                  <c:v>976.90945797036022</c:v>
                </c:pt>
                <c:pt idx="130">
                  <c:v>976.42446339324306</c:v>
                </c:pt>
                <c:pt idx="131">
                  <c:v>975.93046224875866</c:v>
                </c:pt>
                <c:pt idx="132">
                  <c:v>975.42730162731471</c:v>
                </c:pt>
                <c:pt idx="133">
                  <c:v>974.91482658031771</c:v>
                </c:pt>
                <c:pt idx="134">
                  <c:v>974.39288011525605</c:v>
                </c:pt>
                <c:pt idx="135">
                  <c:v>973.86130319182371</c:v>
                </c:pt>
                <c:pt idx="136">
                  <c:v>973.31993471913484</c:v>
                </c:pt>
                <c:pt idx="137">
                  <c:v>972.76861155408039</c:v>
                </c:pt>
                <c:pt idx="138">
                  <c:v>972.20716850087956</c:v>
                </c:pt>
                <c:pt idx="139">
                  <c:v>971.63543831188031</c:v>
                </c:pt>
                <c:pt idx="140">
                  <c:v>971.05325168966385</c:v>
                </c:pt>
                <c:pt idx="141">
                  <c:v>970.46043729050996</c:v>
                </c:pt>
                <c:pt idx="142">
                  <c:v>969.85682172928148</c:v>
                </c:pt>
                <c:pt idx="143">
                  <c:v>969.24222958578673</c:v>
                </c:pt>
                <c:pt idx="144">
                  <c:v>968.61648341268119</c:v>
                </c:pt>
                <c:pt idx="145">
                  <c:v>967.97940374496898</c:v>
                </c:pt>
                <c:pt idx="146">
                  <c:v>967.33080911116929</c:v>
                </c:pt>
                <c:pt idx="147">
                  <c:v>966.67051604620985</c:v>
                </c:pt>
                <c:pt idx="148">
                  <c:v>965.99833910611494</c:v>
                </c:pt>
                <c:pt idx="149">
                  <c:v>965.31409088455337</c:v>
                </c:pt>
                <c:pt idx="150">
                  <c:v>964.6175820313149</c:v>
                </c:pt>
                <c:pt idx="151">
                  <c:v>963.90862127278353</c:v>
                </c:pt>
                <c:pt idx="152">
                  <c:v>963.18701543447844</c:v>
                </c:pt>
                <c:pt idx="153">
                  <c:v>962.45256946573215</c:v>
                </c:pt>
                <c:pt idx="154">
                  <c:v>961.70508646657959</c:v>
                </c:pt>
                <c:pt idx="155">
                  <c:v>960.94436771692858</c:v>
                </c:pt>
                <c:pt idx="156">
                  <c:v>960.17021270808743</c:v>
                </c:pt>
                <c:pt idx="157">
                  <c:v>959.38241917672212</c:v>
                </c:pt>
                <c:pt idx="158">
                  <c:v>958.58078314131876</c:v>
                </c:pt>
                <c:pt idx="159">
                  <c:v>957.76509894122637</c:v>
                </c:pt>
                <c:pt idx="160">
                  <c:v>956.9351592783562</c:v>
                </c:pt>
                <c:pt idx="161">
                  <c:v>956.09075526161303</c:v>
                </c:pt>
                <c:pt idx="162">
                  <c:v>955.23167645413525</c:v>
                </c:pt>
                <c:pt idx="163">
                  <c:v>954.3577109234202</c:v>
                </c:pt>
                <c:pt idx="164">
                  <c:v>953.4686452944112</c:v>
                </c:pt>
                <c:pt idx="165">
                  <c:v>952.5642648056222</c:v>
                </c:pt>
                <c:pt idx="166">
                  <c:v>951.64435336837664</c:v>
                </c:pt>
                <c:pt idx="167">
                  <c:v>950.70869362923531</c:v>
                </c:pt>
                <c:pt idx="168">
                  <c:v>949.75706703568915</c:v>
                </c:pt>
                <c:pt idx="169">
                  <c:v>948.78925390518998</c:v>
                </c:pt>
                <c:pt idx="170">
                  <c:v>947.80503349759351</c:v>
                </c:pt>
                <c:pt idx="171">
                  <c:v>946.80418409108574</c:v>
                </c:pt>
                <c:pt idx="172">
                  <c:v>945.78648306166428</c:v>
                </c:pt>
                <c:pt idx="173">
                  <c:v>944.75170696624309</c:v>
                </c:pt>
                <c:pt idx="174">
                  <c:v>943.69963162944862</c:v>
                </c:pt>
                <c:pt idx="175">
                  <c:v>942.63003223417297</c:v>
                </c:pt>
                <c:pt idx="176">
                  <c:v>941.5426834159465</c:v>
                </c:pt>
                <c:pt idx="177">
                  <c:v>940.43735936119162</c:v>
                </c:pt>
                <c:pt idx="178">
                  <c:v>939.31383390941551</c:v>
                </c:pt>
                <c:pt idx="179">
                  <c:v>938.17188065939717</c:v>
                </c:pt>
                <c:pt idx="180">
                  <c:v>937.01127307942011</c:v>
                </c:pt>
                <c:pt idx="181">
                  <c:v>935.83178462160038</c:v>
                </c:pt>
                <c:pt idx="182">
                  <c:v>934.63318884035334</c:v>
                </c:pt>
                <c:pt idx="183">
                  <c:v>933.4152595150407</c:v>
                </c:pt>
                <c:pt idx="184">
                  <c:v>932.17777077683331</c:v>
                </c:pt>
                <c:pt idx="185">
                  <c:v>930.92049723982234</c:v>
                </c:pt>
                <c:pt idx="186">
                  <c:v>929.6432141364038</c:v>
                </c:pt>
                <c:pt idx="187">
                  <c:v>928.34569745695921</c:v>
                </c:pt>
                <c:pt idx="188">
                  <c:v>927.02772409384716</c:v>
                </c:pt>
                <c:pt idx="189">
                  <c:v>925.68907198971488</c:v>
                </c:pt>
                <c:pt idx="190">
                  <c:v>924.3295202901345</c:v>
                </c:pt>
                <c:pt idx="191">
                  <c:v>922.94884950055905</c:v>
                </c:pt>
                <c:pt idx="192">
                  <c:v>921.54684164758874</c:v>
                </c:pt>
                <c:pt idx="193">
                  <c:v>920.12328044452897</c:v>
                </c:pt>
                <c:pt idx="194">
                  <c:v>918.67795146121546</c:v>
                </c:pt>
                <c:pt idx="195">
                  <c:v>917.21064229807212</c:v>
                </c:pt>
                <c:pt idx="196">
                  <c:v>915.72114276435991</c:v>
                </c:pt>
                <c:pt idx="197">
                  <c:v>914.20924506056588</c:v>
                </c:pt>
                <c:pt idx="198">
                  <c:v>912.67474396487285</c:v>
                </c:pt>
                <c:pt idx="199">
                  <c:v>911.11743702364004</c:v>
                </c:pt>
                <c:pt idx="200">
                  <c:v>909.5371247458155</c:v>
                </c:pt>
                <c:pt idx="201">
                  <c:v>907.93361080119155</c:v>
                </c:pt>
                <c:pt idx="202">
                  <c:v>906.30670222240337</c:v>
                </c:pt>
                <c:pt idx="203">
                  <c:v>904.65620961056038</c:v>
                </c:pt>
                <c:pt idx="204">
                  <c:v>902.98194734438914</c:v>
                </c:pt>
                <c:pt idx="205">
                  <c:v>901.2837337927549</c:v>
                </c:pt>
                <c:pt idx="206">
                  <c:v>899.5613915304184</c:v>
                </c:pt>
                <c:pt idx="207">
                  <c:v>897.81474755687043</c:v>
                </c:pt>
                <c:pt idx="208">
                  <c:v>896.04363351807751</c:v>
                </c:pt>
                <c:pt idx="209">
                  <c:v>894.24788593095764</c:v>
                </c:pt>
                <c:pt idx="210">
                  <c:v>892.42734641039362</c:v>
                </c:pt>
                <c:pt idx="211">
                  <c:v>890.58186189857872</c:v>
                </c:pt>
                <c:pt idx="212">
                  <c:v>888.71128489647629</c:v>
                </c:pt>
                <c:pt idx="213">
                  <c:v>886.81547369716304</c:v>
                </c:pt>
                <c:pt idx="214">
                  <c:v>884.89429262081239</c:v>
                </c:pt>
                <c:pt idx="215">
                  <c:v>882.94761225106038</c:v>
                </c:pt>
                <c:pt idx="216">
                  <c:v>880.97530967248576</c:v>
                </c:pt>
                <c:pt idx="217">
                  <c:v>878.977268708922</c:v>
                </c:pt>
                <c:pt idx="218">
                  <c:v>876.95338016230482</c:v>
                </c:pt>
                <c:pt idx="219">
                  <c:v>874.90354205174901</c:v>
                </c:pt>
                <c:pt idx="220">
                  <c:v>872.82765985253366</c:v>
                </c:pt>
                <c:pt idx="221">
                  <c:v>870.7256467346632</c:v>
                </c:pt>
                <c:pt idx="222">
                  <c:v>868.59742380066052</c:v>
                </c:pt>
                <c:pt idx="223">
                  <c:v>866.44292032223518</c:v>
                </c:pt>
                <c:pt idx="224">
                  <c:v>864.26207397545977</c:v>
                </c:pt>
                <c:pt idx="225">
                  <c:v>862.05483107407576</c:v>
                </c:pt>
                <c:pt idx="226">
                  <c:v>859.82114680054065</c:v>
                </c:pt>
                <c:pt idx="227">
                  <c:v>857.56098543441647</c:v>
                </c:pt>
                <c:pt idx="228">
                  <c:v>855.27432057769295</c:v>
                </c:pt>
                <c:pt idx="229">
                  <c:v>852.96113537662745</c:v>
                </c:pt>
                <c:pt idx="230">
                  <c:v>850.62142273967709</c:v>
                </c:pt>
                <c:pt idx="231">
                  <c:v>848.25518555109147</c:v>
                </c:pt>
                <c:pt idx="232">
                  <c:v>845.86243687972649</c:v>
                </c:pt>
                <c:pt idx="233">
                  <c:v>843.44320018263545</c:v>
                </c:pt>
                <c:pt idx="234">
                  <c:v>840.99750950298846</c:v>
                </c:pt>
                <c:pt idx="235">
                  <c:v>838.52540966186723</c:v>
                </c:pt>
                <c:pt idx="236">
                  <c:v>836.02695644347943</c:v>
                </c:pt>
                <c:pt idx="237">
                  <c:v>833.50221677333616</c:v>
                </c:pt>
                <c:pt idx="238">
                  <c:v>830.95126888893367</c:v>
                </c:pt>
                <c:pt idx="239">
                  <c:v>828.37420250248283</c:v>
                </c:pt>
                <c:pt idx="240">
                  <c:v>825.77111895523069</c:v>
                </c:pt>
                <c:pt idx="241">
                  <c:v>823.14213136292176</c:v>
                </c:pt>
                <c:pt idx="242">
                  <c:v>820.48736475195062</c:v>
                </c:pt>
                <c:pt idx="243">
                  <c:v>817.80695618576397</c:v>
                </c:pt>
                <c:pt idx="244">
                  <c:v>815.10105488107592</c:v>
                </c:pt>
                <c:pt idx="245">
                  <c:v>812.36982231347031</c:v>
                </c:pt>
                <c:pt idx="246">
                  <c:v>809.61343231197202</c:v>
                </c:pt>
                <c:pt idx="247">
                  <c:v>806.83207114218158</c:v>
                </c:pt>
                <c:pt idx="248">
                  <c:v>804.02593757757938</c:v>
                </c:pt>
                <c:pt idx="249">
                  <c:v>801.1952429586197</c:v>
                </c:pt>
                <c:pt idx="250">
                  <c:v>798.34021123925152</c:v>
                </c:pt>
                <c:pt idx="251">
                  <c:v>795.46107902051824</c:v>
                </c:pt>
                <c:pt idx="252">
                  <c:v>792.55809557090777</c:v>
                </c:pt>
                <c:pt idx="253">
                  <c:v>789.63152283314434</c:v>
                </c:pt>
                <c:pt idx="254">
                  <c:v>786.68163541713375</c:v>
                </c:pt>
                <c:pt idx="255">
                  <c:v>783.70872057879706</c:v>
                </c:pt>
                <c:pt idx="256">
                  <c:v>780.71307818455114</c:v>
                </c:pt>
                <c:pt idx="257">
                  <c:v>777.69502066121925</c:v>
                </c:pt>
                <c:pt idx="258">
                  <c:v>774.6548729311819</c:v>
                </c:pt>
                <c:pt idx="259">
                  <c:v>771.5929723326044</c:v>
                </c:pt>
                <c:pt idx="260">
                  <c:v>768.50966852460783</c:v>
                </c:pt>
                <c:pt idx="261">
                  <c:v>765.40532337727745</c:v>
                </c:pt>
                <c:pt idx="262">
                  <c:v>762.28031084643612</c:v>
                </c:pt>
                <c:pt idx="263">
                  <c:v>759.13501683313746</c:v>
                </c:pt>
                <c:pt idx="264">
                  <c:v>755.96983902787019</c:v>
                </c:pt>
                <c:pt idx="265">
                  <c:v>752.78518673949486</c:v>
                </c:pt>
                <c:pt idx="266">
                  <c:v>749.58148070896789</c:v>
                </c:pt>
                <c:pt idx="267">
                  <c:v>746.35915290794367</c:v>
                </c:pt>
                <c:pt idx="268">
                  <c:v>743.11864632237712</c:v>
                </c:pt>
                <c:pt idx="269">
                  <c:v>739.86041472128534</c:v>
                </c:pt>
                <c:pt idx="270">
                  <c:v>736.58492241086174</c:v>
                </c:pt>
                <c:pt idx="271">
                  <c:v>733.29264397416864</c:v>
                </c:pt>
                <c:pt idx="272">
                  <c:v>729.98406399667192</c:v>
                </c:pt>
                <c:pt idx="273">
                  <c:v>726.65967677791286</c:v>
                </c:pt>
                <c:pt idx="274">
                  <c:v>723.31998602964825</c:v>
                </c:pt>
                <c:pt idx="275">
                  <c:v>719.96550456082173</c:v>
                </c:pt>
                <c:pt idx="276">
                  <c:v>716.59675394976375</c:v>
                </c:pt>
                <c:pt idx="277">
                  <c:v>713.2142642040485</c:v>
                </c:pt>
                <c:pt idx="278">
                  <c:v>709.81857340846773</c:v>
                </c:pt>
                <c:pt idx="279">
                  <c:v>706.41022736161187</c:v>
                </c:pt>
                <c:pt idx="280">
                  <c:v>702.98977920157824</c:v>
                </c:pt>
                <c:pt idx="281">
                  <c:v>699.55778902135319</c:v>
                </c:pt>
                <c:pt idx="282">
                  <c:v>696.11482347444223</c:v>
                </c:pt>
                <c:pt idx="283">
                  <c:v>692.66145537134844</c:v>
                </c:pt>
                <c:pt idx="284">
                  <c:v>689.19826326752047</c:v>
                </c:pt>
                <c:pt idx="285">
                  <c:v>685.72583104341595</c:v>
                </c:pt>
                <c:pt idx="286">
                  <c:v>682.24474747734541</c:v>
                </c:pt>
                <c:pt idx="287">
                  <c:v>678.75560581178013</c:v>
                </c:pt>
                <c:pt idx="288">
                  <c:v>675.25900331382365</c:v>
                </c:pt>
                <c:pt idx="289">
                  <c:v>671.75554083056261</c:v>
                </c:pt>
                <c:pt idx="290">
                  <c:v>668.2458223400231</c:v>
                </c:pt>
                <c:pt idx="291">
                  <c:v>664.73045449847154</c:v>
                </c:pt>
                <c:pt idx="292">
                  <c:v>661.21004618480526</c:v>
                </c:pt>
                <c:pt idx="293">
                  <c:v>657.68520804278603</c:v>
                </c:pt>
                <c:pt idx="294">
                  <c:v>654.15655202187327</c:v>
                </c:pt>
                <c:pt idx="295">
                  <c:v>650.62469091741434</c:v>
                </c:pt>
                <c:pt idx="296">
                  <c:v>647.09023791095171</c:v>
                </c:pt>
                <c:pt idx="297">
                  <c:v>643.55380611140174</c:v>
                </c:pt>
                <c:pt idx="298">
                  <c:v>640.01600809785702</c:v>
                </c:pt>
                <c:pt idx="299">
                  <c:v>636.47745546475608</c:v>
                </c:pt>
                <c:pt idx="300">
                  <c:v>632.93875837015707</c:v>
                </c:pt>
                <c:pt idx="301">
                  <c:v>629.40052508783936</c:v>
                </c:pt>
                <c:pt idx="302">
                  <c:v>625.86336156394555</c:v>
                </c:pt>
                <c:pt idx="303">
                  <c:v>622.3278709788608</c:v>
                </c:pt>
                <c:pt idx="304">
                  <c:v>618.79465331500955</c:v>
                </c:pt>
                <c:pt idx="305">
                  <c:v>615.26430493123212</c:v>
                </c:pt>
                <c:pt idx="306">
                  <c:v>611.73741814438199</c:v>
                </c:pt>
                <c:pt idx="307">
                  <c:v>608.21458081876438</c:v>
                </c:pt>
                <c:pt idx="308">
                  <c:v>604.69637596401208</c:v>
                </c:pt>
                <c:pt idx="309">
                  <c:v>601.18338134196983</c:v>
                </c:pt>
                <c:pt idx="310">
                  <c:v>597.67616908313335</c:v>
                </c:pt>
                <c:pt idx="311">
                  <c:v>594.17530531316072</c:v>
                </c:pt>
                <c:pt idx="312">
                  <c:v>590.68134978994544</c:v>
                </c:pt>
                <c:pt idx="313">
                  <c:v>587.19485555171275</c:v>
                </c:pt>
                <c:pt idx="314">
                  <c:v>583.71636857656711</c:v>
                </c:pt>
                <c:pt idx="315">
                  <c:v>580.24642745389201</c:v>
                </c:pt>
                <c:pt idx="316">
                  <c:v>576.78556306796759</c:v>
                </c:pt>
                <c:pt idx="317">
                  <c:v>573.33429829414263</c:v>
                </c:pt>
                <c:pt idx="318">
                  <c:v>569.89314770786268</c:v>
                </c:pt>
                <c:pt idx="319">
                  <c:v>566.46261730682522</c:v>
                </c:pt>
                <c:pt idx="320">
                  <c:v>563.04320424649802</c:v>
                </c:pt>
                <c:pt idx="321">
                  <c:v>559.6353965892057</c:v>
                </c:pt>
                <c:pt idx="322">
                  <c:v>556.23967306695545</c:v>
                </c:pt>
                <c:pt idx="323">
                  <c:v>552.85650285814097</c:v>
                </c:pt>
                <c:pt idx="324">
                  <c:v>549.48634537823148</c:v>
                </c:pt>
                <c:pt idx="325">
                  <c:v>546.12965008452011</c:v>
                </c:pt>
                <c:pt idx="326">
                  <c:v>542.78685629497579</c:v>
                </c:pt>
                <c:pt idx="327">
                  <c:v>539.45839302121124</c:v>
                </c:pt>
                <c:pt idx="328">
                  <c:v>536.14467881554913</c:v>
                </c:pt>
                <c:pt idx="329">
                  <c:v>532.84612163214206</c:v>
                </c:pt>
                <c:pt idx="330">
                  <c:v>529.56311870206946</c:v>
                </c:pt>
                <c:pt idx="331">
                  <c:v>526.29605642231104</c:v>
                </c:pt>
                <c:pt idx="332">
                  <c:v>523.04531025846768</c:v>
                </c:pt>
                <c:pt idx="333">
                  <c:v>519.81124466107656</c:v>
                </c:pt>
                <c:pt idx="334">
                  <c:v>516.59421299534188</c:v>
                </c:pt>
                <c:pt idx="335">
                  <c:v>513.39455748408125</c:v>
                </c:pt>
                <c:pt idx="336">
                  <c:v>510.21260916366441</c:v>
                </c:pt>
                <c:pt idx="337">
                  <c:v>507.04868785270145</c:v>
                </c:pt>
                <c:pt idx="338">
                  <c:v>503.90310213321726</c:v>
                </c:pt>
                <c:pt idx="339">
                  <c:v>500.77614934403226</c:v>
                </c:pt>
                <c:pt idx="340">
                  <c:v>497.6681155860519</c:v>
                </c:pt>
                <c:pt idx="341">
                  <c:v>494.57927573915157</c:v>
                </c:pt>
                <c:pt idx="342">
                  <c:v>491.50989349033108</c:v>
                </c:pt>
                <c:pt idx="343">
                  <c:v>488.46022137279789</c:v>
                </c:pt>
                <c:pt idx="344">
                  <c:v>485.43050081562876</c:v>
                </c:pt>
                <c:pt idx="345">
                  <c:v>482.42096220364812</c:v>
                </c:pt>
                <c:pt idx="346">
                  <c:v>479.43182494715268</c:v>
                </c:pt>
                <c:pt idx="347">
                  <c:v>476.46329756110504</c:v>
                </c:pt>
                <c:pt idx="348">
                  <c:v>473.51557775341109</c:v>
                </c:pt>
                <c:pt idx="349">
                  <c:v>470.58885252189231</c:v>
                </c:pt>
                <c:pt idx="350">
                  <c:v>467.68329825955902</c:v>
                </c:pt>
                <c:pt idx="351">
                  <c:v>464.79908086778818</c:v>
                </c:pt>
                <c:pt idx="352">
                  <c:v>461.93635587700754</c:v>
                </c:pt>
                <c:pt idx="353">
                  <c:v>459.09526857448685</c:v>
                </c:pt>
                <c:pt idx="354">
                  <c:v>456.27595413883739</c:v>
                </c:pt>
                <c:pt idx="355">
                  <c:v>453.47853778082265</c:v>
                </c:pt>
                <c:pt idx="356">
                  <c:v>450.70313489008441</c:v>
                </c:pt>
                <c:pt idx="357">
                  <c:v>447.94985118739203</c:v>
                </c:pt>
                <c:pt idx="358">
                  <c:v>445.21878288202657</c:v>
                </c:pt>
                <c:pt idx="359">
                  <c:v>442.51001683391604</c:v>
                </c:pt>
                <c:pt idx="360">
                  <c:v>439.82363072014334</c:v>
                </c:pt>
                <c:pt idx="361">
                  <c:v>437.15969320545474</c:v>
                </c:pt>
                <c:pt idx="362">
                  <c:v>434.51826411640332</c:v>
                </c:pt>
                <c:pt idx="363">
                  <c:v>431.89939461876889</c:v>
                </c:pt>
                <c:pt idx="364">
                  <c:v>429.30312739790457</c:v>
                </c:pt>
                <c:pt idx="365">
                  <c:v>426.72949684166724</c:v>
                </c:pt>
                <c:pt idx="366">
                  <c:v>424.17852922559911</c:v>
                </c:pt>
                <c:pt idx="367">
                  <c:v>421.65024290003583</c:v>
                </c:pt>
                <c:pt idx="368">
                  <c:v>419.14464847882664</c:v>
                </c:pt>
                <c:pt idx="369">
                  <c:v>416.66174902936166</c:v>
                </c:pt>
                <c:pt idx="370">
                  <c:v>414.20154026361149</c:v>
                </c:pt>
                <c:pt idx="371">
                  <c:v>411.76401072989427</c:v>
                </c:pt>
                <c:pt idx="372">
                  <c:v>409.34914200509655</c:v>
                </c:pt>
                <c:pt idx="373">
                  <c:v>406.95690888708413</c:v>
                </c:pt>
                <c:pt idx="374">
                  <c:v>404.58727958704958</c:v>
                </c:pt>
                <c:pt idx="375">
                  <c:v>402.24021592155538</c:v>
                </c:pt>
                <c:pt idx="376">
                  <c:v>399.91567350404</c:v>
                </c:pt>
                <c:pt idx="377">
                  <c:v>397.6136019355676</c:v>
                </c:pt>
                <c:pt idx="378">
                  <c:v>395.33394499461019</c:v>
                </c:pt>
                <c:pt idx="379">
                  <c:v>393.07664082566436</c:v>
                </c:pt>
                <c:pt idx="380">
                  <c:v>390.84162212651296</c:v>
                </c:pt>
                <c:pt idx="381">
                  <c:v>388.62881633395443</c:v>
                </c:pt>
                <c:pt idx="382">
                  <c:v>386.43814580783157</c:v>
                </c:pt>
                <c:pt idx="383">
                  <c:v>384.26952801320243</c:v>
                </c:pt>
                <c:pt idx="384">
                  <c:v>382.1228757005058</c:v>
                </c:pt>
                <c:pt idx="385">
                  <c:v>379.99809708358367</c:v>
                </c:pt>
                <c:pt idx="386">
                  <c:v>377.89509601543284</c:v>
                </c:pt>
                <c:pt idx="387">
                  <c:v>375.81377216156693</c:v>
                </c:pt>
                <c:pt idx="388">
                  <c:v>373.75402117087935</c:v>
                </c:pt>
                <c:pt idx="389">
                  <c:v>371.71573484390728</c:v>
                </c:pt>
                <c:pt idx="390">
                  <c:v>369.69880129840431</c:v>
                </c:pt>
                <c:pt idx="391">
                  <c:v>367.70310513213917</c:v>
                </c:pt>
                <c:pt idx="392">
                  <c:v>365.72852758284495</c:v>
                </c:pt>
                <c:pt idx="393">
                  <c:v>363.77494668525179</c:v>
                </c:pt>
                <c:pt idx="394">
                  <c:v>361.84223742514382</c:v>
                </c:pt>
                <c:pt idx="395">
                  <c:v>359.93027189038747</c:v>
                </c:pt>
                <c:pt idx="396">
                  <c:v>358.03891941888691</c:v>
                </c:pt>
                <c:pt idx="397">
                  <c:v>356.1680467434274</c:v>
                </c:pt>
                <c:pt idx="398">
                  <c:v>354.31751813337547</c:v>
                </c:pt>
                <c:pt idx="399">
                  <c:v>352.48719553320996</c:v>
                </c:pt>
                <c:pt idx="400">
                  <c:v>350.67693869786405</c:v>
                </c:pt>
                <c:pt idx="401">
                  <c:v>348.88660532486489</c:v>
                </c:pt>
                <c:pt idx="402">
                  <c:v>347.11605118326156</c:v>
                </c:pt>
                <c:pt idx="403">
                  <c:v>345.36513023933821</c:v>
                </c:pt>
                <c:pt idx="404">
                  <c:v>343.6336947791138</c:v>
                </c:pt>
                <c:pt idx="405">
                  <c:v>341.92159552763394</c:v>
                </c:pt>
                <c:pt idx="406">
                  <c:v>340.22868176506552</c:v>
                </c:pt>
                <c:pt idx="407">
                  <c:v>338.55480143960801</c:v>
                </c:pt>
                <c:pt idx="408">
                  <c:v>336.8998012772401</c:v>
                </c:pt>
                <c:pt idx="409">
                  <c:v>335.2635268883227</c:v>
                </c:pt>
                <c:pt idx="410">
                  <c:v>333.64582287108408</c:v>
                </c:pt>
                <c:pt idx="411">
                  <c:v>332.04653291201441</c:v>
                </c:pt>
                <c:pt idx="412">
                  <c:v>330.4654998832018</c:v>
                </c:pt>
                <c:pt idx="413">
                  <c:v>328.90256593664253</c:v>
                </c:pt>
                <c:pt idx="414">
                  <c:v>327.3575725955626</c:v>
                </c:pt>
                <c:pt idx="415">
                  <c:v>325.83036084278814</c:v>
                </c:pt>
                <c:pt idx="416">
                  <c:v>324.32077120620619</c:v>
                </c:pt>
                <c:pt idx="417">
                  <c:v>322.82864384135729</c:v>
                </c:pt>
                <c:pt idx="418">
                  <c:v>321.35381861120476</c:v>
                </c:pt>
                <c:pt idx="419">
                  <c:v>319.89613516312619</c:v>
                </c:pt>
                <c:pt idx="420">
                  <c:v>318.45543300317371</c:v>
                </c:pt>
                <c:pt idx="421">
                  <c:v>317.03155156765212</c:v>
                </c:pt>
                <c:pt idx="422">
                  <c:v>315.62433029206341</c:v>
                </c:pt>
                <c:pt idx="423">
                  <c:v>314.23360867746851</c:v>
                </c:pt>
                <c:pt idx="424">
                  <c:v>312.85922635431712</c:v>
                </c:pt>
                <c:pt idx="425">
                  <c:v>311.50102314379723</c:v>
                </c:pt>
                <c:pt idx="426">
                  <c:v>310.15883911675672</c:v>
                </c:pt>
                <c:pt idx="427">
                  <c:v>308.83251465024989</c:v>
                </c:pt>
                <c:pt idx="428">
                  <c:v>307.52189048176137</c:v>
                </c:pt>
                <c:pt idx="429">
                  <c:v>306.22680776116107</c:v>
                </c:pt>
                <c:pt idx="430">
                  <c:v>304.94710810044342</c:v>
                </c:pt>
                <c:pt idx="431">
                  <c:v>303.68263362130426</c:v>
                </c:pt>
                <c:pt idx="432">
                  <c:v>302.43322700060827</c:v>
                </c:pt>
                <c:pt idx="433">
                  <c:v>301.19873151380057</c:v>
                </c:pt>
                <c:pt idx="434">
                  <c:v>299.97899107631508</c:v>
                </c:pt>
                <c:pt idx="435">
                  <c:v>298.7738502830324</c:v>
                </c:pt>
                <c:pt idx="436">
                  <c:v>297.5831544458394</c:v>
                </c:pt>
                <c:pt idx="437">
                  <c:v>296.4067496293423</c:v>
                </c:pt>
                <c:pt idx="438">
                  <c:v>295.24448268478494</c:v>
                </c:pt>
                <c:pt idx="439">
                  <c:v>294.09620128222247</c:v>
                </c:pt>
                <c:pt idx="440">
                  <c:v>292.96175394100152</c:v>
                </c:pt>
                <c:pt idx="441">
                  <c:v>291.84099005859582</c:v>
                </c:pt>
                <c:pt idx="442">
                  <c:v>290.73375993784674</c:v>
                </c:pt>
                <c:pt idx="443">
                  <c:v>289.63991481265714</c:v>
                </c:pt>
                <c:pt idx="444">
                  <c:v>288.55930687218552</c:v>
                </c:pt>
                <c:pt idx="445">
                  <c:v>287.49178928358828</c:v>
                </c:pt>
                <c:pt idx="446">
                  <c:v>286.43721621335544</c:v>
                </c:pt>
                <c:pt idx="447">
                  <c:v>285.39544284728549</c:v>
                </c:pt>
                <c:pt idx="448">
                  <c:v>284.36632540914371</c:v>
                </c:pt>
                <c:pt idx="449">
                  <c:v>283.34972117804784</c:v>
                </c:pt>
                <c:pt idx="450">
                  <c:v>282.34548850462375</c:v>
                </c:pt>
                <c:pt idx="451">
                  <c:v>281.35348682597311</c:v>
                </c:pt>
                <c:pt idx="452">
                  <c:v>280.37357667949419</c:v>
                </c:pt>
                <c:pt idx="453">
                  <c:v>279.40561971559606</c:v>
                </c:pt>
                <c:pt idx="454">
                  <c:v>278.44947870934527</c:v>
                </c:pt>
                <c:pt idx="455">
                  <c:v>277.50501757108424</c:v>
                </c:pt>
                <c:pt idx="456">
                  <c:v>276.57210135605777</c:v>
                </c:pt>
                <c:pt idx="457">
                  <c:v>275.65059627308545</c:v>
                </c:pt>
                <c:pt idx="458">
                  <c:v>274.74036969231543</c:v>
                </c:pt>
                <c:pt idx="459">
                  <c:v>273.84129015209385</c:v>
                </c:pt>
                <c:pt idx="460">
                  <c:v>272.95322736498531</c:v>
                </c:pt>
                <c:pt idx="461">
                  <c:v>272.07605222297627</c:v>
                </c:pt>
                <c:pt idx="462">
                  <c:v>271.20963680189453</c:v>
                </c:pt>
                <c:pt idx="463">
                  <c:v>270.35385436507579</c:v>
                </c:pt>
                <c:pt idx="464">
                  <c:v>269.50857936630831</c:v>
                </c:pt>
                <c:pt idx="465">
                  <c:v>268.67368745208512</c:v>
                </c:pt>
                <c:pt idx="466">
                  <c:v>267.84905546319283</c:v>
                </c:pt>
                <c:pt idx="467">
                  <c:v>267.03456143566507</c:v>
                </c:pt>
                <c:pt idx="468">
                  <c:v>266.23008460112828</c:v>
                </c:pt>
                <c:pt idx="469">
                  <c:v>265.43550538656575</c:v>
                </c:pt>
                <c:pt idx="470">
                  <c:v>264.65070541352617</c:v>
                </c:pt>
                <c:pt idx="471">
                  <c:v>263.87556749680124</c:v>
                </c:pt>
                <c:pt idx="472">
                  <c:v>263.10997564259685</c:v>
                </c:pt>
                <c:pt idx="473">
                  <c:v>262.3538150462212</c:v>
                </c:pt>
                <c:pt idx="474">
                  <c:v>261.60697208931242</c:v>
                </c:pt>
                <c:pt idx="475">
                  <c:v>260.86933433662796</c:v>
                </c:pt>
                <c:pt idx="476">
                  <c:v>260.1407905324167</c:v>
                </c:pt>
                <c:pt idx="477">
                  <c:v>259.42123059639493</c:v>
                </c:pt>
                <c:pt idx="478">
                  <c:v>258.7105456193454</c:v>
                </c:pt>
                <c:pt idx="479">
                  <c:v>258.00862785835943</c:v>
                </c:pt>
                <c:pt idx="480">
                  <c:v>257.31537073174019</c:v>
                </c:pt>
                <c:pt idx="481">
                  <c:v>256.63066881358543</c:v>
                </c:pt>
                <c:pt idx="482">
                  <c:v>255.95441782806705</c:v>
                </c:pt>
                <c:pt idx="483">
                  <c:v>255.286514643424</c:v>
                </c:pt>
                <c:pt idx="484">
                  <c:v>254.62685726568495</c:v>
                </c:pt>
                <c:pt idx="485">
                  <c:v>253.97534483213644</c:v>
                </c:pt>
                <c:pt idx="486">
                  <c:v>253.33187760455127</c:v>
                </c:pt>
                <c:pt idx="487">
                  <c:v>252.69635696219183</c:v>
                </c:pt>
                <c:pt idx="488">
                  <c:v>252.06868539460237</c:v>
                </c:pt>
                <c:pt idx="489">
                  <c:v>251.44876649420365</c:v>
                </c:pt>
                <c:pt idx="490">
                  <c:v>250.83650494870284</c:v>
                </c:pt>
                <c:pt idx="491">
                  <c:v>250.23180653333134</c:v>
                </c:pt>
                <c:pt idx="492">
                  <c:v>249.6345781029224</c:v>
                </c:pt>
                <c:pt idx="493">
                  <c:v>249.04472758384014</c:v>
                </c:pt>
                <c:pt idx="494">
                  <c:v>248.46216396577094</c:v>
                </c:pt>
                <c:pt idx="495">
                  <c:v>247.88679729338821</c:v>
                </c:pt>
                <c:pt idx="496">
                  <c:v>247.31853865790032</c:v>
                </c:pt>
                <c:pt idx="497">
                  <c:v>246.75730018849191</c:v>
                </c:pt>
                <c:pt idx="498">
                  <c:v>246.20299504366776</c:v>
                </c:pt>
                <c:pt idx="499">
                  <c:v>245.65553740250846</c:v>
                </c:pt>
                <c:pt idx="500">
                  <c:v>245.11484245584649</c:v>
                </c:pt>
                <c:pt idx="501">
                  <c:v>244.58082639737091</c:v>
                </c:pt>
                <c:pt idx="502">
                  <c:v>244.05340641466893</c:v>
                </c:pt>
                <c:pt idx="503">
                  <c:v>243.53250068021154</c:v>
                </c:pt>
                <c:pt idx="504">
                  <c:v>243.0180283422911</c:v>
                </c:pt>
                <c:pt idx="505">
                  <c:v>242.50990951591717</c:v>
                </c:pt>
                <c:pt idx="506">
                  <c:v>242.00806527367797</c:v>
                </c:pt>
                <c:pt idx="507">
                  <c:v>241.51241763657328</c:v>
                </c:pt>
                <c:pt idx="508">
                  <c:v>241.02288956482514</c:v>
                </c:pt>
                <c:pt idx="509">
                  <c:v>240.53940494867226</c:v>
                </c:pt>
                <c:pt idx="510">
                  <c:v>240.06188859915346</c:v>
                </c:pt>
                <c:pt idx="511">
                  <c:v>239.59026623888556</c:v>
                </c:pt>
                <c:pt idx="512">
                  <c:v>239.12446449284064</c:v>
                </c:pt>
                <c:pt idx="513">
                  <c:v>238.66441087912776</c:v>
                </c:pt>
                <c:pt idx="514">
                  <c:v>238.21003379978336</c:v>
                </c:pt>
                <c:pt idx="515">
                  <c:v>237.76126253157491</c:v>
                </c:pt>
                <c:pt idx="516">
                  <c:v>237.31802721682183</c:v>
                </c:pt>
                <c:pt idx="517">
                  <c:v>236.88025885423767</c:v>
                </c:pt>
                <c:pt idx="518">
                  <c:v>236.44788928979716</c:v>
                </c:pt>
                <c:pt idx="519">
                  <c:v>236.02085120763184</c:v>
                </c:pt>
                <c:pt idx="520">
                  <c:v>235.59907812095736</c:v>
                </c:pt>
                <c:pt idx="521">
                  <c:v>235.18250436303589</c:v>
                </c:pt>
                <c:pt idx="522">
                  <c:v>234.77106507817635</c:v>
                </c:pt>
                <c:pt idx="523">
                  <c:v>234.36469621277553</c:v>
                </c:pt>
                <c:pt idx="524">
                  <c:v>233.96333450640248</c:v>
                </c:pt>
                <c:pt idx="525">
                  <c:v>233.566917482929</c:v>
                </c:pt>
                <c:pt idx="526">
                  <c:v>233.17538344170831</c:v>
                </c:pt>
                <c:pt idx="527">
                  <c:v>232.78867144880428</c:v>
                </c:pt>
                <c:pt idx="528">
                  <c:v>232.40672132827319</c:v>
                </c:pt>
                <c:pt idx="529">
                  <c:v>232.02947365350016</c:v>
                </c:pt>
                <c:pt idx="530">
                  <c:v>231.65686973859172</c:v>
                </c:pt>
                <c:pt idx="531">
                  <c:v>231.28885162982667</c:v>
                </c:pt>
                <c:pt idx="532">
                  <c:v>230.92536209716638</c:v>
                </c:pt>
                <c:pt idx="533">
                  <c:v>230.56634462582642</c:v>
                </c:pt>
                <c:pt idx="534">
                  <c:v>230.2117434079104</c:v>
                </c:pt>
                <c:pt idx="535">
                  <c:v>229.86150333410791</c:v>
                </c:pt>
                <c:pt idx="536">
                  <c:v>229.51556998545701</c:v>
                </c:pt>
                <c:pt idx="537">
                  <c:v>229.17388962517299</c:v>
                </c:pt>
                <c:pt idx="538">
                  <c:v>228.83640919054403</c:v>
                </c:pt>
                <c:pt idx="539">
                  <c:v>228.50307628489463</c:v>
                </c:pt>
                <c:pt idx="540">
                  <c:v>228.17383916961788</c:v>
                </c:pt>
                <c:pt idx="541">
                  <c:v>227.84864675627705</c:v>
                </c:pt>
                <c:pt idx="542">
                  <c:v>227.52744859877734</c:v>
                </c:pt>
                <c:pt idx="543">
                  <c:v>227.2101948856083</c:v>
                </c:pt>
                <c:pt idx="544">
                  <c:v>226.89683643215736</c:v>
                </c:pt>
                <c:pt idx="545">
                  <c:v>226.58732467309517</c:v>
                </c:pt>
                <c:pt idx="546">
                  <c:v>226.28161165483286</c:v>
                </c:pt>
                <c:pt idx="547">
                  <c:v>225.97965002805176</c:v>
                </c:pt>
                <c:pt idx="548">
                  <c:v>225.68139304030578</c:v>
                </c:pt>
                <c:pt idx="549">
                  <c:v>225.38679452869656</c:v>
                </c:pt>
                <c:pt idx="550">
                  <c:v>225.09580891262189</c:v>
                </c:pt>
                <c:pt idx="551">
                  <c:v>224.80839118659716</c:v>
                </c:pt>
                <c:pt idx="552">
                  <c:v>224.52449691315002</c:v>
                </c:pt>
                <c:pt idx="553">
                  <c:v>224.24408221578847</c:v>
                </c:pt>
                <c:pt idx="554">
                  <c:v>223.96710377204215</c:v>
                </c:pt>
                <c:pt idx="555">
                  <c:v>223.69351880657686</c:v>
                </c:pt>
                <c:pt idx="556">
                  <c:v>223.4232850843822</c:v>
                </c:pt>
                <c:pt idx="557">
                  <c:v>223.15636090403223</c:v>
                </c:pt>
                <c:pt idx="558">
                  <c:v>222.89270509101902</c:v>
                </c:pt>
                <c:pt idx="559">
                  <c:v>222.63227699115888</c:v>
                </c:pt>
                <c:pt idx="560">
                  <c:v>222.3750364640708</c:v>
                </c:pt>
                <c:pt idx="561">
                  <c:v>222.12094387672744</c:v>
                </c:pt>
                <c:pt idx="562">
                  <c:v>221.86996009707778</c:v>
                </c:pt>
                <c:pt idx="563">
                  <c:v>221.62204648774139</c:v>
                </c:pt>
                <c:pt idx="564">
                  <c:v>221.37716489977413</c:v>
                </c:pt>
                <c:pt idx="565">
                  <c:v>221.13527766650461</c:v>
                </c:pt>
                <c:pt idx="566">
                  <c:v>220.89634759744129</c:v>
                </c:pt>
                <c:pt idx="567">
                  <c:v>220.66033797224972</c:v>
                </c:pt>
                <c:pt idx="568">
                  <c:v>220.42721253479959</c:v>
                </c:pt>
                <c:pt idx="569">
                  <c:v>220.19693548728097</c:v>
                </c:pt>
                <c:pt idx="570">
                  <c:v>219.96947148438954</c:v>
                </c:pt>
                <c:pt idx="571">
                  <c:v>219.74478562758028</c:v>
                </c:pt>
                <c:pt idx="572">
                  <c:v>219.52284345938892</c:v>
                </c:pt>
                <c:pt idx="573">
                  <c:v>219.30361095782104</c:v>
                </c:pt>
                <c:pt idx="574">
                  <c:v>219.08705453080799</c:v>
                </c:pt>
                <c:pt idx="575">
                  <c:v>218.87314101072934</c:v>
                </c:pt>
                <c:pt idx="576">
                  <c:v>218.6618376490012</c:v>
                </c:pt>
                <c:pt idx="577">
                  <c:v>218.4531121107299</c:v>
                </c:pt>
                <c:pt idx="578">
                  <c:v>218.24693246943059</c:v>
                </c:pt>
                <c:pt idx="579">
                  <c:v>218.04326720181007</c:v>
                </c:pt>
                <c:pt idx="580">
                  <c:v>217.84208518261343</c:v>
                </c:pt>
                <c:pt idx="581">
                  <c:v>217.64335567953381</c:v>
                </c:pt>
                <c:pt idx="582">
                  <c:v>217.44704834818475</c:v>
                </c:pt>
                <c:pt idx="583">
                  <c:v>217.25313322713464</c:v>
                </c:pt>
                <c:pt idx="584">
                  <c:v>217.06158073300256</c:v>
                </c:pt>
                <c:pt idx="585">
                  <c:v>216.87236165561501</c:v>
                </c:pt>
                <c:pt idx="586">
                  <c:v>216.68544715322301</c:v>
                </c:pt>
                <c:pt idx="587">
                  <c:v>216.50080874777868</c:v>
                </c:pt>
                <c:pt idx="588">
                  <c:v>216.31841832027118</c:v>
                </c:pt>
                <c:pt idx="589">
                  <c:v>216.13824810612093</c:v>
                </c:pt>
                <c:pt idx="590">
                  <c:v>215.96027069063189</c:v>
                </c:pt>
                <c:pt idx="591">
                  <c:v>215.78445900450106</c:v>
                </c:pt>
                <c:pt idx="592">
                  <c:v>215.61078631938474</c:v>
                </c:pt>
                <c:pt idx="593">
                  <c:v>215.43922624352095</c:v>
                </c:pt>
                <c:pt idx="594">
                  <c:v>215.26975271740721</c:v>
                </c:pt>
                <c:pt idx="595">
                  <c:v>215.10234000953344</c:v>
                </c:pt>
                <c:pt idx="596">
                  <c:v>214.93696271216893</c:v>
                </c:pt>
                <c:pt idx="597">
                  <c:v>214.77359573720338</c:v>
                </c:pt>
                <c:pt idx="598">
                  <c:v>214.61221431204066</c:v>
                </c:pt>
                <c:pt idx="599">
                  <c:v>214.45279397554546</c:v>
                </c:pt>
                <c:pt idx="600">
                  <c:v>214.29531057404162</c:v>
                </c:pt>
                <c:pt idx="601">
                  <c:v>214.13974025736204</c:v>
                </c:pt>
                <c:pt idx="602">
                  <c:v>213.98605947494914</c:v>
                </c:pt>
                <c:pt idx="603">
                  <c:v>213.83424497200565</c:v>
                </c:pt>
                <c:pt idx="604">
                  <c:v>213.68427378569487</c:v>
                </c:pt>
                <c:pt idx="605">
                  <c:v>213.53612324139013</c:v>
                </c:pt>
                <c:pt idx="606">
                  <c:v>213.38977094897248</c:v>
                </c:pt>
                <c:pt idx="607">
                  <c:v>213.24519479917646</c:v>
                </c:pt>
                <c:pt idx="608">
                  <c:v>213.10237295998292</c:v>
                </c:pt>
                <c:pt idx="609">
                  <c:v>212.96128387305882</c:v>
                </c:pt>
                <c:pt idx="610">
                  <c:v>212.82190625024307</c:v>
                </c:pt>
                <c:pt idx="611">
                  <c:v>212.68421907007797</c:v>
                </c:pt>
                <c:pt idx="612">
                  <c:v>212.54820157438581</c:v>
                </c:pt>
                <c:pt idx="613">
                  <c:v>212.41383326488986</c:v>
                </c:pt>
                <c:pt idx="614">
                  <c:v>212.28109389987938</c:v>
                </c:pt>
                <c:pt idx="615">
                  <c:v>212.14996349091811</c:v>
                </c:pt>
                <c:pt idx="616">
                  <c:v>212.02042229959551</c:v>
                </c:pt>
                <c:pt idx="617">
                  <c:v>211.89245083432044</c:v>
                </c:pt>
                <c:pt idx="618">
                  <c:v>211.76602984715674</c:v>
                </c:pt>
                <c:pt idx="619">
                  <c:v>211.64114033069993</c:v>
                </c:pt>
                <c:pt idx="620">
                  <c:v>211.51776351499478</c:v>
                </c:pt>
                <c:pt idx="621">
                  <c:v>211.39588086449325</c:v>
                </c:pt>
                <c:pt idx="622">
                  <c:v>211.27547407505196</c:v>
                </c:pt>
                <c:pt idx="623">
                  <c:v>211.15652507096917</c:v>
                </c:pt>
                <c:pt idx="624">
                  <c:v>211.03901600206032</c:v>
                </c:pt>
                <c:pt idx="625">
                  <c:v>210.92292924077194</c:v>
                </c:pt>
                <c:pt idx="626">
                  <c:v>210.80824737933332</c:v>
                </c:pt>
                <c:pt idx="627">
                  <c:v>210.69495322694539</c:v>
                </c:pt>
                <c:pt idx="628">
                  <c:v>210.58302980700648</c:v>
                </c:pt>
                <c:pt idx="629">
                  <c:v>210.47246035437448</c:v>
                </c:pt>
                <c:pt idx="630">
                  <c:v>210.36322831266463</c:v>
                </c:pt>
                <c:pt idx="631">
                  <c:v>210.25531733158303</c:v>
                </c:pt>
                <c:pt idx="632">
                  <c:v>210.1487112642948</c:v>
                </c:pt>
                <c:pt idx="633">
                  <c:v>210.04339416482691</c:v>
                </c:pt>
                <c:pt idx="634">
                  <c:v>209.93935028550493</c:v>
                </c:pt>
                <c:pt idx="635">
                  <c:v>209.83656407442351</c:v>
                </c:pt>
                <c:pt idx="636">
                  <c:v>209.7350201729499</c:v>
                </c:pt>
                <c:pt idx="637">
                  <c:v>209.63470341326018</c:v>
                </c:pt>
                <c:pt idx="638">
                  <c:v>209.53559881590783</c:v>
                </c:pt>
                <c:pt idx="639">
                  <c:v>209.43769158742421</c:v>
                </c:pt>
                <c:pt idx="640">
                  <c:v>209.34096711795038</c:v>
                </c:pt>
                <c:pt idx="641">
                  <c:v>209.2454109789</c:v>
                </c:pt>
                <c:pt idx="642">
                  <c:v>209.15100892065283</c:v>
                </c:pt>
                <c:pt idx="643">
                  <c:v>209.05774687027852</c:v>
                </c:pt>
                <c:pt idx="644">
                  <c:v>208.96561092929016</c:v>
                </c:pt>
                <c:pt idx="645">
                  <c:v>208.87458737142722</c:v>
                </c:pt>
                <c:pt idx="646">
                  <c:v>208.78466264046756</c:v>
                </c:pt>
                <c:pt idx="647">
                  <c:v>208.6958233480681</c:v>
                </c:pt>
                <c:pt idx="648">
                  <c:v>208.60805627163376</c:v>
                </c:pt>
                <c:pt idx="649">
                  <c:v>208.52134835221418</c:v>
                </c:pt>
                <c:pt idx="650">
                  <c:v>208.43568669242813</c:v>
                </c:pt>
                <c:pt idx="651">
                  <c:v>208.351058554415</c:v>
                </c:pt>
                <c:pt idx="652">
                  <c:v>208.267451357813</c:v>
                </c:pt>
                <c:pt idx="653">
                  <c:v>208.18485267776387</c:v>
                </c:pt>
                <c:pt idx="654">
                  <c:v>208.10325024294372</c:v>
                </c:pt>
                <c:pt idx="655">
                  <c:v>208.02263193361944</c:v>
                </c:pt>
                <c:pt idx="656">
                  <c:v>207.94298577973069</c:v>
                </c:pt>
                <c:pt idx="657">
                  <c:v>207.86429995899681</c:v>
                </c:pt>
                <c:pt idx="658">
                  <c:v>207.78656279504841</c:v>
                </c:pt>
                <c:pt idx="659">
                  <c:v>207.70976275558351</c:v>
                </c:pt>
                <c:pt idx="660">
                  <c:v>207.63388845054754</c:v>
                </c:pt>
                <c:pt idx="661">
                  <c:v>207.55892863033725</c:v>
                </c:pt>
                <c:pt idx="662">
                  <c:v>207.48487218402784</c:v>
                </c:pt>
                <c:pt idx="663">
                  <c:v>207.41170813762335</c:v>
                </c:pt>
                <c:pt idx="664">
                  <c:v>207.33942565232985</c:v>
                </c:pt>
                <c:pt idx="665">
                  <c:v>207.26801402285096</c:v>
                </c:pt>
                <c:pt idx="666">
                  <c:v>207.19746267570565</c:v>
                </c:pt>
                <c:pt idx="667">
                  <c:v>207.12776116756797</c:v>
                </c:pt>
                <c:pt idx="668">
                  <c:v>207.05889918362828</c:v>
                </c:pt>
                <c:pt idx="669">
                  <c:v>206.99086653597584</c:v>
                </c:pt>
                <c:pt idx="670">
                  <c:v>206.92365316200241</c:v>
                </c:pt>
                <c:pt idx="671">
                  <c:v>206.85724912282652</c:v>
                </c:pt>
                <c:pt idx="672">
                  <c:v>206.79164460173831</c:v>
                </c:pt>
                <c:pt idx="673">
                  <c:v>206.72682990266449</c:v>
                </c:pt>
                <c:pt idx="674">
                  <c:v>206.66279544865316</c:v>
                </c:pt>
                <c:pt idx="675">
                  <c:v>206.59953178037836</c:v>
                </c:pt>
                <c:pt idx="676">
                  <c:v>206.53702955466392</c:v>
                </c:pt>
                <c:pt idx="677">
                  <c:v>206.47527954302655</c:v>
                </c:pt>
                <c:pt idx="678">
                  <c:v>206.4142726302376</c:v>
                </c:pt>
                <c:pt idx="679">
                  <c:v>206.35399981290368</c:v>
                </c:pt>
                <c:pt idx="680">
                  <c:v>206.29445219806536</c:v>
                </c:pt>
                <c:pt idx="681">
                  <c:v>206.23562100181422</c:v>
                </c:pt>
                <c:pt idx="682">
                  <c:v>206.17749754792769</c:v>
                </c:pt>
                <c:pt idx="683">
                  <c:v>206.12007326652139</c:v>
                </c:pt>
                <c:pt idx="684">
                  <c:v>206.0633396927191</c:v>
                </c:pt>
                <c:pt idx="685">
                  <c:v>206.00728846533974</c:v>
                </c:pt>
                <c:pt idx="686">
                  <c:v>205.95191132560132</c:v>
                </c:pt>
                <c:pt idx="687">
                  <c:v>205.89720011584154</c:v>
                </c:pt>
                <c:pt idx="688">
                  <c:v>205.843146778255</c:v>
                </c:pt>
                <c:pt idx="689">
                  <c:v>205.78974335364654</c:v>
                </c:pt>
                <c:pt idx="690">
                  <c:v>205.73698198020071</c:v>
                </c:pt>
                <c:pt idx="691">
                  <c:v>205.684854892267</c:v>
                </c:pt>
                <c:pt idx="692">
                  <c:v>205.63335441916075</c:v>
                </c:pt>
                <c:pt idx="693">
                  <c:v>205.58247298397947</c:v>
                </c:pt>
                <c:pt idx="694">
                  <c:v>205.53220310243424</c:v>
                </c:pt>
                <c:pt idx="695">
                  <c:v>205.48253738169632</c:v>
                </c:pt>
                <c:pt idx="696">
                  <c:v>205.43346851925838</c:v>
                </c:pt>
                <c:pt idx="697">
                  <c:v>205.38498930181038</c:v>
                </c:pt>
                <c:pt idx="698">
                  <c:v>205.33709260412991</c:v>
                </c:pt>
                <c:pt idx="699">
                  <c:v>205.28977138798672</c:v>
                </c:pt>
                <c:pt idx="700">
                  <c:v>205.2430187010612</c:v>
                </c:pt>
                <c:pt idx="701">
                  <c:v>205.19682767587685</c:v>
                </c:pt>
                <c:pt idx="702">
                  <c:v>205.15119152874624</c:v>
                </c:pt>
                <c:pt idx="703">
                  <c:v>205.10610355873058</c:v>
                </c:pt>
                <c:pt idx="704">
                  <c:v>205.0615571466125</c:v>
                </c:pt>
                <c:pt idx="705">
                  <c:v>205.01754575388196</c:v>
                </c:pt>
                <c:pt idx="706">
                  <c:v>204.97406292173517</c:v>
                </c:pt>
                <c:pt idx="707">
                  <c:v>204.93110227008617</c:v>
                </c:pt>
                <c:pt idx="708">
                  <c:v>204.88865749659112</c:v>
                </c:pt>
                <c:pt idx="709">
                  <c:v>204.84672237568492</c:v>
                </c:pt>
                <c:pt idx="710">
                  <c:v>204.80529075763022</c:v>
                </c:pt>
                <c:pt idx="711">
                  <c:v>204.7643565675784</c:v>
                </c:pt>
                <c:pt idx="712">
                  <c:v>204.72391380464268</c:v>
                </c:pt>
                <c:pt idx="713">
                  <c:v>204.68395654098279</c:v>
                </c:pt>
                <c:pt idx="714">
                  <c:v>204.64447892090149</c:v>
                </c:pt>
                <c:pt idx="715">
                  <c:v>204.60547515995242</c:v>
                </c:pt>
                <c:pt idx="716">
                  <c:v>204.56693954405932</c:v>
                </c:pt>
                <c:pt idx="717">
                  <c:v>204.5288664286465</c:v>
                </c:pt>
                <c:pt idx="718">
                  <c:v>204.49125023778021</c:v>
                </c:pt>
                <c:pt idx="719">
                  <c:v>204.45408546332104</c:v>
                </c:pt>
                <c:pt idx="720">
                  <c:v>204.4173666640869</c:v>
                </c:pt>
                <c:pt idx="721">
                  <c:v>204.38108846502681</c:v>
                </c:pt>
                <c:pt idx="722">
                  <c:v>204.34524555640493</c:v>
                </c:pt>
                <c:pt idx="723">
                  <c:v>204.30983269299503</c:v>
                </c:pt>
                <c:pt idx="724">
                  <c:v>204.27484469328516</c:v>
                </c:pt>
                <c:pt idx="725">
                  <c:v>204.24027643869235</c:v>
                </c:pt>
                <c:pt idx="726">
                  <c:v>204.20612287278718</c:v>
                </c:pt>
                <c:pt idx="727">
                  <c:v>204.17237900052825</c:v>
                </c:pt>
                <c:pt idx="728">
                  <c:v>204.13903988750621</c:v>
                </c:pt>
                <c:pt idx="729">
                  <c:v>204.10610065919744</c:v>
                </c:pt>
                <c:pt idx="730">
                  <c:v>204.07355650022694</c:v>
                </c:pt>
                <c:pt idx="731">
                  <c:v>204.0414026536408</c:v>
                </c:pt>
                <c:pt idx="732">
                  <c:v>204.00963442018755</c:v>
                </c:pt>
                <c:pt idx="733">
                  <c:v>203.97824715760876</c:v>
                </c:pt>
                <c:pt idx="734">
                  <c:v>203.94723627993847</c:v>
                </c:pt>
                <c:pt idx="735">
                  <c:v>203.91659725681146</c:v>
                </c:pt>
                <c:pt idx="736">
                  <c:v>203.88632561278024</c:v>
                </c:pt>
                <c:pt idx="737">
                  <c:v>203.85641692664061</c:v>
                </c:pt>
                <c:pt idx="738">
                  <c:v>203.82686683076557</c:v>
                </c:pt>
                <c:pt idx="739">
                  <c:v>203.79767101044786</c:v>
                </c:pt>
                <c:pt idx="740">
                  <c:v>203.76882520325051</c:v>
                </c:pt>
                <c:pt idx="741">
                  <c:v>203.7403251983657</c:v>
                </c:pt>
                <c:pt idx="742">
                  <c:v>203.71216683598144</c:v>
                </c:pt>
                <c:pt idx="743">
                  <c:v>203.68434600665651</c:v>
                </c:pt>
                <c:pt idx="744">
                  <c:v>203.65685865070299</c:v>
                </c:pt>
                <c:pt idx="745">
                  <c:v>203.6297007575765</c:v>
                </c:pt>
                <c:pt idx="746">
                  <c:v>203.60286836527428</c:v>
                </c:pt>
                <c:pt idx="747">
                  <c:v>203.57635755974059</c:v>
                </c:pt>
                <c:pt idx="748">
                  <c:v>203.55016447427971</c:v>
                </c:pt>
                <c:pt idx="749">
                  <c:v>203.52428528897619</c:v>
                </c:pt>
                <c:pt idx="750">
                  <c:v>203.49871623012231</c:v>
                </c:pt>
                <c:pt idx="751">
                  <c:v>203.47345356965278</c:v>
                </c:pt>
                <c:pt idx="752">
                  <c:v>203.4484936245864</c:v>
                </c:pt>
                <c:pt idx="753">
                  <c:v>203.42383275647487</c:v>
                </c:pt>
                <c:pt idx="754">
                  <c:v>203.39946737085816</c:v>
                </c:pt>
                <c:pt idx="755">
                  <c:v>203.37539391672706</c:v>
                </c:pt>
                <c:pt idx="756">
                  <c:v>203.35160888599208</c:v>
                </c:pt>
                <c:pt idx="757">
                  <c:v>203.32810881295916</c:v>
                </c:pt>
                <c:pt idx="758">
                  <c:v>203.30489027381191</c:v>
                </c:pt>
                <c:pt idx="759">
                  <c:v>203.28194988610016</c:v>
                </c:pt>
                <c:pt idx="760">
                  <c:v>203.25928430823504</c:v>
                </c:pt>
                <c:pt idx="761">
                  <c:v>203.23689023899021</c:v>
                </c:pt>
                <c:pt idx="762">
                  <c:v>203.21476441700938</c:v>
                </c:pt>
                <c:pt idx="763">
                  <c:v>203.1929036203199</c:v>
                </c:pt>
                <c:pt idx="764">
                  <c:v>203.17130466585238</c:v>
                </c:pt>
                <c:pt idx="765">
                  <c:v>203.14996440896635</c:v>
                </c:pt>
                <c:pt idx="766">
                  <c:v>203.12887974298172</c:v>
                </c:pt>
                <c:pt idx="767">
                  <c:v>203.10804759871613</c:v>
                </c:pt>
                <c:pt idx="768">
                  <c:v>203.08746494402797</c:v>
                </c:pt>
                <c:pt idx="769">
                  <c:v>203.06712878336509</c:v>
                </c:pt>
                <c:pt idx="770">
                  <c:v>203.04703615731918</c:v>
                </c:pt>
                <c:pt idx="771">
                  <c:v>203.02718414218555</c:v>
                </c:pt>
                <c:pt idx="772">
                  <c:v>203.00756984952838</c:v>
                </c:pt>
                <c:pt idx="773">
                  <c:v>202.98819042575147</c:v>
                </c:pt>
                <c:pt idx="774">
                  <c:v>202.96904305167419</c:v>
                </c:pt>
                <c:pt idx="775">
                  <c:v>202.95012494211269</c:v>
                </c:pt>
                <c:pt idx="776">
                  <c:v>202.9314333454663</c:v>
                </c:pt>
                <c:pt idx="777">
                  <c:v>202.9129655433091</c:v>
                </c:pt>
                <c:pt idx="778">
                  <c:v>202.89471884998642</c:v>
                </c:pt>
                <c:pt idx="779">
                  <c:v>202.87669061221646</c:v>
                </c:pt>
                <c:pt idx="780">
                  <c:v>202.85887820869675</c:v>
                </c:pt>
                <c:pt idx="781">
                  <c:v>202.84127904971541</c:v>
                </c:pt>
                <c:pt idx="782">
                  <c:v>202.82389057676735</c:v>
                </c:pt>
                <c:pt idx="783">
                  <c:v>202.80671026217516</c:v>
                </c:pt>
                <c:pt idx="784">
                  <c:v>202.78973560871452</c:v>
                </c:pt>
                <c:pt idx="785">
                  <c:v>202.77296414924456</c:v>
                </c:pt>
                <c:pt idx="786">
                  <c:v>202.75639344634234</c:v>
                </c:pt>
                <c:pt idx="787">
                  <c:v>202.74002109194228</c:v>
                </c:pt>
                <c:pt idx="788">
                  <c:v>202.72384470697966</c:v>
                </c:pt>
                <c:pt idx="789">
                  <c:v>202.7078619410388</c:v>
                </c:pt>
                <c:pt idx="790">
                  <c:v>202.6920704720053</c:v>
                </c:pt>
                <c:pt idx="791">
                  <c:v>202.67646800572285</c:v>
                </c:pt>
                <c:pt idx="792">
                  <c:v>202.66105227565399</c:v>
                </c:pt>
                <c:pt idx="793">
                  <c:v>202.64582104254518</c:v>
                </c:pt>
                <c:pt idx="794">
                  <c:v>202.63077209409607</c:v>
                </c:pt>
                <c:pt idx="795">
                  <c:v>202.61590324463259</c:v>
                </c:pt>
                <c:pt idx="796">
                  <c:v>202.60121233478432</c:v>
                </c:pt>
                <c:pt idx="797">
                  <c:v>202.58669723116566</c:v>
                </c:pt>
                <c:pt idx="798">
                  <c:v>202.57235582606091</c:v>
                </c:pt>
                <c:pt idx="799">
                  <c:v>202.55818603711339</c:v>
                </c:pt>
                <c:pt idx="800">
                  <c:v>202.54418580701807</c:v>
                </c:pt>
                <c:pt idx="801">
                  <c:v>202.53035310321832</c:v>
                </c:pt>
                <c:pt idx="802">
                  <c:v>202.51668591760617</c:v>
                </c:pt>
                <c:pt idx="803">
                  <c:v>202.50318226622619</c:v>
                </c:pt>
                <c:pt idx="804">
                  <c:v>202.48984018898321</c:v>
                </c:pt>
                <c:pt idx="805">
                  <c:v>202.47665774935345</c:v>
                </c:pt>
                <c:pt idx="806">
                  <c:v>202.46363303409927</c:v>
                </c:pt>
                <c:pt idx="807">
                  <c:v>202.4507641529874</c:v>
                </c:pt>
                <c:pt idx="808">
                  <c:v>202.43804923851056</c:v>
                </c:pt>
                <c:pt idx="809">
                  <c:v>202.42548644561259</c:v>
                </c:pt>
                <c:pt idx="810">
                  <c:v>202.41307395141686</c:v>
                </c:pt>
                <c:pt idx="811">
                  <c:v>202.40080995495808</c:v>
                </c:pt>
                <c:pt idx="812">
                  <c:v>202.38869267691726</c:v>
                </c:pt>
                <c:pt idx="813">
                  <c:v>202.37672035936009</c:v>
                </c:pt>
                <c:pt idx="814">
                  <c:v>202.36489126547843</c:v>
                </c:pt>
                <c:pt idx="815">
                  <c:v>202.35320367933485</c:v>
                </c:pt>
                <c:pt idx="816">
                  <c:v>202.34165590561048</c:v>
                </c:pt>
                <c:pt idx="817">
                  <c:v>202.33024626935583</c:v>
                </c:pt>
                <c:pt idx="818">
                  <c:v>202.31897311574468</c:v>
                </c:pt>
                <c:pt idx="819">
                  <c:v>202.30783480983104</c:v>
                </c:pt>
                <c:pt idx="820">
                  <c:v>202.29682973630889</c:v>
                </c:pt>
                <c:pt idx="821">
                  <c:v>202.28595629927509</c:v>
                </c:pt>
                <c:pt idx="822">
                  <c:v>202.27521292199498</c:v>
                </c:pt>
                <c:pt idx="823">
                  <c:v>202.26459804667101</c:v>
                </c:pt>
                <c:pt idx="824">
                  <c:v>202.25411013421402</c:v>
                </c:pt>
                <c:pt idx="825">
                  <c:v>202.24374766401746</c:v>
                </c:pt>
                <c:pt idx="826">
                  <c:v>202.23350913373432</c:v>
                </c:pt>
                <c:pt idx="827">
                  <c:v>202.22339305905666</c:v>
                </c:pt>
                <c:pt idx="828">
                  <c:v>202.21339797349805</c:v>
                </c:pt>
                <c:pt idx="829">
                  <c:v>202.20352242817845</c:v>
                </c:pt>
                <c:pt idx="830">
                  <c:v>202.19376499161177</c:v>
                </c:pt>
                <c:pt idx="831">
                  <c:v>202.18412424949619</c:v>
                </c:pt>
                <c:pt idx="832">
                  <c:v>202.17459880450673</c:v>
                </c:pt>
                <c:pt idx="833">
                  <c:v>202.16518727609056</c:v>
                </c:pt>
                <c:pt idx="834">
                  <c:v>202.15588830026476</c:v>
                </c:pt>
                <c:pt idx="835">
                  <c:v>202.14670052941651</c:v>
                </c:pt>
                <c:pt idx="836">
                  <c:v>202.13762263210569</c:v>
                </c:pt>
                <c:pt idx="837">
                  <c:v>202.12865329286996</c:v>
                </c:pt>
                <c:pt idx="838">
                  <c:v>202.11979121203214</c:v>
                </c:pt>
                <c:pt idx="839">
                  <c:v>202.11103510550998</c:v>
                </c:pt>
                <c:pt idx="840">
                  <c:v>202.10238370462815</c:v>
                </c:pt>
                <c:pt idx="841">
                  <c:v>202.09383575593267</c:v>
                </c:pt>
                <c:pt idx="842">
                  <c:v>202.0853900210075</c:v>
                </c:pt>
                <c:pt idx="843">
                  <c:v>202.07704527629323</c:v>
                </c:pt>
                <c:pt idx="844">
                  <c:v>202.06880031290831</c:v>
                </c:pt>
                <c:pt idx="845">
                  <c:v>202.06065393647211</c:v>
                </c:pt>
                <c:pt idx="846">
                  <c:v>202.05260496693029</c:v>
                </c:pt>
                <c:pt idx="847">
                  <c:v>202.04465223838233</c:v>
                </c:pt>
                <c:pt idx="848">
                  <c:v>202.036794598911</c:v>
                </c:pt>
                <c:pt idx="849">
                  <c:v>202.02903091041404</c:v>
                </c:pt>
                <c:pt idx="850">
                  <c:v>202.0213600484378</c:v>
                </c:pt>
                <c:pt idx="851">
                  <c:v>202.013780902013</c:v>
                </c:pt>
                <c:pt idx="852">
                  <c:v>202.0062923734923</c:v>
                </c:pt>
                <c:pt idx="853">
                  <c:v>201.99889337839005</c:v>
                </c:pt>
                <c:pt idx="854">
                  <c:v>201.99158284522383</c:v>
                </c:pt>
                <c:pt idx="855">
                  <c:v>201.98435971535801</c:v>
                </c:pt>
                <c:pt idx="856">
                  <c:v>201.97722294284907</c:v>
                </c:pt>
                <c:pt idx="857">
                  <c:v>201.97017149429297</c:v>
                </c:pt>
                <c:pt idx="858">
                  <c:v>201.96320434867428</c:v>
                </c:pt>
                <c:pt idx="859">
                  <c:v>201.95632049721709</c:v>
                </c:pt>
                <c:pt idx="860">
                  <c:v>201.94951894323782</c:v>
                </c:pt>
                <c:pt idx="861">
                  <c:v>201.94279870199972</c:v>
                </c:pt>
                <c:pt idx="862">
                  <c:v>201.93615880056925</c:v>
                </c:pt>
                <c:pt idx="863">
                  <c:v>201.92959827767405</c:v>
                </c:pt>
                <c:pt idx="864">
                  <c:v>201.92311618356283</c:v>
                </c:pt>
                <c:pt idx="865">
                  <c:v>201.9167115798667</c:v>
                </c:pt>
                <c:pt idx="866">
                  <c:v>201.9103835394624</c:v>
                </c:pt>
                <c:pt idx="867">
                  <c:v>201.90413114633705</c:v>
                </c:pt>
                <c:pt idx="868">
                  <c:v>201.8979534954546</c:v>
                </c:pt>
                <c:pt idx="869">
                  <c:v>201.89184969262394</c:v>
                </c:pt>
                <c:pt idx="870">
                  <c:v>201.88581885436841</c:v>
                </c:pt>
                <c:pt idx="871">
                  <c:v>201.87986010779713</c:v>
                </c:pt>
                <c:pt idx="872">
                  <c:v>201.87397259047776</c:v>
                </c:pt>
                <c:pt idx="873">
                  <c:v>201.86815545031084</c:v>
                </c:pt>
                <c:pt idx="874">
                  <c:v>201.8624078454055</c:v>
                </c:pt>
                <c:pt idx="875">
                  <c:v>201.85672894395694</c:v>
                </c:pt>
                <c:pt idx="876">
                  <c:v>201.85111792412519</c:v>
                </c:pt>
                <c:pt idx="877">
                  <c:v>201.84557397391541</c:v>
                </c:pt>
                <c:pt idx="878">
                  <c:v>201.84009629105958</c:v>
                </c:pt>
                <c:pt idx="879">
                  <c:v>201.83468408289968</c:v>
                </c:pt>
                <c:pt idx="880">
                  <c:v>201.8293365662723</c:v>
                </c:pt>
                <c:pt idx="881">
                  <c:v>201.82405296739452</c:v>
                </c:pt>
                <c:pt idx="882">
                  <c:v>201.81883252175132</c:v>
                </c:pt>
                <c:pt idx="883">
                  <c:v>201.81367447398424</c:v>
                </c:pt>
                <c:pt idx="884">
                  <c:v>201.80857807778142</c:v>
                </c:pt>
                <c:pt idx="885">
                  <c:v>201.80354259576902</c:v>
                </c:pt>
                <c:pt idx="886">
                  <c:v>201.79856729940383</c:v>
                </c:pt>
                <c:pt idx="887">
                  <c:v>201.79365146886732</c:v>
                </c:pt>
                <c:pt idx="888">
                  <c:v>201.78879439296082</c:v>
                </c:pt>
                <c:pt idx="889">
                  <c:v>201.78399536900213</c:v>
                </c:pt>
                <c:pt idx="890">
                  <c:v>201.7792537027232</c:v>
                </c:pt>
                <c:pt idx="891">
                  <c:v>201.77456870816917</c:v>
                </c:pt>
                <c:pt idx="892">
                  <c:v>201.76993970759858</c:v>
                </c:pt>
                <c:pt idx="893">
                  <c:v>201.76536603138481</c:v>
                </c:pt>
                <c:pt idx="894">
                  <c:v>201.76084701791868</c:v>
                </c:pt>
                <c:pt idx="895">
                  <c:v>201.75638201351222</c:v>
                </c:pt>
                <c:pt idx="896">
                  <c:v>201.75197037230365</c:v>
                </c:pt>
                <c:pt idx="897">
                  <c:v>201.74761145616338</c:v>
                </c:pt>
                <c:pt idx="898">
                  <c:v>201.7433046346014</c:v>
                </c:pt>
                <c:pt idx="899">
                  <c:v>201.73904928467547</c:v>
                </c:pt>
                <c:pt idx="900">
                  <c:v>201.73484479090061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感染症の流行!$C$1</c:f>
              <c:strCache>
                <c:ptCount val="1"/>
                <c:pt idx="0">
                  <c:v>I(t)；感染人口</c:v>
                </c:pt>
              </c:strCache>
            </c:strRef>
          </c:tx>
          <c:marker>
            <c:symbol val="none"/>
          </c:marker>
          <c:xVal>
            <c:numRef>
              <c:f>感染症の流行!$A$2:$A$902</c:f>
              <c:numCache>
                <c:formatCode>General</c:formatCode>
                <c:ptCount val="9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1.3000000000000003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1.8000000000000003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2.5000000000000004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3.0000000000000004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3.5000000000000004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4.3999999999999995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10.200000000000001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11.700000000000001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12.200000000000001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12.700000000000001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13.200000000000001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13.700000000000001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14.200000000000001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14.700000000000001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15.200000000000001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15.700000000000001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16.200000000000003</c:v>
                </c:pt>
                <c:pt idx="163">
                  <c:v>16.3</c:v>
                </c:pt>
                <c:pt idx="164">
                  <c:v>16.400000000000002</c:v>
                </c:pt>
                <c:pt idx="165">
                  <c:v>16.500000000000004</c:v>
                </c:pt>
                <c:pt idx="166">
                  <c:v>16.600000000000001</c:v>
                </c:pt>
                <c:pt idx="167">
                  <c:v>16.700000000000003</c:v>
                </c:pt>
                <c:pt idx="168">
                  <c:v>16.8</c:v>
                </c:pt>
                <c:pt idx="169">
                  <c:v>16.900000000000002</c:v>
                </c:pt>
                <c:pt idx="170">
                  <c:v>17.000000000000004</c:v>
                </c:pt>
                <c:pt idx="171">
                  <c:v>17.100000000000001</c:v>
                </c:pt>
                <c:pt idx="172">
                  <c:v>17.200000000000003</c:v>
                </c:pt>
                <c:pt idx="173">
                  <c:v>17.3</c:v>
                </c:pt>
                <c:pt idx="174">
                  <c:v>17.400000000000002</c:v>
                </c:pt>
                <c:pt idx="175">
                  <c:v>17.500000000000004</c:v>
                </c:pt>
                <c:pt idx="176">
                  <c:v>17.600000000000001</c:v>
                </c:pt>
                <c:pt idx="177">
                  <c:v>17.700000000000003</c:v>
                </c:pt>
                <c:pt idx="178">
                  <c:v>17.8</c:v>
                </c:pt>
                <c:pt idx="179">
                  <c:v>17.900000000000002</c:v>
                </c:pt>
                <c:pt idx="180">
                  <c:v>18.000000000000004</c:v>
                </c:pt>
                <c:pt idx="181">
                  <c:v>18.100000000000001</c:v>
                </c:pt>
                <c:pt idx="182">
                  <c:v>18.200000000000003</c:v>
                </c:pt>
                <c:pt idx="183">
                  <c:v>18.3</c:v>
                </c:pt>
                <c:pt idx="184">
                  <c:v>18.400000000000002</c:v>
                </c:pt>
                <c:pt idx="185">
                  <c:v>18.500000000000004</c:v>
                </c:pt>
                <c:pt idx="186">
                  <c:v>18.600000000000001</c:v>
                </c:pt>
                <c:pt idx="187">
                  <c:v>18.700000000000003</c:v>
                </c:pt>
                <c:pt idx="188">
                  <c:v>18.8</c:v>
                </c:pt>
                <c:pt idx="189">
                  <c:v>18.900000000000002</c:v>
                </c:pt>
                <c:pt idx="190">
                  <c:v>19.000000000000004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19.400000000000002</c:v>
                </c:pt>
                <c:pt idx="195">
                  <c:v>19.500000000000004</c:v>
                </c:pt>
                <c:pt idx="196">
                  <c:v>19.600000000000001</c:v>
                </c:pt>
                <c:pt idx="197">
                  <c:v>19.700000000000003</c:v>
                </c:pt>
                <c:pt idx="198">
                  <c:v>19.800000000000004</c:v>
                </c:pt>
                <c:pt idx="199">
                  <c:v>19.900000000000002</c:v>
                </c:pt>
                <c:pt idx="200">
                  <c:v>20.000000000000004</c:v>
                </c:pt>
                <c:pt idx="201">
                  <c:v>20.100000000000001</c:v>
                </c:pt>
                <c:pt idx="202">
                  <c:v>20.200000000000003</c:v>
                </c:pt>
                <c:pt idx="203">
                  <c:v>20.300000000000004</c:v>
                </c:pt>
                <c:pt idx="204">
                  <c:v>20.400000000000002</c:v>
                </c:pt>
                <c:pt idx="205">
                  <c:v>20.500000000000004</c:v>
                </c:pt>
                <c:pt idx="206">
                  <c:v>20.6</c:v>
                </c:pt>
                <c:pt idx="207">
                  <c:v>20.700000000000003</c:v>
                </c:pt>
                <c:pt idx="208">
                  <c:v>20.800000000000004</c:v>
                </c:pt>
                <c:pt idx="209">
                  <c:v>20.900000000000002</c:v>
                </c:pt>
                <c:pt idx="210">
                  <c:v>21.000000000000004</c:v>
                </c:pt>
                <c:pt idx="211">
                  <c:v>21.1</c:v>
                </c:pt>
                <c:pt idx="212">
                  <c:v>21.200000000000003</c:v>
                </c:pt>
                <c:pt idx="213">
                  <c:v>21.300000000000004</c:v>
                </c:pt>
                <c:pt idx="214">
                  <c:v>21.400000000000002</c:v>
                </c:pt>
                <c:pt idx="215">
                  <c:v>21.500000000000004</c:v>
                </c:pt>
                <c:pt idx="216">
                  <c:v>21.6</c:v>
                </c:pt>
                <c:pt idx="217">
                  <c:v>21.700000000000003</c:v>
                </c:pt>
                <c:pt idx="218">
                  <c:v>21.800000000000004</c:v>
                </c:pt>
                <c:pt idx="219">
                  <c:v>21.900000000000002</c:v>
                </c:pt>
                <c:pt idx="220">
                  <c:v>22.000000000000004</c:v>
                </c:pt>
                <c:pt idx="221">
                  <c:v>22.1</c:v>
                </c:pt>
                <c:pt idx="222">
                  <c:v>22.200000000000003</c:v>
                </c:pt>
                <c:pt idx="223">
                  <c:v>22.300000000000004</c:v>
                </c:pt>
                <c:pt idx="224">
                  <c:v>22.400000000000002</c:v>
                </c:pt>
                <c:pt idx="225">
                  <c:v>22.500000000000004</c:v>
                </c:pt>
                <c:pt idx="226">
                  <c:v>22.6</c:v>
                </c:pt>
                <c:pt idx="227">
                  <c:v>22.700000000000003</c:v>
                </c:pt>
                <c:pt idx="228">
                  <c:v>22.800000000000004</c:v>
                </c:pt>
                <c:pt idx="229">
                  <c:v>22.900000000000002</c:v>
                </c:pt>
                <c:pt idx="230">
                  <c:v>23.000000000000004</c:v>
                </c:pt>
                <c:pt idx="231">
                  <c:v>23.1</c:v>
                </c:pt>
                <c:pt idx="232">
                  <c:v>23.200000000000003</c:v>
                </c:pt>
                <c:pt idx="233">
                  <c:v>23.300000000000004</c:v>
                </c:pt>
                <c:pt idx="234">
                  <c:v>23.400000000000002</c:v>
                </c:pt>
                <c:pt idx="235">
                  <c:v>23.500000000000004</c:v>
                </c:pt>
                <c:pt idx="236">
                  <c:v>23.6</c:v>
                </c:pt>
                <c:pt idx="237">
                  <c:v>23.700000000000003</c:v>
                </c:pt>
                <c:pt idx="238">
                  <c:v>23.800000000000004</c:v>
                </c:pt>
                <c:pt idx="239">
                  <c:v>23.900000000000002</c:v>
                </c:pt>
                <c:pt idx="240">
                  <c:v>24.000000000000004</c:v>
                </c:pt>
                <c:pt idx="241">
                  <c:v>24.1</c:v>
                </c:pt>
                <c:pt idx="242">
                  <c:v>24.200000000000003</c:v>
                </c:pt>
                <c:pt idx="243">
                  <c:v>24.300000000000004</c:v>
                </c:pt>
                <c:pt idx="244">
                  <c:v>24.400000000000002</c:v>
                </c:pt>
                <c:pt idx="245">
                  <c:v>24.500000000000004</c:v>
                </c:pt>
                <c:pt idx="246">
                  <c:v>24.6</c:v>
                </c:pt>
                <c:pt idx="247">
                  <c:v>24.700000000000003</c:v>
                </c:pt>
                <c:pt idx="248">
                  <c:v>24.800000000000004</c:v>
                </c:pt>
                <c:pt idx="249">
                  <c:v>24.900000000000002</c:v>
                </c:pt>
                <c:pt idx="250">
                  <c:v>25.000000000000004</c:v>
                </c:pt>
                <c:pt idx="251">
                  <c:v>25.1</c:v>
                </c:pt>
                <c:pt idx="252">
                  <c:v>25.200000000000003</c:v>
                </c:pt>
                <c:pt idx="253">
                  <c:v>25.300000000000004</c:v>
                </c:pt>
                <c:pt idx="254">
                  <c:v>25.400000000000002</c:v>
                </c:pt>
                <c:pt idx="255">
                  <c:v>25.500000000000004</c:v>
                </c:pt>
                <c:pt idx="256">
                  <c:v>25.6</c:v>
                </c:pt>
                <c:pt idx="257">
                  <c:v>25.700000000000003</c:v>
                </c:pt>
                <c:pt idx="258">
                  <c:v>25.800000000000004</c:v>
                </c:pt>
                <c:pt idx="259">
                  <c:v>25.900000000000002</c:v>
                </c:pt>
                <c:pt idx="260">
                  <c:v>26.000000000000004</c:v>
                </c:pt>
                <c:pt idx="261">
                  <c:v>26.1</c:v>
                </c:pt>
                <c:pt idx="262">
                  <c:v>26.200000000000003</c:v>
                </c:pt>
                <c:pt idx="263">
                  <c:v>26.300000000000004</c:v>
                </c:pt>
                <c:pt idx="264">
                  <c:v>26.400000000000002</c:v>
                </c:pt>
                <c:pt idx="265">
                  <c:v>26.500000000000004</c:v>
                </c:pt>
                <c:pt idx="266">
                  <c:v>26.6</c:v>
                </c:pt>
                <c:pt idx="267">
                  <c:v>26.700000000000003</c:v>
                </c:pt>
                <c:pt idx="268">
                  <c:v>26.800000000000004</c:v>
                </c:pt>
                <c:pt idx="269">
                  <c:v>26.900000000000002</c:v>
                </c:pt>
                <c:pt idx="270">
                  <c:v>27.000000000000004</c:v>
                </c:pt>
                <c:pt idx="271">
                  <c:v>27.1</c:v>
                </c:pt>
                <c:pt idx="272">
                  <c:v>27.200000000000003</c:v>
                </c:pt>
                <c:pt idx="273">
                  <c:v>27.300000000000004</c:v>
                </c:pt>
                <c:pt idx="274">
                  <c:v>27.400000000000002</c:v>
                </c:pt>
                <c:pt idx="275">
                  <c:v>27.500000000000004</c:v>
                </c:pt>
                <c:pt idx="276">
                  <c:v>27.6</c:v>
                </c:pt>
                <c:pt idx="277">
                  <c:v>27.700000000000003</c:v>
                </c:pt>
                <c:pt idx="278">
                  <c:v>27.800000000000004</c:v>
                </c:pt>
                <c:pt idx="279">
                  <c:v>27.900000000000002</c:v>
                </c:pt>
                <c:pt idx="280">
                  <c:v>28.000000000000004</c:v>
                </c:pt>
                <c:pt idx="281">
                  <c:v>28.1</c:v>
                </c:pt>
                <c:pt idx="282">
                  <c:v>28.200000000000003</c:v>
                </c:pt>
                <c:pt idx="283">
                  <c:v>28.300000000000004</c:v>
                </c:pt>
                <c:pt idx="284">
                  <c:v>28.400000000000002</c:v>
                </c:pt>
                <c:pt idx="285">
                  <c:v>28.500000000000004</c:v>
                </c:pt>
                <c:pt idx="286">
                  <c:v>28.6</c:v>
                </c:pt>
                <c:pt idx="287">
                  <c:v>28.700000000000003</c:v>
                </c:pt>
                <c:pt idx="288">
                  <c:v>28.800000000000004</c:v>
                </c:pt>
                <c:pt idx="289">
                  <c:v>28.900000000000002</c:v>
                </c:pt>
                <c:pt idx="290">
                  <c:v>29.000000000000004</c:v>
                </c:pt>
                <c:pt idx="291">
                  <c:v>29.1</c:v>
                </c:pt>
                <c:pt idx="292">
                  <c:v>29.200000000000003</c:v>
                </c:pt>
                <c:pt idx="293">
                  <c:v>29.300000000000004</c:v>
                </c:pt>
                <c:pt idx="294">
                  <c:v>29.400000000000002</c:v>
                </c:pt>
                <c:pt idx="295">
                  <c:v>29.500000000000004</c:v>
                </c:pt>
                <c:pt idx="296">
                  <c:v>29.6</c:v>
                </c:pt>
                <c:pt idx="297">
                  <c:v>29.700000000000003</c:v>
                </c:pt>
                <c:pt idx="298">
                  <c:v>29.800000000000004</c:v>
                </c:pt>
                <c:pt idx="299">
                  <c:v>29.900000000000002</c:v>
                </c:pt>
                <c:pt idx="300">
                  <c:v>30.000000000000004</c:v>
                </c:pt>
                <c:pt idx="301">
                  <c:v>30.1</c:v>
                </c:pt>
                <c:pt idx="302">
                  <c:v>30.200000000000003</c:v>
                </c:pt>
                <c:pt idx="303">
                  <c:v>30.300000000000004</c:v>
                </c:pt>
                <c:pt idx="304">
                  <c:v>30.400000000000002</c:v>
                </c:pt>
                <c:pt idx="305">
                  <c:v>30.500000000000004</c:v>
                </c:pt>
                <c:pt idx="306">
                  <c:v>30.6</c:v>
                </c:pt>
                <c:pt idx="307">
                  <c:v>30.700000000000003</c:v>
                </c:pt>
                <c:pt idx="308">
                  <c:v>30.800000000000004</c:v>
                </c:pt>
                <c:pt idx="309">
                  <c:v>30.900000000000002</c:v>
                </c:pt>
                <c:pt idx="310">
                  <c:v>31.000000000000004</c:v>
                </c:pt>
                <c:pt idx="311">
                  <c:v>31.1</c:v>
                </c:pt>
                <c:pt idx="312">
                  <c:v>31.200000000000003</c:v>
                </c:pt>
                <c:pt idx="313">
                  <c:v>31.300000000000004</c:v>
                </c:pt>
                <c:pt idx="314">
                  <c:v>31.400000000000002</c:v>
                </c:pt>
                <c:pt idx="315">
                  <c:v>31.500000000000004</c:v>
                </c:pt>
                <c:pt idx="316">
                  <c:v>31.6</c:v>
                </c:pt>
                <c:pt idx="317">
                  <c:v>31.700000000000003</c:v>
                </c:pt>
                <c:pt idx="318">
                  <c:v>31.800000000000004</c:v>
                </c:pt>
                <c:pt idx="319">
                  <c:v>31.900000000000002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32.300000000000004</c:v>
                </c:pt>
                <c:pt idx="324">
                  <c:v>32.400000000000006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32.800000000000004</c:v>
                </c:pt>
                <c:pt idx="329">
                  <c:v>32.900000000000006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33.300000000000004</c:v>
                </c:pt>
                <c:pt idx="334">
                  <c:v>33.400000000000006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33.800000000000004</c:v>
                </c:pt>
                <c:pt idx="339">
                  <c:v>33.900000000000006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34.300000000000004</c:v>
                </c:pt>
                <c:pt idx="344">
                  <c:v>34.400000000000006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34.800000000000004</c:v>
                </c:pt>
                <c:pt idx="349">
                  <c:v>34.900000000000006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35.300000000000004</c:v>
                </c:pt>
                <c:pt idx="354">
                  <c:v>35.400000000000006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35.800000000000004</c:v>
                </c:pt>
                <c:pt idx="359">
                  <c:v>35.900000000000006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36.300000000000004</c:v>
                </c:pt>
                <c:pt idx="364">
                  <c:v>36.400000000000006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36.800000000000004</c:v>
                </c:pt>
                <c:pt idx="369">
                  <c:v>36.900000000000006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37.300000000000004</c:v>
                </c:pt>
                <c:pt idx="374">
                  <c:v>37.400000000000006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37.800000000000004</c:v>
                </c:pt>
                <c:pt idx="379">
                  <c:v>37.900000000000006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38.300000000000004</c:v>
                </c:pt>
                <c:pt idx="384">
                  <c:v>38.400000000000006</c:v>
                </c:pt>
                <c:pt idx="385">
                  <c:v>38.500000000000007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38.800000000000004</c:v>
                </c:pt>
                <c:pt idx="389">
                  <c:v>38.900000000000006</c:v>
                </c:pt>
                <c:pt idx="390">
                  <c:v>39.000000000000007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39.300000000000004</c:v>
                </c:pt>
                <c:pt idx="394">
                  <c:v>39.400000000000006</c:v>
                </c:pt>
                <c:pt idx="395">
                  <c:v>39.500000000000007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39.800000000000004</c:v>
                </c:pt>
                <c:pt idx="399">
                  <c:v>39.900000000000006</c:v>
                </c:pt>
                <c:pt idx="400">
                  <c:v>40.000000000000007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40.300000000000004</c:v>
                </c:pt>
                <c:pt idx="404">
                  <c:v>40.400000000000006</c:v>
                </c:pt>
                <c:pt idx="405">
                  <c:v>40.500000000000007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40.800000000000004</c:v>
                </c:pt>
                <c:pt idx="409">
                  <c:v>40.900000000000006</c:v>
                </c:pt>
                <c:pt idx="410">
                  <c:v>41.000000000000007</c:v>
                </c:pt>
                <c:pt idx="411">
                  <c:v>41.1</c:v>
                </c:pt>
                <c:pt idx="412">
                  <c:v>41.2</c:v>
                </c:pt>
                <c:pt idx="413">
                  <c:v>41.300000000000004</c:v>
                </c:pt>
                <c:pt idx="414">
                  <c:v>41.400000000000006</c:v>
                </c:pt>
                <c:pt idx="415">
                  <c:v>41.500000000000007</c:v>
                </c:pt>
                <c:pt idx="416">
                  <c:v>41.6</c:v>
                </c:pt>
                <c:pt idx="417">
                  <c:v>41.7</c:v>
                </c:pt>
                <c:pt idx="418">
                  <c:v>41.800000000000004</c:v>
                </c:pt>
                <c:pt idx="419">
                  <c:v>41.900000000000006</c:v>
                </c:pt>
                <c:pt idx="420">
                  <c:v>42.000000000000007</c:v>
                </c:pt>
                <c:pt idx="421">
                  <c:v>42.1</c:v>
                </c:pt>
                <c:pt idx="422">
                  <c:v>42.2</c:v>
                </c:pt>
                <c:pt idx="423">
                  <c:v>42.300000000000004</c:v>
                </c:pt>
                <c:pt idx="424">
                  <c:v>42.400000000000006</c:v>
                </c:pt>
                <c:pt idx="425">
                  <c:v>42.500000000000007</c:v>
                </c:pt>
                <c:pt idx="426">
                  <c:v>42.6</c:v>
                </c:pt>
                <c:pt idx="427">
                  <c:v>42.7</c:v>
                </c:pt>
                <c:pt idx="428">
                  <c:v>42.800000000000004</c:v>
                </c:pt>
                <c:pt idx="429">
                  <c:v>42.900000000000006</c:v>
                </c:pt>
                <c:pt idx="430">
                  <c:v>43.000000000000007</c:v>
                </c:pt>
                <c:pt idx="431">
                  <c:v>43.1</c:v>
                </c:pt>
                <c:pt idx="432">
                  <c:v>43.2</c:v>
                </c:pt>
                <c:pt idx="433">
                  <c:v>43.300000000000004</c:v>
                </c:pt>
                <c:pt idx="434">
                  <c:v>43.400000000000006</c:v>
                </c:pt>
                <c:pt idx="435">
                  <c:v>43.500000000000007</c:v>
                </c:pt>
                <c:pt idx="436">
                  <c:v>43.6</c:v>
                </c:pt>
                <c:pt idx="437">
                  <c:v>43.7</c:v>
                </c:pt>
                <c:pt idx="438">
                  <c:v>43.800000000000004</c:v>
                </c:pt>
                <c:pt idx="439">
                  <c:v>43.900000000000006</c:v>
                </c:pt>
                <c:pt idx="440">
                  <c:v>44.000000000000007</c:v>
                </c:pt>
                <c:pt idx="441">
                  <c:v>44.1</c:v>
                </c:pt>
                <c:pt idx="442">
                  <c:v>44.2</c:v>
                </c:pt>
                <c:pt idx="443">
                  <c:v>44.300000000000004</c:v>
                </c:pt>
                <c:pt idx="444">
                  <c:v>44.400000000000006</c:v>
                </c:pt>
                <c:pt idx="445">
                  <c:v>44.500000000000007</c:v>
                </c:pt>
                <c:pt idx="446">
                  <c:v>44.6</c:v>
                </c:pt>
                <c:pt idx="447">
                  <c:v>44.7</c:v>
                </c:pt>
                <c:pt idx="448">
                  <c:v>44.800000000000004</c:v>
                </c:pt>
                <c:pt idx="449">
                  <c:v>44.900000000000006</c:v>
                </c:pt>
                <c:pt idx="450">
                  <c:v>45.000000000000007</c:v>
                </c:pt>
                <c:pt idx="451">
                  <c:v>45.1</c:v>
                </c:pt>
                <c:pt idx="452">
                  <c:v>45.2</c:v>
                </c:pt>
                <c:pt idx="453">
                  <c:v>45.300000000000004</c:v>
                </c:pt>
                <c:pt idx="454">
                  <c:v>45.400000000000006</c:v>
                </c:pt>
                <c:pt idx="455">
                  <c:v>45.500000000000007</c:v>
                </c:pt>
                <c:pt idx="456">
                  <c:v>45.6</c:v>
                </c:pt>
                <c:pt idx="457">
                  <c:v>45.7</c:v>
                </c:pt>
                <c:pt idx="458">
                  <c:v>45.800000000000004</c:v>
                </c:pt>
                <c:pt idx="459">
                  <c:v>45.900000000000006</c:v>
                </c:pt>
                <c:pt idx="460">
                  <c:v>46.000000000000007</c:v>
                </c:pt>
                <c:pt idx="461">
                  <c:v>46.1</c:v>
                </c:pt>
                <c:pt idx="462">
                  <c:v>46.2</c:v>
                </c:pt>
                <c:pt idx="463">
                  <c:v>46.300000000000004</c:v>
                </c:pt>
                <c:pt idx="464">
                  <c:v>46.400000000000006</c:v>
                </c:pt>
                <c:pt idx="465">
                  <c:v>46.500000000000007</c:v>
                </c:pt>
                <c:pt idx="466">
                  <c:v>46.6</c:v>
                </c:pt>
                <c:pt idx="467">
                  <c:v>46.7</c:v>
                </c:pt>
                <c:pt idx="468">
                  <c:v>46.800000000000004</c:v>
                </c:pt>
                <c:pt idx="469">
                  <c:v>46.900000000000006</c:v>
                </c:pt>
                <c:pt idx="470">
                  <c:v>47.000000000000007</c:v>
                </c:pt>
                <c:pt idx="471">
                  <c:v>47.1</c:v>
                </c:pt>
                <c:pt idx="472">
                  <c:v>47.2</c:v>
                </c:pt>
                <c:pt idx="473">
                  <c:v>47.300000000000004</c:v>
                </c:pt>
                <c:pt idx="474">
                  <c:v>47.400000000000006</c:v>
                </c:pt>
                <c:pt idx="475">
                  <c:v>47.500000000000007</c:v>
                </c:pt>
                <c:pt idx="476">
                  <c:v>47.6</c:v>
                </c:pt>
                <c:pt idx="477">
                  <c:v>47.7</c:v>
                </c:pt>
                <c:pt idx="478">
                  <c:v>47.800000000000004</c:v>
                </c:pt>
                <c:pt idx="479">
                  <c:v>47.900000000000006</c:v>
                </c:pt>
                <c:pt idx="480">
                  <c:v>48.000000000000007</c:v>
                </c:pt>
                <c:pt idx="481">
                  <c:v>48.1</c:v>
                </c:pt>
                <c:pt idx="482">
                  <c:v>48.2</c:v>
                </c:pt>
                <c:pt idx="483">
                  <c:v>48.300000000000004</c:v>
                </c:pt>
                <c:pt idx="484">
                  <c:v>48.400000000000006</c:v>
                </c:pt>
                <c:pt idx="485">
                  <c:v>48.500000000000007</c:v>
                </c:pt>
                <c:pt idx="486">
                  <c:v>48.6</c:v>
                </c:pt>
                <c:pt idx="487">
                  <c:v>48.7</c:v>
                </c:pt>
                <c:pt idx="488">
                  <c:v>48.800000000000004</c:v>
                </c:pt>
                <c:pt idx="489">
                  <c:v>48.900000000000006</c:v>
                </c:pt>
                <c:pt idx="490">
                  <c:v>49.000000000000007</c:v>
                </c:pt>
                <c:pt idx="491">
                  <c:v>49.1</c:v>
                </c:pt>
                <c:pt idx="492">
                  <c:v>49.2</c:v>
                </c:pt>
                <c:pt idx="493">
                  <c:v>49.300000000000004</c:v>
                </c:pt>
                <c:pt idx="494">
                  <c:v>49.400000000000006</c:v>
                </c:pt>
                <c:pt idx="495">
                  <c:v>49.500000000000007</c:v>
                </c:pt>
                <c:pt idx="496">
                  <c:v>49.6</c:v>
                </c:pt>
                <c:pt idx="497">
                  <c:v>49.7</c:v>
                </c:pt>
                <c:pt idx="498">
                  <c:v>49.800000000000004</c:v>
                </c:pt>
                <c:pt idx="499">
                  <c:v>49.900000000000006</c:v>
                </c:pt>
                <c:pt idx="500">
                  <c:v>50.000000000000007</c:v>
                </c:pt>
                <c:pt idx="501">
                  <c:v>50.1</c:v>
                </c:pt>
                <c:pt idx="502">
                  <c:v>50.2</c:v>
                </c:pt>
                <c:pt idx="503">
                  <c:v>50.300000000000004</c:v>
                </c:pt>
                <c:pt idx="504">
                  <c:v>50.400000000000006</c:v>
                </c:pt>
                <c:pt idx="505">
                  <c:v>50.500000000000007</c:v>
                </c:pt>
                <c:pt idx="506">
                  <c:v>50.6</c:v>
                </c:pt>
                <c:pt idx="507">
                  <c:v>50.7</c:v>
                </c:pt>
                <c:pt idx="508">
                  <c:v>50.800000000000004</c:v>
                </c:pt>
                <c:pt idx="509">
                  <c:v>50.900000000000006</c:v>
                </c:pt>
                <c:pt idx="510">
                  <c:v>51.000000000000007</c:v>
                </c:pt>
                <c:pt idx="511">
                  <c:v>51.1</c:v>
                </c:pt>
                <c:pt idx="512">
                  <c:v>51.2</c:v>
                </c:pt>
                <c:pt idx="513">
                  <c:v>51.300000000000004</c:v>
                </c:pt>
                <c:pt idx="514">
                  <c:v>51.400000000000006</c:v>
                </c:pt>
                <c:pt idx="515">
                  <c:v>51.500000000000007</c:v>
                </c:pt>
                <c:pt idx="516">
                  <c:v>51.6</c:v>
                </c:pt>
                <c:pt idx="517">
                  <c:v>51.7</c:v>
                </c:pt>
                <c:pt idx="518">
                  <c:v>51.800000000000004</c:v>
                </c:pt>
                <c:pt idx="519">
                  <c:v>51.900000000000006</c:v>
                </c:pt>
                <c:pt idx="520">
                  <c:v>52.000000000000007</c:v>
                </c:pt>
                <c:pt idx="521">
                  <c:v>52.1</c:v>
                </c:pt>
                <c:pt idx="522">
                  <c:v>52.2</c:v>
                </c:pt>
                <c:pt idx="523">
                  <c:v>52.300000000000004</c:v>
                </c:pt>
                <c:pt idx="524">
                  <c:v>52.400000000000006</c:v>
                </c:pt>
                <c:pt idx="525">
                  <c:v>52.500000000000007</c:v>
                </c:pt>
                <c:pt idx="526">
                  <c:v>52.6</c:v>
                </c:pt>
                <c:pt idx="527">
                  <c:v>52.7</c:v>
                </c:pt>
                <c:pt idx="528">
                  <c:v>52.800000000000004</c:v>
                </c:pt>
                <c:pt idx="529">
                  <c:v>52.900000000000006</c:v>
                </c:pt>
                <c:pt idx="530">
                  <c:v>53.000000000000007</c:v>
                </c:pt>
                <c:pt idx="531">
                  <c:v>53.1</c:v>
                </c:pt>
                <c:pt idx="532">
                  <c:v>53.2</c:v>
                </c:pt>
                <c:pt idx="533">
                  <c:v>53.300000000000004</c:v>
                </c:pt>
                <c:pt idx="534">
                  <c:v>53.400000000000006</c:v>
                </c:pt>
                <c:pt idx="535">
                  <c:v>53.500000000000007</c:v>
                </c:pt>
                <c:pt idx="536">
                  <c:v>53.6</c:v>
                </c:pt>
                <c:pt idx="537">
                  <c:v>53.7</c:v>
                </c:pt>
                <c:pt idx="538">
                  <c:v>53.800000000000004</c:v>
                </c:pt>
                <c:pt idx="539">
                  <c:v>53.900000000000006</c:v>
                </c:pt>
                <c:pt idx="540">
                  <c:v>54.000000000000007</c:v>
                </c:pt>
                <c:pt idx="541">
                  <c:v>54.1</c:v>
                </c:pt>
                <c:pt idx="542">
                  <c:v>54.2</c:v>
                </c:pt>
                <c:pt idx="543">
                  <c:v>54.300000000000004</c:v>
                </c:pt>
                <c:pt idx="544">
                  <c:v>54.400000000000006</c:v>
                </c:pt>
                <c:pt idx="545">
                  <c:v>54.500000000000007</c:v>
                </c:pt>
                <c:pt idx="546">
                  <c:v>54.6</c:v>
                </c:pt>
                <c:pt idx="547">
                  <c:v>54.7</c:v>
                </c:pt>
                <c:pt idx="548">
                  <c:v>54.800000000000004</c:v>
                </c:pt>
                <c:pt idx="549">
                  <c:v>54.900000000000006</c:v>
                </c:pt>
                <c:pt idx="550">
                  <c:v>55.000000000000007</c:v>
                </c:pt>
                <c:pt idx="551">
                  <c:v>55.1</c:v>
                </c:pt>
                <c:pt idx="552">
                  <c:v>55.2</c:v>
                </c:pt>
                <c:pt idx="553">
                  <c:v>55.300000000000004</c:v>
                </c:pt>
                <c:pt idx="554">
                  <c:v>55.400000000000006</c:v>
                </c:pt>
                <c:pt idx="555">
                  <c:v>55.500000000000007</c:v>
                </c:pt>
                <c:pt idx="556">
                  <c:v>55.6</c:v>
                </c:pt>
                <c:pt idx="557">
                  <c:v>55.7</c:v>
                </c:pt>
                <c:pt idx="558">
                  <c:v>55.800000000000004</c:v>
                </c:pt>
                <c:pt idx="559">
                  <c:v>55.900000000000006</c:v>
                </c:pt>
                <c:pt idx="560">
                  <c:v>56.000000000000007</c:v>
                </c:pt>
                <c:pt idx="561">
                  <c:v>56.1</c:v>
                </c:pt>
                <c:pt idx="562">
                  <c:v>56.2</c:v>
                </c:pt>
                <c:pt idx="563">
                  <c:v>56.300000000000004</c:v>
                </c:pt>
                <c:pt idx="564">
                  <c:v>56.400000000000006</c:v>
                </c:pt>
                <c:pt idx="565">
                  <c:v>56.500000000000007</c:v>
                </c:pt>
                <c:pt idx="566">
                  <c:v>56.6</c:v>
                </c:pt>
                <c:pt idx="567">
                  <c:v>56.7</c:v>
                </c:pt>
                <c:pt idx="568">
                  <c:v>56.800000000000004</c:v>
                </c:pt>
                <c:pt idx="569">
                  <c:v>56.900000000000006</c:v>
                </c:pt>
                <c:pt idx="570">
                  <c:v>57.000000000000007</c:v>
                </c:pt>
                <c:pt idx="571">
                  <c:v>57.1</c:v>
                </c:pt>
                <c:pt idx="572">
                  <c:v>57.2</c:v>
                </c:pt>
                <c:pt idx="573">
                  <c:v>57.300000000000004</c:v>
                </c:pt>
                <c:pt idx="574">
                  <c:v>57.400000000000006</c:v>
                </c:pt>
                <c:pt idx="575">
                  <c:v>57.500000000000007</c:v>
                </c:pt>
                <c:pt idx="576">
                  <c:v>57.6</c:v>
                </c:pt>
                <c:pt idx="577">
                  <c:v>57.7</c:v>
                </c:pt>
                <c:pt idx="578">
                  <c:v>57.800000000000004</c:v>
                </c:pt>
                <c:pt idx="579">
                  <c:v>57.900000000000006</c:v>
                </c:pt>
                <c:pt idx="580">
                  <c:v>58.000000000000007</c:v>
                </c:pt>
                <c:pt idx="581">
                  <c:v>58.1</c:v>
                </c:pt>
                <c:pt idx="582">
                  <c:v>58.2</c:v>
                </c:pt>
                <c:pt idx="583">
                  <c:v>58.300000000000004</c:v>
                </c:pt>
                <c:pt idx="584">
                  <c:v>58.400000000000006</c:v>
                </c:pt>
                <c:pt idx="585">
                  <c:v>58.500000000000007</c:v>
                </c:pt>
                <c:pt idx="586">
                  <c:v>58.6</c:v>
                </c:pt>
                <c:pt idx="587">
                  <c:v>58.7</c:v>
                </c:pt>
                <c:pt idx="588">
                  <c:v>58.800000000000004</c:v>
                </c:pt>
                <c:pt idx="589">
                  <c:v>58.900000000000006</c:v>
                </c:pt>
                <c:pt idx="590">
                  <c:v>59.000000000000007</c:v>
                </c:pt>
                <c:pt idx="591">
                  <c:v>59.1</c:v>
                </c:pt>
                <c:pt idx="592">
                  <c:v>59.2</c:v>
                </c:pt>
                <c:pt idx="593">
                  <c:v>59.300000000000004</c:v>
                </c:pt>
                <c:pt idx="594">
                  <c:v>59.400000000000006</c:v>
                </c:pt>
                <c:pt idx="595">
                  <c:v>59.500000000000007</c:v>
                </c:pt>
                <c:pt idx="596">
                  <c:v>59.6</c:v>
                </c:pt>
                <c:pt idx="597">
                  <c:v>59.7</c:v>
                </c:pt>
                <c:pt idx="598">
                  <c:v>59.800000000000004</c:v>
                </c:pt>
                <c:pt idx="599">
                  <c:v>59.900000000000006</c:v>
                </c:pt>
                <c:pt idx="600">
                  <c:v>60.000000000000007</c:v>
                </c:pt>
                <c:pt idx="601">
                  <c:v>60.1</c:v>
                </c:pt>
                <c:pt idx="602">
                  <c:v>60.2</c:v>
                </c:pt>
                <c:pt idx="603">
                  <c:v>60.300000000000004</c:v>
                </c:pt>
                <c:pt idx="604">
                  <c:v>60.400000000000006</c:v>
                </c:pt>
                <c:pt idx="605">
                  <c:v>60.500000000000007</c:v>
                </c:pt>
                <c:pt idx="606">
                  <c:v>60.6</c:v>
                </c:pt>
                <c:pt idx="607">
                  <c:v>60.7</c:v>
                </c:pt>
                <c:pt idx="608">
                  <c:v>60.800000000000004</c:v>
                </c:pt>
                <c:pt idx="609">
                  <c:v>60.900000000000006</c:v>
                </c:pt>
                <c:pt idx="610">
                  <c:v>61.000000000000007</c:v>
                </c:pt>
                <c:pt idx="611">
                  <c:v>61.1</c:v>
                </c:pt>
                <c:pt idx="612">
                  <c:v>61.2</c:v>
                </c:pt>
                <c:pt idx="613">
                  <c:v>61.300000000000004</c:v>
                </c:pt>
                <c:pt idx="614">
                  <c:v>61.400000000000006</c:v>
                </c:pt>
                <c:pt idx="615">
                  <c:v>61.500000000000007</c:v>
                </c:pt>
                <c:pt idx="616">
                  <c:v>61.6</c:v>
                </c:pt>
                <c:pt idx="617">
                  <c:v>61.7</c:v>
                </c:pt>
                <c:pt idx="618">
                  <c:v>61.800000000000004</c:v>
                </c:pt>
                <c:pt idx="619">
                  <c:v>61.900000000000006</c:v>
                </c:pt>
                <c:pt idx="620">
                  <c:v>62.000000000000007</c:v>
                </c:pt>
                <c:pt idx="621">
                  <c:v>62.1</c:v>
                </c:pt>
                <c:pt idx="622">
                  <c:v>62.2</c:v>
                </c:pt>
                <c:pt idx="623">
                  <c:v>62.300000000000004</c:v>
                </c:pt>
                <c:pt idx="624">
                  <c:v>62.400000000000006</c:v>
                </c:pt>
                <c:pt idx="625">
                  <c:v>62.500000000000007</c:v>
                </c:pt>
                <c:pt idx="626">
                  <c:v>62.6</c:v>
                </c:pt>
                <c:pt idx="627">
                  <c:v>62.7</c:v>
                </c:pt>
                <c:pt idx="628">
                  <c:v>62.800000000000004</c:v>
                </c:pt>
                <c:pt idx="629">
                  <c:v>62.900000000000006</c:v>
                </c:pt>
                <c:pt idx="630">
                  <c:v>63.000000000000007</c:v>
                </c:pt>
                <c:pt idx="631">
                  <c:v>63.1</c:v>
                </c:pt>
                <c:pt idx="632">
                  <c:v>63.2</c:v>
                </c:pt>
                <c:pt idx="633">
                  <c:v>63.300000000000004</c:v>
                </c:pt>
                <c:pt idx="634">
                  <c:v>63.400000000000006</c:v>
                </c:pt>
                <c:pt idx="635">
                  <c:v>63.500000000000007</c:v>
                </c:pt>
                <c:pt idx="636">
                  <c:v>63.6</c:v>
                </c:pt>
                <c:pt idx="637">
                  <c:v>63.7</c:v>
                </c:pt>
                <c:pt idx="638">
                  <c:v>63.800000000000004</c:v>
                </c:pt>
                <c:pt idx="639">
                  <c:v>63.900000000000006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64.399999999999991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64.899999999999991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65.399999999999991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65.899999999999991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66.399999999999991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66.899999999999991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67.399999999999991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67.899999999999991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68.399999999999991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68.899999999999991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69.399999999999991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69.899999999999991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70.399999999999991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70.899999999999991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71.399999999999991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71.899999999999991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72.399999999999991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72.899999999999991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73.399999999999991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73.899999999999991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74.399999999999991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74.899999999999991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75.899999999999991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76.399999999999991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</c:numCache>
            </c:numRef>
          </c:xVal>
          <c:yVal>
            <c:numRef>
              <c:f>感染症の流行!$C$2:$C$902</c:f>
              <c:numCache>
                <c:formatCode>General</c:formatCode>
                <c:ptCount val="901"/>
                <c:pt idx="0">
                  <c:v>1</c:v>
                </c:pt>
                <c:pt idx="1">
                  <c:v>1.02</c:v>
                </c:pt>
                <c:pt idx="2">
                  <c:v>1.040398368</c:v>
                </c:pt>
                <c:pt idx="3">
                  <c:v>1.0612029728603918</c:v>
                </c:pt>
                <c:pt idx="4">
                  <c:v>1.0824218362034528</c:v>
                </c:pt>
                <c:pt idx="5">
                  <c:v>1.1040631352706771</c:v>
                </c:pt>
                <c:pt idx="6">
                  <c:v>1.126135205829119</c:v>
                </c:pt>
                <c:pt idx="7">
                  <c:v>1.1486465451273999</c:v>
                </c:pt>
                <c:pt idx="8">
                  <c:v>1.1716058149020376</c:v>
                </c:pt>
                <c:pt idx="9">
                  <c:v>1.1950218444347489</c:v>
                </c:pt>
                <c:pt idx="10">
                  <c:v>1.2189036336613819</c:v>
                </c:pt>
                <c:pt idx="11">
                  <c:v>1.2432603563331315</c:v>
                </c:pt>
                <c:pt idx="12">
                  <c:v>1.2681013632306866</c:v>
                </c:pt>
                <c:pt idx="13">
                  <c:v>1.2934361854319607</c:v>
                </c:pt>
                <c:pt idx="14">
                  <c:v>1.3192745376340507</c:v>
                </c:pt>
                <c:pt idx="15">
                  <c:v>1.3456263215300659</c:v>
                </c:pt>
                <c:pt idx="16">
                  <c:v>1.3725016292414671</c:v>
                </c:pt>
                <c:pt idx="17">
                  <c:v>1.3999107468065464</c:v>
                </c:pt>
                <c:pt idx="18">
                  <c:v>1.427864157725677</c:v>
                </c:pt>
                <c:pt idx="19">
                  <c:v>1.4563725465639537</c:v>
                </c:pt>
                <c:pt idx="20">
                  <c:v>1.4854468026118361</c:v>
                </c:pt>
                <c:pt idx="21">
                  <c:v>1.515098023604402</c:v>
                </c:pt>
                <c:pt idx="22">
                  <c:v>1.5453375194998029</c:v>
                </c:pt>
                <c:pt idx="23">
                  <c:v>1.5761768163175121</c:v>
                </c:pt>
                <c:pt idx="24">
                  <c:v>1.6076276600369357</c:v>
                </c:pt>
                <c:pt idx="25">
                  <c:v>1.6397020205569521</c:v>
                </c:pt>
                <c:pt idx="26">
                  <c:v>1.6724120957169251</c:v>
                </c:pt>
                <c:pt idx="27">
                  <c:v>1.7057703153797275</c:v>
                </c:pt>
                <c:pt idx="28">
                  <c:v>1.739789345577293</c:v>
                </c:pt>
                <c:pt idx="29">
                  <c:v>1.7744820927191964</c:v>
                </c:pt>
                <c:pt idx="30">
                  <c:v>1.8098617078647465</c:v>
                </c:pt>
                <c:pt idx="31">
                  <c:v>1.8459415910590533</c:v>
                </c:pt>
                <c:pt idx="32">
                  <c:v>1.8827353957335125</c:v>
                </c:pt>
                <c:pt idx="33">
                  <c:v>1.9202570331711244</c:v>
                </c:pt>
                <c:pt idx="34">
                  <c:v>1.958520677037044</c:v>
                </c:pt>
                <c:pt idx="35">
                  <c:v>1.9975407679747279</c:v>
                </c:pt>
                <c:pt idx="36">
                  <c:v>2.037332018268021</c:v>
                </c:pt>
                <c:pt idx="37">
                  <c:v>2.0779094165694918</c:v>
                </c:pt>
                <c:pt idx="38">
                  <c:v>2.1192882326952969</c:v>
                </c:pt>
                <c:pt idx="39">
                  <c:v>2.161484022486821</c:v>
                </c:pt>
                <c:pt idx="40">
                  <c:v>2.2045126327393008</c:v>
                </c:pt>
                <c:pt idx="41">
                  <c:v>2.2483902061976062</c:v>
                </c:pt>
                <c:pt idx="42">
                  <c:v>2.2931331866193139</c:v>
                </c:pt>
                <c:pt idx="43">
                  <c:v>2.3387583239051599</c:v>
                </c:pt>
                <c:pt idx="44">
                  <c:v>2.3852826792969193</c:v>
                </c:pt>
                <c:pt idx="45">
                  <c:v>2.4327236306427111</c:v>
                </c:pt>
                <c:pt idx="46">
                  <c:v>2.4810988777296794</c:v>
                </c:pt>
                <c:pt idx="47">
                  <c:v>2.5304264476839426</c:v>
                </c:pt>
                <c:pt idx="48">
                  <c:v>2.580724700437659</c:v>
                </c:pt>
                <c:pt idx="49">
                  <c:v>2.6320123342629831</c:v>
                </c:pt>
                <c:pt idx="50">
                  <c:v>2.6843083913726438</c:v>
                </c:pt>
                <c:pt idx="51">
                  <c:v>2.737632263586796</c:v>
                </c:pt>
                <c:pt idx="52">
                  <c:v>2.7920036980657374</c:v>
                </c:pt>
                <c:pt idx="53">
                  <c:v>2.8474428031080095</c:v>
                </c:pt>
                <c:pt idx="54">
                  <c:v>2.9039700540133282</c:v>
                </c:pt>
                <c:pt idx="55">
                  <c:v>2.9616062990097083</c:v>
                </c:pt>
                <c:pt idx="56">
                  <c:v>3.0203727652440686</c:v>
                </c:pt>
                <c:pt idx="57">
                  <c:v>3.0802910648355151</c:v>
                </c:pt>
                <c:pt idx="58">
                  <c:v>3.1413832009904104</c:v>
                </c:pt>
                <c:pt idx="59">
                  <c:v>3.2036715741782436</c:v>
                </c:pt>
                <c:pt idx="60">
                  <c:v>3.26717898836722</c:v>
                </c:pt>
                <c:pt idx="61">
                  <c:v>3.3319286573183806</c:v>
                </c:pt>
                <c:pt idx="62">
                  <c:v>3.3979442109369566</c:v>
                </c:pt>
                <c:pt idx="63">
                  <c:v>3.4652497016795554</c:v>
                </c:pt>
                <c:pt idx="64">
                  <c:v>3.5338696110156511</c:v>
                </c:pt>
                <c:pt idx="65">
                  <c:v>3.603828855941734</c:v>
                </c:pt>
                <c:pt idx="66">
                  <c:v>3.675152795546345</c:v>
                </c:pt>
                <c:pt idx="67">
                  <c:v>3.7478672376240874</c:v>
                </c:pt>
                <c:pt idx="68">
                  <c:v>3.8219984453365687</c:v>
                </c:pt>
                <c:pt idx="69">
                  <c:v>3.8975731439180819</c:v>
                </c:pt>
                <c:pt idx="70">
                  <c:v>3.9746185274236838</c:v>
                </c:pt>
                <c:pt idx="71">
                  <c:v>4.0531622655171722</c:v>
                </c:pt>
                <c:pt idx="72">
                  <c:v>4.1332325102962999</c:v>
                </c:pt>
                <c:pt idx="73">
                  <c:v>4.2148579031523923</c:v>
                </c:pt>
                <c:pt idx="74">
                  <c:v>4.2980675816613596</c:v>
                </c:pt>
                <c:pt idx="75">
                  <c:v>4.3828911865029143</c:v>
                </c:pt>
                <c:pt idx="76">
                  <c:v>4.4693588684046075</c:v>
                </c:pt>
                <c:pt idx="77">
                  <c:v>4.5575012951071052</c:v>
                </c:pt>
                <c:pt idx="78">
                  <c:v>4.6473496583469132</c:v>
                </c:pt>
                <c:pt idx="79">
                  <c:v>4.7389356808525571</c:v>
                </c:pt>
                <c:pt idx="80">
                  <c:v>4.83229162334999</c:v>
                </c:pt>
                <c:pt idx="81">
                  <c:v>4.9274502915727787</c:v>
                </c:pt>
                <c:pt idx="82">
                  <c:v>5.024445043272376</c:v>
                </c:pt>
                <c:pt idx="83">
                  <c:v>5.1233097952235465</c:v>
                </c:pt>
                <c:pt idx="84">
                  <c:v>5.2240790302197508</c:v>
                </c:pt>
                <c:pt idx="85">
                  <c:v>5.3267878040530361</c:v>
                </c:pt>
                <c:pt idx="86">
                  <c:v>5.431471752472695</c:v>
                </c:pt>
                <c:pt idx="87">
                  <c:v>5.5381670981166868</c:v>
                </c:pt>
                <c:pt idx="88">
                  <c:v>5.6469106574095118</c:v>
                </c:pt>
                <c:pt idx="89">
                  <c:v>5.7577398474199279</c:v>
                </c:pt>
                <c:pt idx="90">
                  <c:v>5.8706926926715912</c:v>
                </c:pt>
                <c:pt idx="91">
                  <c:v>5.9858078318993728</c:v>
                </c:pt>
                <c:pt idx="92">
                  <c:v>6.1031245247437731</c:v>
                </c:pt>
                <c:pt idx="93">
                  <c:v>6.222682658375513</c:v>
                </c:pt>
                <c:pt idx="94">
                  <c:v>6.3445227540420195</c:v>
                </c:pt>
                <c:pt idx="95">
                  <c:v>6.4686859735271698</c:v>
                </c:pt>
                <c:pt idx="96">
                  <c:v>6.5952141255152643</c:v>
                </c:pt>
                <c:pt idx="97">
                  <c:v>6.7241496718498226</c:v>
                </c:pt>
                <c:pt idx="98">
                  <c:v>6.8555357336773932</c:v>
                </c:pt>
                <c:pt idx="99">
                  <c:v>6.9894160974661563</c:v>
                </c:pt>
                <c:pt idx="100">
                  <c:v>7.1258352208886704</c:v>
                </c:pt>
                <c:pt idx="101">
                  <c:v>7.2648382385576857</c:v>
                </c:pt>
                <c:pt idx="102">
                  <c:v>7.4064709676034974</c:v>
                </c:pt>
                <c:pt idx="103">
                  <c:v>7.5507799130808522</c:v>
                </c:pt>
                <c:pt idx="104">
                  <c:v>7.6978122731929419</c:v>
                </c:pt>
                <c:pt idx="105">
                  <c:v>7.8476159443195543</c:v>
                </c:pt>
                <c:pt idx="106">
                  <c:v>8.0002395258359318</c:v>
                </c:pt>
                <c:pt idx="107">
                  <c:v>8.155732324708401</c:v>
                </c:pt>
                <c:pt idx="108">
                  <c:v>8.3141443598522926</c:v>
                </c:pt>
                <c:pt idx="109">
                  <c:v>8.4755263662371725</c:v>
                </c:pt>
                <c:pt idx="110">
                  <c:v>8.6399297987238164</c:v>
                </c:pt>
                <c:pt idx="111">
                  <c:v>8.8074068356168471</c:v>
                </c:pt>
                <c:pt idx="112">
                  <c:v>8.9780103819163468</c:v>
                </c:pt>
                <c:pt idx="113">
                  <c:v>9.1517940722512119</c:v>
                </c:pt>
                <c:pt idx="114">
                  <c:v>9.3288122734763945</c:v>
                </c:pt>
                <c:pt idx="115">
                  <c:v>9.5091200869155905</c:v>
                </c:pt>
                <c:pt idx="116">
                  <c:v>9.6927733502303148</c:v>
                </c:pt>
                <c:pt idx="117">
                  <c:v>9.8798286388956775</c:v>
                </c:pt>
                <c:pt idx="118">
                  <c:v>10.07034326726254</c:v>
                </c:pt>
                <c:pt idx="119">
                  <c:v>10.264375289185086</c:v>
                </c:pt>
                <c:pt idx="120">
                  <c:v>10.46198349819219</c:v>
                </c:pt>
                <c:pt idx="121">
                  <c:v>10.663227427180297</c:v>
                </c:pt>
                <c:pt idx="122">
                  <c:v>10.868167347604855</c:v>
                </c:pt>
                <c:pt idx="123">
                  <c:v>11.076864268146663</c:v>
                </c:pt>
                <c:pt idx="124">
                  <c:v>11.289379932828824</c:v>
                </c:pt>
                <c:pt idx="125">
                  <c:v>11.505776818559269</c:v>
                </c:pt>
                <c:pt idx="126">
                  <c:v>11.726118132073148</c:v>
                </c:pt>
                <c:pt idx="127">
                  <c:v>11.950467806248669</c:v>
                </c:pt>
                <c:pt idx="128">
                  <c:v>12.178890495769263</c:v>
                </c:pt>
                <c:pt idx="129">
                  <c:v>12.411451572104227</c:v>
                </c:pt>
                <c:pt idx="130">
                  <c:v>12.64821711777933</c:v>
                </c:pt>
                <c:pt idx="131">
                  <c:v>12.8892539199081</c:v>
                </c:pt>
                <c:pt idx="132">
                  <c:v>13.134629462953839</c:v>
                </c:pt>
                <c:pt idx="133">
                  <c:v>13.38441192069171</c:v>
                </c:pt>
                <c:pt idx="134">
                  <c:v>13.638670147339504</c:v>
                </c:pt>
                <c:pt idx="135">
                  <c:v>13.897473667825038</c:v>
                </c:pt>
                <c:pt idx="136">
                  <c:v>14.160892667157423</c:v>
                </c:pt>
                <c:pt idx="137">
                  <c:v>14.428997978868768</c:v>
                </c:pt>
                <c:pt idx="138">
                  <c:v>14.701861072492225</c:v>
                </c:pt>
                <c:pt idx="139">
                  <c:v>14.979554040041618</c:v>
                </c:pt>
                <c:pt idx="140">
                  <c:v>15.26214958145728</c:v>
                </c:pt>
                <c:pt idx="141">
                  <c:v>15.54972098898206</c:v>
                </c:pt>
                <c:pt idx="142">
                  <c:v>15.842342130430936</c:v>
                </c:pt>
                <c:pt idx="143">
                  <c:v>16.140087431317024</c:v>
                </c:pt>
                <c:pt idx="144">
                  <c:v>16.443031855796253</c:v>
                </c:pt>
                <c:pt idx="145">
                  <c:v>16.751250886392491</c:v>
                </c:pt>
                <c:pt idx="146">
                  <c:v>17.064820502464343</c:v>
                </c:pt>
                <c:pt idx="147">
                  <c:v>17.383817157374484</c:v>
                </c:pt>
                <c:pt idx="148">
                  <c:v>17.708317754321879</c:v>
                </c:pt>
                <c:pt idx="149">
                  <c:v>18.038399620796973</c:v>
                </c:pt>
                <c:pt idx="150">
                  <c:v>18.374140481619509</c:v>
                </c:pt>
                <c:pt idx="151">
                  <c:v>18.715618430518461</c:v>
                </c:pt>
                <c:pt idx="152">
                  <c:v>19.062911900213233</c:v>
                </c:pt>
                <c:pt idx="153">
                  <c:v>19.416099630955241</c:v>
                </c:pt>
                <c:pt idx="154">
                  <c:v>19.775260637488756</c:v>
                </c:pt>
                <c:pt idx="155">
                  <c:v>20.140474174389993</c:v>
                </c:pt>
                <c:pt idx="156">
                  <c:v>20.511819699743327</c:v>
                </c:pt>
                <c:pt idx="157">
                  <c:v>20.889376837113762</c:v>
                </c:pt>
                <c:pt idx="158">
                  <c:v>21.27322533577486</c:v>
                </c:pt>
                <c:pt idx="159">
                  <c:v>21.663445029151717</c:v>
                </c:pt>
                <c:pt idx="160">
                  <c:v>22.060115791438815</c:v>
                </c:pt>
                <c:pt idx="161">
                  <c:v>22.46331749235322</c:v>
                </c:pt>
                <c:pt idx="162">
                  <c:v>22.873129949983969</c:v>
                </c:pt>
                <c:pt idx="163">
                  <c:v>23.289632881699347</c:v>
                </c:pt>
                <c:pt idx="164">
                  <c:v>23.712905853074378</c:v>
                </c:pt>
                <c:pt idx="165">
                  <c:v>24.143028224801881</c:v>
                </c:pt>
                <c:pt idx="166">
                  <c:v>24.580079097551437</c:v>
                </c:pt>
                <c:pt idx="167">
                  <c:v>25.024137254741724</c:v>
                </c:pt>
                <c:pt idx="168">
                  <c:v>25.475281103193058</c:v>
                </c:pt>
                <c:pt idx="169">
                  <c:v>25.933588611628331</c:v>
                </c:pt>
                <c:pt idx="170">
                  <c:v>26.399137246992204</c:v>
                </c:pt>
                <c:pt idx="171">
                  <c:v>26.872003908560082</c:v>
                </c:pt>
                <c:pt idx="172">
                  <c:v>27.352264859810347</c:v>
                </c:pt>
                <c:pt idx="173">
                  <c:v>27.839995658035388</c:v>
                </c:pt>
                <c:pt idx="174">
                  <c:v>28.335271081669148</c:v>
                </c:pt>
                <c:pt idx="175">
                  <c:v>28.838165055311435</c:v>
                </c:pt>
                <c:pt idx="176">
                  <c:v>29.348750572431712</c:v>
                </c:pt>
                <c:pt idx="177">
                  <c:v>29.867099615737985</c:v>
                </c:pt>
                <c:pt idx="178">
                  <c:v>30.393283075199317</c:v>
                </c:pt>
                <c:pt idx="179">
                  <c:v>30.927370663713717</c:v>
                </c:pt>
                <c:pt idx="180">
                  <c:v>31.469430830416506</c:v>
                </c:pt>
                <c:pt idx="181">
                  <c:v>32.019530671627912</c:v>
                </c:pt>
                <c:pt idx="182">
                  <c:v>32.577735839442376</c:v>
                </c:pt>
                <c:pt idx="183">
                  <c:v>33.144110447966199</c:v>
                </c:pt>
                <c:pt idx="184">
                  <c:v>33.718716977214214</c:v>
                </c:pt>
                <c:pt idx="185">
                  <c:v>34.301616174680909</c:v>
                </c:pt>
                <c:pt idx="186">
                  <c:v>34.892866954605829</c:v>
                </c:pt>
                <c:pt idx="187">
                  <c:v>35.49252629495826</c:v>
                </c:pt>
                <c:pt idx="188">
                  <c:v>36.100649132171192</c:v>
                </c:pt>
                <c:pt idx="189">
                  <c:v>36.717288253660058</c:v>
                </c:pt>
                <c:pt idx="190">
                  <c:v>37.342494188167237</c:v>
                </c:pt>
                <c:pt idx="191">
                  <c:v>37.976315093979323</c:v>
                </c:pt>
                <c:pt idx="192">
                  <c:v>38.618796645070091</c:v>
                </c:pt>
                <c:pt idx="193">
                  <c:v>39.269981915228485</c:v>
                </c:pt>
                <c:pt idx="194">
                  <c:v>39.929911260237411</c:v>
                </c:pt>
                <c:pt idx="195">
                  <c:v>40.598622198175981</c:v>
                </c:pt>
                <c:pt idx="196">
                  <c:v>41.276149287924689</c:v>
                </c:pt>
                <c:pt idx="197">
                  <c:v>41.962524005960226</c:v>
                </c:pt>
                <c:pt idx="198">
                  <c:v>42.65777462153401</c:v>
                </c:pt>
                <c:pt idx="199">
                  <c:v>43.361926070336125</c:v>
                </c:pt>
                <c:pt idx="200">
                  <c:v>44.074999826753931</c:v>
                </c:pt>
                <c:pt idx="201">
                  <c:v>44.797013774842775</c:v>
                </c:pt>
                <c:pt idx="202">
                  <c:v>45.527982078134066</c:v>
                </c:pt>
                <c:pt idx="203">
                  <c:v>46.267915048414359</c:v>
                </c:pt>
                <c:pt idx="204">
                  <c:v>47.016819013617351</c:v>
                </c:pt>
                <c:pt idx="205">
                  <c:v>47.774696184979199</c:v>
                </c:pt>
                <c:pt idx="206">
                  <c:v>48.541544523616118</c:v>
                </c:pt>
                <c:pt idx="207">
                  <c:v>49.317357606691793</c:v>
                </c:pt>
                <c:pt idx="208">
                  <c:v>50.102124493350914</c:v>
                </c:pt>
                <c:pt idx="209">
                  <c:v>50.895829590603782</c:v>
                </c:pt>
                <c:pt idx="210">
                  <c:v>51.698452519355698</c:v>
                </c:pt>
                <c:pt idx="211">
                  <c:v>52.509967980783479</c:v>
                </c:pt>
                <c:pt idx="212">
                  <c:v>53.330345623270247</c:v>
                </c:pt>
                <c:pt idx="213">
                  <c:v>54.159549910118031</c:v>
                </c:pt>
                <c:pt idx="214">
                  <c:v>54.997539988266325</c:v>
                </c:pt>
                <c:pt idx="215">
                  <c:v>55.844269558253067</c:v>
                </c:pt>
                <c:pt idx="216">
                  <c:v>56.699686745662568</c:v>
                </c:pt>
                <c:pt idx="217">
                  <c:v>57.563733974313038</c:v>
                </c:pt>
                <c:pt idx="218">
                  <c:v>58.436347841443926</c:v>
                </c:pt>
                <c:pt idx="219">
                  <c:v>59.317458995170824</c:v>
                </c:pt>
                <c:pt idx="220">
                  <c:v>60.206992014482779</c:v>
                </c:pt>
                <c:pt idx="221">
                  <c:v>61.104865292063572</c:v>
                </c:pt>
                <c:pt idx="222">
                  <c:v>62.010990920224963</c:v>
                </c:pt>
                <c:pt idx="223">
                  <c:v>62.925274580245805</c:v>
                </c:pt>
                <c:pt idx="224">
                  <c:v>63.847615435416358</c:v>
                </c:pt>
                <c:pt idx="225">
                  <c:v>64.777906028092048</c:v>
                </c:pt>
                <c:pt idx="226">
                  <c:v>65.716032181065373</c:v>
                </c:pt>
                <c:pt idx="227">
                  <c:v>66.661872903568266</c:v>
                </c:pt>
                <c:pt idx="228">
                  <c:v>67.615300302220419</c:v>
                </c:pt>
                <c:pt idx="229">
                  <c:v>68.57617949724154</c:v>
                </c:pt>
                <c:pt idx="230">
                  <c:v>69.54436854424705</c:v>
                </c:pt>
                <c:pt idx="231">
                  <c:v>70.51971836194771</c:v>
                </c:pt>
                <c:pt idx="232">
                  <c:v>71.502072666073744</c:v>
                </c:pt>
                <c:pt idx="233">
                  <c:v>72.49126790984333</c:v>
                </c:pt>
                <c:pt idx="234">
                  <c:v>73.48713323129347</c:v>
                </c:pt>
                <c:pt idx="235">
                  <c:v>74.489490407788878</c:v>
                </c:pt>
                <c:pt idx="236">
                  <c:v>75.498153818020896</c:v>
                </c:pt>
                <c:pt idx="237">
                  <c:v>76.512930411803751</c:v>
                </c:pt>
                <c:pt idx="238">
                  <c:v>77.533619687970173</c:v>
                </c:pt>
                <c:pt idx="239">
                  <c:v>78.560013680661598</c:v>
                </c:pt>
                <c:pt idx="240">
                  <c:v>79.591896954300452</c:v>
                </c:pt>
                <c:pt idx="241">
                  <c:v>80.629046607523321</c:v>
                </c:pt>
                <c:pt idx="242">
                  <c:v>81.671232286343937</c:v>
                </c:pt>
                <c:pt idx="243">
                  <c:v>82.718216206803731</c:v>
                </c:pt>
                <c:pt idx="244">
                  <c:v>83.769753187355747</c:v>
                </c:pt>
                <c:pt idx="245">
                  <c:v>84.825590691214273</c:v>
                </c:pt>
                <c:pt idx="246">
                  <c:v>85.885468878888261</c:v>
                </c:pt>
                <c:pt idx="247">
                  <c:v>86.949120671100886</c:v>
                </c:pt>
                <c:pt idx="248">
                  <c:v>88.016271822281098</c:v>
                </c:pt>
                <c:pt idx="249">
                  <c:v>89.086641004795183</c:v>
                </c:pt>
                <c:pt idx="250">
                  <c:v>90.159939904067443</c:v>
                </c:pt>
                <c:pt idx="251">
                  <c:v>91.23587332471935</c:v>
                </c:pt>
                <c:pt idx="252">
                  <c:v>92.31413930783539</c:v>
                </c:pt>
                <c:pt idx="253">
                  <c:v>93.394429259442106</c:v>
                </c:pt>
                <c:pt idx="254">
                  <c:v>94.476428090263894</c:v>
                </c:pt>
                <c:pt idx="255">
                  <c:v>95.559814366795337</c:v>
                </c:pt>
                <c:pt idx="256">
                  <c:v>96.644260473705373</c:v>
                </c:pt>
                <c:pt idx="257">
                  <c:v>97.729432787563113</c:v>
                </c:pt>
                <c:pt idx="258">
                  <c:v>98.81499186184918</c:v>
                </c:pt>
                <c:pt idx="259">
                  <c:v>99.900592623189652</c:v>
                </c:pt>
                <c:pt idx="260">
                  <c:v>100.98588457872248</c:v>
                </c:pt>
                <c:pt idx="261">
                  <c:v>102.07051203447836</c:v>
                </c:pt>
                <c:pt idx="262">
                  <c:v>103.15411432463016</c:v>
                </c:pt>
                <c:pt idx="263">
                  <c:v>104.23632605143627</c:v>
                </c:pt>
                <c:pt idx="264">
                  <c:v>105.3167773356748</c:v>
                </c:pt>
                <c:pt idx="265">
                  <c:v>106.39509407733667</c:v>
                </c:pt>
                <c:pt idx="266">
                  <c:v>107.47089822631689</c:v>
                </c:pt>
                <c:pt idx="267">
                  <c:v>108.54380806281478</c:v>
                </c:pt>
                <c:pt idx="268">
                  <c:v>109.61343848712508</c:v>
                </c:pt>
                <c:pt idx="269">
                  <c:v>110.67940131847432</c:v>
                </c:pt>
                <c:pt idx="270">
                  <c:v>111.74130560252843</c:v>
                </c:pt>
                <c:pt idx="271">
                  <c:v>112.79875792717093</c:v>
                </c:pt>
                <c:pt idx="272">
                  <c:v>113.85136274612421</c:v>
                </c:pt>
                <c:pt idx="273">
                  <c:v>114.89872270996072</c:v>
                </c:pt>
                <c:pt idx="274">
                  <c:v>115.94043900402612</c:v>
                </c:pt>
                <c:pt idx="275">
                  <c:v>116.97611169277214</c:v>
                </c:pt>
                <c:pt idx="276">
                  <c:v>118.00534006997468</c:v>
                </c:pt>
                <c:pt idx="277">
                  <c:v>119.02772301429046</c:v>
                </c:pt>
                <c:pt idx="278">
                  <c:v>120.04285934958547</c:v>
                </c:pt>
                <c:pt idx="279">
                  <c:v>121.05034820944961</c:v>
                </c:pt>
                <c:pt idx="280">
                  <c:v>122.04978940529421</c:v>
                </c:pt>
                <c:pt idx="281">
                  <c:v>123.0407837974134</c:v>
                </c:pt>
                <c:pt idx="282">
                  <c:v>124.02293366837604</c:v>
                </c:pt>
                <c:pt idx="283">
                  <c:v>124.99584309810228</c:v>
                </c:pt>
                <c:pt idx="284">
                  <c:v>125.95911833996824</c:v>
                </c:pt>
                <c:pt idx="285">
                  <c:v>126.91236819727345</c:v>
                </c:pt>
                <c:pt idx="286">
                  <c:v>127.85520439939852</c:v>
                </c:pt>
                <c:pt idx="287">
                  <c:v>128.78724197697582</c:v>
                </c:pt>
                <c:pt idx="288">
                  <c:v>129.70809963539273</c:v>
                </c:pt>
                <c:pt idx="289">
                  <c:v>130.61740012594589</c:v>
                </c:pt>
                <c:pt idx="290">
                  <c:v>131.51477061396645</c:v>
                </c:pt>
                <c:pt idx="291">
                  <c:v>132.39984304323869</c:v>
                </c:pt>
                <c:pt idx="292">
                  <c:v>133.27225449604026</c:v>
                </c:pt>
                <c:pt idx="293">
                  <c:v>134.13164754813866</c:v>
                </c:pt>
                <c:pt idx="294">
                  <c:v>134.97767061808867</c:v>
                </c:pt>
                <c:pt idx="295">
                  <c:v>135.80997831018581</c:v>
                </c:pt>
                <c:pt idx="296">
                  <c:v>136.62823175044471</c:v>
                </c:pt>
                <c:pt idx="297">
                  <c:v>137.43209891498574</c:v>
                </c:pt>
                <c:pt idx="298">
                  <c:v>138.22125495023073</c:v>
                </c:pt>
                <c:pt idx="299">
                  <c:v>138.99538248432702</c:v>
                </c:pt>
                <c:pt idx="300">
                  <c:v>139.75417192923948</c:v>
                </c:pt>
                <c:pt idx="301">
                  <c:v>140.49732177297238</c:v>
                </c:pt>
                <c:pt idx="302">
                  <c:v>141.2245388614067</c:v>
                </c:pt>
                <c:pt idx="303">
                  <c:v>141.93553866926328</c:v>
                </c:pt>
                <c:pt idx="304">
                  <c:v>142.63004555972924</c:v>
                </c:pt>
                <c:pt idx="305">
                  <c:v>143.30779303231213</c:v>
                </c:pt>
                <c:pt idx="306">
                  <c:v>143.96852395851607</c:v>
                </c:pt>
                <c:pt idx="307">
                  <c:v>144.61199080496337</c:v>
                </c:pt>
                <c:pt idx="308">
                  <c:v>145.23795584361642</c:v>
                </c:pt>
                <c:pt idx="309">
                  <c:v>145.84619134878633</c:v>
                </c:pt>
                <c:pt idx="310">
                  <c:v>146.43647978064706</c:v>
                </c:pt>
                <c:pt idx="311">
                  <c:v>147.00861395500681</c:v>
                </c:pt>
                <c:pt idx="312">
                  <c:v>147.5623971991219</c:v>
                </c:pt>
                <c:pt idx="313">
                  <c:v>148.09764349337217</c:v>
                </c:pt>
                <c:pt idx="314">
                  <c:v>148.61417759865031</c:v>
                </c:pt>
                <c:pt idx="315">
                  <c:v>149.11183516935239</c:v>
                </c:pt>
                <c:pt idx="316">
                  <c:v>149.59046285188975</c:v>
                </c:pt>
                <c:pt idx="317">
                  <c:v>150.04991836867697</c:v>
                </c:pt>
                <c:pt idx="318">
                  <c:v>150.49007058758338</c:v>
                </c:pt>
                <c:pt idx="319">
                  <c:v>150.91079957686915</c:v>
                </c:pt>
                <c:pt idx="320">
                  <c:v>151.31199664565892</c:v>
                </c:pt>
                <c:pt idx="321">
                  <c:v>151.69356437003802</c:v>
                </c:pt>
                <c:pt idx="322">
                  <c:v>152.05541660488751</c:v>
                </c:pt>
                <c:pt idx="323">
                  <c:v>152.39747848160425</c:v>
                </c:pt>
                <c:pt idx="324">
                  <c:v>152.71968639188171</c:v>
                </c:pt>
                <c:pt idx="325">
                  <c:v>153.02198795775547</c:v>
                </c:pt>
                <c:pt idx="326">
                  <c:v>153.30434198814461</c:v>
                </c:pt>
                <c:pt idx="327">
                  <c:v>153.56671842214632</c:v>
                </c:pt>
                <c:pt idx="328">
                  <c:v>153.80909825936547</c:v>
                </c:pt>
                <c:pt idx="329">
                  <c:v>154.03147347758522</c:v>
                </c:pt>
                <c:pt idx="330">
                  <c:v>154.23384693810613</c:v>
                </c:pt>
                <c:pt idx="331">
                  <c:v>154.41623227910245</c:v>
                </c:pt>
                <c:pt idx="332">
                  <c:v>154.57865379736373</c:v>
                </c:pt>
                <c:pt idx="333">
                  <c:v>154.7211463188076</c:v>
                </c:pt>
                <c:pt idx="334">
                  <c:v>154.84375505816615</c:v>
                </c:pt>
                <c:pt idx="335">
                  <c:v>154.94653546826351</c:v>
                </c:pt>
                <c:pt idx="336">
                  <c:v>155.02955307931506</c:v>
                </c:pt>
                <c:pt idx="337">
                  <c:v>155.09288332869173</c:v>
                </c:pt>
                <c:pt idx="338">
                  <c:v>155.13661138160211</c:v>
                </c:pt>
                <c:pt idx="339">
                  <c:v>155.16083194315505</c:v>
                </c:pt>
                <c:pt idx="340">
                  <c:v>155.16564906227234</c:v>
                </c:pt>
                <c:pt idx="341">
                  <c:v>155.1511759279272</c:v>
                </c:pt>
                <c:pt idx="342">
                  <c:v>155.11753465818913</c:v>
                </c:pt>
                <c:pt idx="343">
                  <c:v>155.06485608255852</c:v>
                </c:pt>
                <c:pt idx="344">
                  <c:v>154.99327951807646</c:v>
                </c:pt>
                <c:pt idx="345">
                  <c:v>154.9029525396956</c:v>
                </c:pt>
                <c:pt idx="346">
                  <c:v>154.79403074539712</c:v>
                </c:pt>
                <c:pt idx="347">
                  <c:v>154.66667751653685</c:v>
                </c:pt>
                <c:pt idx="348">
                  <c:v>154.52106377390007</c:v>
                </c:pt>
                <c:pt idx="349">
                  <c:v>154.35736772994088</c:v>
                </c:pt>
                <c:pt idx="350">
                  <c:v>154.17577463767537</c:v>
                </c:pt>
                <c:pt idx="351">
                  <c:v>153.9764765366927</c:v>
                </c:pt>
                <c:pt idx="352">
                  <c:v>153.75967199673946</c:v>
                </c:pt>
                <c:pt idx="353">
                  <c:v>153.52556585932538</c:v>
                </c:pt>
                <c:pt idx="354">
                  <c:v>153.27436897778836</c:v>
                </c:pt>
                <c:pt idx="355">
                  <c:v>153.00629795624732</c:v>
                </c:pt>
                <c:pt idx="356">
                  <c:v>152.72157488786061</c:v>
                </c:pt>
                <c:pt idx="357">
                  <c:v>152.42042709279579</c:v>
                </c:pt>
                <c:pt idx="358">
                  <c:v>152.10308685630534</c:v>
                </c:pt>
                <c:pt idx="359">
                  <c:v>151.76979116728978</c:v>
                </c:pt>
                <c:pt idx="360">
                  <c:v>151.42078145771669</c:v>
                </c:pt>
                <c:pt idx="361">
                  <c:v>151.05630334325093</c:v>
                </c:pt>
                <c:pt idx="362">
                  <c:v>150.67660636543735</c:v>
                </c:pt>
                <c:pt idx="363">
                  <c:v>150.28194373576301</c:v>
                </c:pt>
                <c:pt idx="364">
                  <c:v>149.87257208191207</c:v>
                </c:pt>
                <c:pt idx="365">
                  <c:v>149.44875119651113</c:v>
                </c:pt>
                <c:pt idx="366">
                  <c:v>149.01074378864902</c:v>
                </c:pt>
                <c:pt idx="367">
                  <c:v>148.55881523843931</c:v>
                </c:pt>
                <c:pt idx="368">
                  <c:v>148.09323335487971</c:v>
                </c:pt>
                <c:pt idx="369">
                  <c:v>147.61426813724708</c:v>
                </c:pt>
                <c:pt idx="370">
                  <c:v>147.12219154025232</c:v>
                </c:pt>
                <c:pt idx="371">
                  <c:v>146.61727724316449</c:v>
                </c:pt>
                <c:pt idx="372">
                  <c:v>146.09980042309888</c:v>
                </c:pt>
                <c:pt idx="373">
                  <c:v>145.57003753264937</c:v>
                </c:pt>
                <c:pt idx="374">
                  <c:v>145.02826608203094</c:v>
                </c:pt>
                <c:pt idx="375">
                  <c:v>144.47476442588456</c:v>
                </c:pt>
                <c:pt idx="376">
                  <c:v>143.90981155488222</c:v>
                </c:pt>
                <c:pt idx="377">
                  <c:v>143.33368689225699</c:v>
                </c:pt>
                <c:pt idx="378">
                  <c:v>142.74667009536927</c:v>
                </c:pt>
                <c:pt idx="379">
                  <c:v>142.14904086240773</c:v>
                </c:pt>
                <c:pt idx="380">
                  <c:v>141.54107874431099</c:v>
                </c:pt>
                <c:pt idx="381">
                  <c:v>140.92306296198331</c:v>
                </c:pt>
                <c:pt idx="382">
                  <c:v>140.29527222886648</c:v>
                </c:pt>
                <c:pt idx="383">
                  <c:v>139.65798457891827</c:v>
                </c:pt>
                <c:pt idx="384">
                  <c:v>139.01147720003655</c:v>
                </c:pt>
                <c:pt idx="385">
                  <c:v>138.35602627295796</c:v>
                </c:pt>
                <c:pt idx="386">
                  <c:v>137.69190681564962</c:v>
                </c:pt>
                <c:pt idx="387">
                  <c:v>137.01939253320253</c:v>
                </c:pt>
                <c:pt idx="388">
                  <c:v>136.33875567322605</c:v>
                </c:pt>
                <c:pt idx="389">
                  <c:v>135.65026688673362</c:v>
                </c:pt>
                <c:pt idx="390">
                  <c:v>134.95419509450193</c:v>
                </c:pt>
                <c:pt idx="391">
                  <c:v>134.25080735887701</c:v>
                </c:pt>
                <c:pt idx="392">
                  <c:v>133.54036876099369</c:v>
                </c:pt>
                <c:pt idx="393">
                  <c:v>132.82314228336693</c:v>
                </c:pt>
                <c:pt idx="394">
                  <c:v>132.09938869780757</c:v>
                </c:pt>
                <c:pt idx="395">
                  <c:v>131.36936645860774</c:v>
                </c:pt>
                <c:pt idx="396">
                  <c:v>130.63333160093617</c:v>
                </c:pt>
                <c:pt idx="397">
                  <c:v>129.891537644377</c:v>
                </c:pt>
                <c:pt idx="398">
                  <c:v>129.14423550154137</c:v>
                </c:pt>
                <c:pt idx="399">
                  <c:v>128.39167339167608</c:v>
                </c:pt>
                <c:pt idx="400">
                  <c:v>127.63409675918847</c:v>
                </c:pt>
                <c:pt idx="401">
                  <c:v>126.87174819700387</c:v>
                </c:pt>
                <c:pt idx="402">
                  <c:v>126.10486737466714</c:v>
                </c:pt>
                <c:pt idx="403">
                  <c:v>125.33369097109713</c:v>
                </c:pt>
                <c:pt idx="404">
                  <c:v>124.55845261189958</c:v>
                </c:pt>
                <c:pt idx="405">
                  <c:v>123.77938281114145</c:v>
                </c:pt>
                <c:pt idx="406">
                  <c:v>122.99670891748707</c:v>
                </c:pt>
                <c:pt idx="407">
                  <c:v>122.21065506459485</c:v>
                </c:pt>
                <c:pt idx="408">
                  <c:v>121.42144212567088</c:v>
                </c:pt>
                <c:pt idx="409">
                  <c:v>120.62928767207484</c:v>
                </c:pt>
                <c:pt idx="410">
                  <c:v>119.83440593587197</c:v>
                </c:pt>
                <c:pt idx="411">
                  <c:v>119.03700777622419</c:v>
                </c:pt>
                <c:pt idx="412">
                  <c:v>118.23730064951233</c:v>
                </c:pt>
                <c:pt idx="413">
                  <c:v>117.43548858308135</c:v>
                </c:pt>
                <c:pt idx="414">
                  <c:v>116.63177215249968</c:v>
                </c:pt>
                <c:pt idx="415">
                  <c:v>115.82634846222413</c:v>
                </c:pt>
                <c:pt idx="416">
                  <c:v>115.0194111295616</c:v>
                </c:pt>
                <c:pt idx="417">
                  <c:v>114.21115027181929</c:v>
                </c:pt>
                <c:pt idx="418">
                  <c:v>113.40175249653542</c:v>
                </c:pt>
                <c:pt idx="419">
                  <c:v>112.59140089468329</c:v>
                </c:pt>
                <c:pt idx="420">
                  <c:v>111.78027503674208</c:v>
                </c:pt>
                <c:pt idx="421">
                  <c:v>110.96855097152883</c:v>
                </c:pt>
                <c:pt idx="422">
                  <c:v>110.15640122768697</c:v>
                </c:pt>
                <c:pt idx="423">
                  <c:v>109.34399481772813</c:v>
                </c:pt>
                <c:pt idx="424">
                  <c:v>108.53149724452497</c:v>
                </c:pt>
                <c:pt idx="425">
                  <c:v>107.71907051015438</c:v>
                </c:pt>
                <c:pt idx="426">
                  <c:v>106.90687312699177</c:v>
                </c:pt>
                <c:pt idx="427">
                  <c:v>106.09506013095874</c:v>
                </c:pt>
                <c:pt idx="428">
                  <c:v>105.2837830968281</c:v>
                </c:pt>
                <c:pt idx="429">
                  <c:v>104.47319015549188</c:v>
                </c:pt>
                <c:pt idx="430">
                  <c:v>103.66342601309968</c:v>
                </c:pt>
                <c:pt idx="431">
                  <c:v>102.85463197197684</c:v>
                </c:pt>
                <c:pt idx="432">
                  <c:v>102.0469459532333</c:v>
                </c:pt>
                <c:pt idx="433">
                  <c:v>101.24050252097636</c:v>
                </c:pt>
                <c:pt idx="434">
                  <c:v>100.43543290804234</c:v>
                </c:pt>
                <c:pt idx="435">
                  <c:v>99.631865043164197</c:v>
                </c:pt>
                <c:pt idx="436">
                  <c:v>98.829923579493936</c:v>
                </c:pt>
                <c:pt idx="437">
                  <c:v>98.029729924401138</c:v>
                </c:pt>
                <c:pt idx="438">
                  <c:v>97.231402270470483</c:v>
                </c:pt>
                <c:pt idx="439">
                  <c:v>96.435055627623527</c:v>
                </c:pt>
                <c:pt idx="440">
                  <c:v>95.640801856292015</c:v>
                </c:pt>
                <c:pt idx="441">
                  <c:v>94.848749701571904</c:v>
                </c:pt>
                <c:pt idx="442">
                  <c:v>94.059004828289531</c:v>
                </c:pt>
                <c:pt idx="443">
                  <c:v>93.271669856913363</c:v>
                </c:pt>
                <c:pt idx="444">
                  <c:v>92.486844400246724</c:v>
                </c:pt>
                <c:pt idx="445">
                  <c:v>91.704625100839024</c:v>
                </c:pt>
                <c:pt idx="446">
                  <c:v>90.925105669055085</c:v>
                </c:pt>
                <c:pt idx="447">
                  <c:v>90.14837692174396</c:v>
                </c:pt>
                <c:pt idx="448">
                  <c:v>89.374526821450885</c:v>
                </c:pt>
                <c:pt idx="449">
                  <c:v>88.60364051611775</c:v>
                </c:pt>
                <c:pt idx="450">
                  <c:v>87.835800379219478</c:v>
                </c:pt>
                <c:pt idx="451">
                  <c:v>87.0710860502857</c:v>
                </c:pt>
                <c:pt idx="452">
                  <c:v>86.309574475758879</c:v>
                </c:pt>
                <c:pt idx="453">
                  <c:v>85.551339950141852</c:v>
                </c:pt>
                <c:pt idx="454">
                  <c:v>84.796454157389775</c:v>
                </c:pt>
                <c:pt idx="455">
                  <c:v>84.044986212503019</c:v>
                </c:pt>
                <c:pt idx="456">
                  <c:v>83.297002703279446</c:v>
                </c:pt>
                <c:pt idx="457">
                  <c:v>82.552567732186148</c:v>
                </c:pt>
                <c:pt idx="458">
                  <c:v>81.811742958312479</c:v>
                </c:pt>
                <c:pt idx="459">
                  <c:v>81.074587639367806</c:v>
                </c:pt>
                <c:pt idx="460">
                  <c:v>80.341158673688994</c:v>
                </c:pt>
                <c:pt idx="461">
                  <c:v>79.611510642224246</c:v>
                </c:pt>
                <c:pt idx="462">
                  <c:v>78.885695850461516</c:v>
                </c:pt>
                <c:pt idx="463">
                  <c:v>78.163764370271025</c:v>
                </c:pt>
                <c:pt idx="464">
                  <c:v>77.445764081633058</c:v>
                </c:pt>
                <c:pt idx="465">
                  <c:v>76.731740714223562</c:v>
                </c:pt>
                <c:pt idx="466">
                  <c:v>76.021737888831396</c:v>
                </c:pt>
                <c:pt idx="467">
                  <c:v>75.315797158582527</c:v>
                </c:pt>
                <c:pt idx="468">
                  <c:v>74.613958049947655</c:v>
                </c:pt>
                <c:pt idx="469">
                  <c:v>73.916258103511211</c:v>
                </c:pt>
                <c:pt idx="470">
                  <c:v>73.222732914480559</c:v>
                </c:pt>
                <c:pt idx="471">
                  <c:v>72.533416172915892</c:v>
                </c:pt>
                <c:pt idx="472">
                  <c:v>71.848339703661964</c:v>
                </c:pt>
                <c:pt idx="473">
                  <c:v>71.167533505964386</c:v>
                </c:pt>
                <c:pt idx="474">
                  <c:v>70.491025792753874</c:v>
                </c:pt>
                <c:pt idx="475">
                  <c:v>69.818843029583277</c:v>
                </c:pt>
                <c:pt idx="476">
                  <c:v>69.151009973202846</c:v>
                </c:pt>
                <c:pt idx="477">
                  <c:v>68.487549709760543</c:v>
                </c:pt>
                <c:pt idx="478">
                  <c:v>67.828483692614853</c:v>
                </c:pt>
                <c:pt idx="479">
                  <c:v>67.173831779748525</c:v>
                </c:pt>
                <c:pt idx="480">
                  <c:v>66.523612270772801</c:v>
                </c:pt>
                <c:pt idx="481">
                  <c:v>65.877841943512081</c:v>
                </c:pt>
                <c:pt idx="482">
                  <c:v>65.2365360901602</c:v>
                </c:pt>
                <c:pt idx="483">
                  <c:v>64.599708553000056</c:v>
                </c:pt>
                <c:pt idx="484">
                  <c:v>63.967371759679111</c:v>
                </c:pt>
                <c:pt idx="485">
                  <c:v>63.339536758034043</c:v>
                </c:pt>
                <c:pt idx="486">
                  <c:v>62.716213250458544</c:v>
                </c:pt>
                <c:pt idx="487">
                  <c:v>62.097409627808815</c:v>
                </c:pt>
                <c:pt idx="488">
                  <c:v>61.483133002842088</c:v>
                </c:pt>
                <c:pt idx="489">
                  <c:v>60.873389243183965</c:v>
                </c:pt>
                <c:pt idx="490">
                  <c:v>60.268183003821093</c:v>
                </c:pt>
                <c:pt idx="491">
                  <c:v>59.667517759116166</c:v>
                </c:pt>
                <c:pt idx="492">
                  <c:v>59.071395834342773</c:v>
                </c:pt>
                <c:pt idx="493">
                  <c:v>58.479818436738192</c:v>
                </c:pt>
                <c:pt idx="494">
                  <c:v>57.892785686072621</c:v>
                </c:pt>
                <c:pt idx="495">
                  <c:v>57.310296644733896</c:v>
                </c:pt>
                <c:pt idx="496">
                  <c:v>56.732349347327101</c:v>
                </c:pt>
                <c:pt idx="497">
                  <c:v>56.158940829788975</c:v>
                </c:pt>
                <c:pt idx="498">
                  <c:v>55.590067158017355</c:v>
                </c:pt>
                <c:pt idx="499">
                  <c:v>55.025723456016308</c:v>
                </c:pt>
                <c:pt idx="500">
                  <c:v>54.465903933557961</c:v>
                </c:pt>
                <c:pt idx="501">
                  <c:v>53.910601913362378</c:v>
                </c:pt>
                <c:pt idx="502">
                  <c:v>53.359809857797124</c:v>
                </c:pt>
                <c:pt idx="503">
                  <c:v>52.81351939509856</c:v>
                </c:pt>
                <c:pt idx="504">
                  <c:v>52.271721345117037</c:v>
                </c:pt>
                <c:pt idx="505">
                  <c:v>51.734405744588614</c:v>
                </c:pt>
                <c:pt idx="506">
                  <c:v>51.201561871936036</c:v>
                </c:pt>
                <c:pt idx="507">
                  <c:v>50.673178271602026</c:v>
                </c:pt>
                <c:pt idx="508">
                  <c:v>50.149242777918133</c:v>
                </c:pt>
                <c:pt idx="509">
                  <c:v>49.629742538512637</c:v>
                </c:pt>
                <c:pt idx="510">
                  <c:v>49.114664037261171</c:v>
                </c:pt>
                <c:pt idx="511">
                  <c:v>48.603993116783862</c:v>
                </c:pt>
                <c:pt idx="512">
                  <c:v>48.09771500049311</c:v>
                </c:pt>
                <c:pt idx="513">
                  <c:v>47.595814314196133</c:v>
                </c:pt>
                <c:pt idx="514">
                  <c:v>47.098275107256612</c:v>
                </c:pt>
                <c:pt idx="515">
                  <c:v>46.60508087331992</c:v>
                </c:pt>
                <c:pt idx="516">
                  <c:v>46.116214570606587</c:v>
                </c:pt>
                <c:pt idx="517">
                  <c:v>45.631658641778614</c:v>
                </c:pt>
                <c:pt idx="518">
                  <c:v>45.151395033383551</c:v>
                </c:pt>
                <c:pt idx="519">
                  <c:v>44.675405214881216</c:v>
                </c:pt>
                <c:pt idx="520">
                  <c:v>44.203670197258077</c:v>
                </c:pt>
                <c:pt idx="521">
                  <c:v>43.736170551234387</c:v>
                </c:pt>
                <c:pt idx="522">
                  <c:v>43.272886425069224</c:v>
                </c:pt>
                <c:pt idx="523">
                  <c:v>42.813797561968656</c:v>
                </c:pt>
                <c:pt idx="524">
                  <c:v>42.358883317102325</c:v>
                </c:pt>
                <c:pt idx="525">
                  <c:v>41.908122674233752</c:v>
                </c:pt>
                <c:pt idx="526">
                  <c:v>41.461494261969769</c:v>
                </c:pt>
                <c:pt idx="527">
                  <c:v>41.018976369634416</c:v>
                </c:pt>
                <c:pt idx="528">
                  <c:v>40.580546962772814</c:v>
                </c:pt>
                <c:pt idx="529">
                  <c:v>40.1461836982904</c:v>
                </c:pt>
                <c:pt idx="530">
                  <c:v>39.715863939233031</c:v>
                </c:pt>
                <c:pt idx="531">
                  <c:v>39.289564769213435</c:v>
                </c:pt>
                <c:pt idx="532">
                  <c:v>38.867263006489452</c:v>
                </c:pt>
                <c:pt idx="533">
                  <c:v>38.448935217699635</c:v>
                </c:pt>
                <c:pt idx="534">
                  <c:v>38.03455773126165</c:v>
                </c:pt>
                <c:pt idx="535">
                  <c:v>37.624106650438918</c:v>
                </c:pt>
                <c:pt idx="536">
                  <c:v>37.217557866081044</c:v>
                </c:pt>
                <c:pt idx="537">
                  <c:v>36.814887069043436</c:v>
                </c:pt>
                <c:pt idx="538">
                  <c:v>36.416069762291535</c:v>
                </c:pt>
                <c:pt idx="539">
                  <c:v>36.021081272695113</c:v>
                </c:pt>
                <c:pt idx="540">
                  <c:v>35.629896762517973</c:v>
                </c:pt>
                <c:pt idx="541">
                  <c:v>35.242491240608445</c:v>
                </c:pt>
                <c:pt idx="542">
                  <c:v>34.858839573295981</c:v>
                </c:pt>
                <c:pt idx="543">
                  <c:v>34.478916494999105</c:v>
                </c:pt>
                <c:pt idx="544">
                  <c:v>34.102696618550056</c:v>
                </c:pt>
                <c:pt idx="545">
                  <c:v>33.73015444524124</c:v>
                </c:pt>
                <c:pt idx="546">
                  <c:v>33.361264374598719</c:v>
                </c:pt>
                <c:pt idx="547">
                  <c:v>32.996000713887831</c:v>
                </c:pt>
                <c:pt idx="548">
                  <c:v>32.634337687356066</c:v>
                </c:pt>
                <c:pt idx="549">
                  <c:v>32.276249445218156</c:v>
                </c:pt>
                <c:pt idx="550">
                  <c:v>31.921710072388446</c:v>
                </c:pt>
                <c:pt idx="551">
                  <c:v>31.570693596965416</c:v>
                </c:pt>
                <c:pt idx="552">
                  <c:v>31.223173998473261</c:v>
                </c:pt>
                <c:pt idx="553">
                  <c:v>30.879125215865354</c:v>
                </c:pt>
                <c:pt idx="554">
                  <c:v>30.538521155294372</c:v>
                </c:pt>
                <c:pt idx="555">
                  <c:v>30.201335697653786</c:v>
                </c:pt>
                <c:pt idx="556">
                  <c:v>29.867542705895385</c:v>
                </c:pt>
                <c:pt idx="557">
                  <c:v>29.537116032127447</c:v>
                </c:pt>
                <c:pt idx="558">
                  <c:v>29.210029524498086</c:v>
                </c:pt>
                <c:pt idx="559">
                  <c:v>28.886257033868279</c:v>
                </c:pt>
                <c:pt idx="560">
                  <c:v>28.565772420278993</c:v>
                </c:pt>
                <c:pt idx="561">
                  <c:v>28.248549559216769</c:v>
                </c:pt>
                <c:pt idx="562">
                  <c:v>27.934562347682103</c:v>
                </c:pt>
                <c:pt idx="563">
                  <c:v>27.623784710064843</c:v>
                </c:pt>
                <c:pt idx="564">
                  <c:v>27.316190603830801</c:v>
                </c:pt>
                <c:pt idx="565">
                  <c:v>27.011754025023702</c:v>
                </c:pt>
                <c:pt idx="566">
                  <c:v>26.710449013586544</c:v>
                </c:pt>
                <c:pt idx="567">
                  <c:v>26.412249658506372</c:v>
                </c:pt>
                <c:pt idx="568">
                  <c:v>26.117130102786383</c:v>
                </c:pt>
                <c:pt idx="569">
                  <c:v>25.825064548249291</c:v>
                </c:pt>
                <c:pt idx="570">
                  <c:v>25.536027260175732</c:v>
                </c:pt>
                <c:pt idx="571">
                  <c:v>25.24999257178149</c:v>
                </c:pt>
                <c:pt idx="572">
                  <c:v>24.966934888537224</c:v>
                </c:pt>
                <c:pt idx="573">
                  <c:v>24.686828692334366</c:v>
                </c:pt>
                <c:pt idx="574">
                  <c:v>24.409648545500723</c:v>
                </c:pt>
                <c:pt idx="575">
                  <c:v>24.135369094669347</c:v>
                </c:pt>
                <c:pt idx="576">
                  <c:v>23.863965074504101</c:v>
                </c:pt>
                <c:pt idx="577">
                  <c:v>23.595411311285325</c:v>
                </c:pt>
                <c:pt idx="578">
                  <c:v>23.329682726358939</c:v>
                </c:pt>
                <c:pt idx="579">
                  <c:v>23.066754339452277</c:v>
                </c:pt>
                <c:pt idx="580">
                  <c:v>22.806601271859861</c:v>
                </c:pt>
                <c:pt idx="581">
                  <c:v>22.549198749502281</c:v>
                </c:pt>
                <c:pt idx="582">
                  <c:v>22.294522105861294</c:v>
                </c:pt>
                <c:pt idx="583">
                  <c:v>22.042546784794183</c:v>
                </c:pt>
                <c:pt idx="584">
                  <c:v>21.793248343230388</c:v>
                </c:pt>
                <c:pt idx="585">
                  <c:v>21.546602453753319</c:v>
                </c:pt>
                <c:pt idx="586">
                  <c:v>21.302584907070258</c:v>
                </c:pt>
                <c:pt idx="587">
                  <c:v>21.061171614373173</c:v>
                </c:pt>
                <c:pt idx="588">
                  <c:v>20.82233860959321</c:v>
                </c:pt>
                <c:pt idx="589">
                  <c:v>20.586062051551597</c:v>
                </c:pt>
                <c:pt idx="590">
                  <c:v>20.352318226009615</c:v>
                </c:pt>
                <c:pt idx="591">
                  <c:v>20.121083547620259</c:v>
                </c:pt>
                <c:pt idx="592">
                  <c:v>19.892334561784157</c:v>
                </c:pt>
                <c:pt idx="593">
                  <c:v>19.666047946412256</c:v>
                </c:pt>
                <c:pt idx="594">
                  <c:v>19.442200513597733</c:v>
                </c:pt>
                <c:pt idx="595">
                  <c:v>19.220769211199556</c:v>
                </c:pt>
                <c:pt idx="596">
                  <c:v>19.001731124340054</c:v>
                </c:pt>
                <c:pt idx="597">
                  <c:v>18.785063476818809</c:v>
                </c:pt>
                <c:pt idx="598">
                  <c:v>18.570743632445154</c:v>
                </c:pt>
                <c:pt idx="599">
                  <c:v>18.358749096291461</c:v>
                </c:pt>
                <c:pt idx="600">
                  <c:v>18.149057515869462</c:v>
                </c:pt>
                <c:pt idx="601">
                  <c:v>17.941646682231649</c:v>
                </c:pt>
                <c:pt idx="602">
                  <c:v>17.736494530999913</c:v>
                </c:pt>
                <c:pt idx="603">
                  <c:v>17.533579143323422</c:v>
                </c:pt>
                <c:pt idx="604">
                  <c:v>17.332878746767733</c:v>
                </c:pt>
                <c:pt idx="605">
                  <c:v>17.134371716137121</c:v>
                </c:pt>
                <c:pt idx="606">
                  <c:v>16.938036574232012</c:v>
                </c:pt>
                <c:pt idx="607">
                  <c:v>16.743851992543398</c:v>
                </c:pt>
                <c:pt idx="608">
                  <c:v>16.551796791886069</c:v>
                </c:pt>
                <c:pt idx="609">
                  <c:v>16.361849942972441</c:v>
                </c:pt>
                <c:pt idx="610">
                  <c:v>16.17399056692874</c:v>
                </c:pt>
                <c:pt idx="611">
                  <c:v>15.988197935755254</c:v>
                </c:pt>
                <c:pt idx="612">
                  <c:v>15.804451472732307</c:v>
                </c:pt>
                <c:pt idx="613">
                  <c:v>15.622730752773617</c:v>
                </c:pt>
                <c:pt idx="614">
                  <c:v>15.44301550272862</c:v>
                </c:pt>
                <c:pt idx="615">
                  <c:v>15.265285601635329</c:v>
                </c:pt>
                <c:pt idx="616">
                  <c:v>15.089521080925238</c:v>
                </c:pt>
                <c:pt idx="617">
                  <c:v>14.91570212458179</c:v>
                </c:pt>
                <c:pt idx="618">
                  <c:v>14.743809069253846</c:v>
                </c:pt>
                <c:pt idx="619">
                  <c:v>14.573822404325584</c:v>
                </c:pt>
                <c:pt idx="620">
                  <c:v>14.405722771944216</c:v>
                </c:pt>
                <c:pt idx="621">
                  <c:v>14.239490967006878</c:v>
                </c:pt>
                <c:pt idx="622">
                  <c:v>14.075107937108037</c:v>
                </c:pt>
                <c:pt idx="623">
                  <c:v>13.912554782448677</c:v>
                </c:pt>
                <c:pt idx="624">
                  <c:v>13.751812755708558</c:v>
                </c:pt>
                <c:pt idx="625">
                  <c:v>13.59286326188276</c:v>
                </c:pt>
                <c:pt idx="626">
                  <c:v>13.435687858083728</c:v>
                </c:pt>
                <c:pt idx="627">
                  <c:v>13.280268253309991</c:v>
                </c:pt>
                <c:pt idx="628">
                  <c:v>13.126586308182688</c:v>
                </c:pt>
                <c:pt idx="629">
                  <c:v>12.974624034651045</c:v>
                </c:pt>
                <c:pt idx="630">
                  <c:v>12.824363595667865</c:v>
                </c:pt>
                <c:pt idx="631">
                  <c:v>12.675787304836112</c:v>
                </c:pt>
                <c:pt idx="632">
                  <c:v>12.528877626027628</c:v>
                </c:pt>
                <c:pt idx="633">
                  <c:v>12.383617172974986</c:v>
                </c:pt>
                <c:pt idx="634">
                  <c:v>12.239988708837467</c:v>
                </c:pt>
                <c:pt idx="635">
                  <c:v>12.097975145742128</c:v>
                </c:pt>
                <c:pt idx="636">
                  <c:v>11.957559544300898</c:v>
                </c:pt>
                <c:pt idx="637">
                  <c:v>11.818725113104607</c:v>
                </c:pt>
                <c:pt idx="638">
                  <c:v>11.681455208194857</c:v>
                </c:pt>
                <c:pt idx="639">
                  <c:v>11.545733332514573</c:v>
                </c:pt>
                <c:pt idx="640">
                  <c:v>11.411543135338114</c:v>
                </c:pt>
                <c:pt idx="641">
                  <c:v>11.278868411681747</c:v>
                </c:pt>
                <c:pt idx="642">
                  <c:v>11.147693101695284</c:v>
                </c:pt>
                <c:pt idx="643">
                  <c:v>11.018001290035674</c:v>
                </c:pt>
                <c:pt idx="644">
                  <c:v>10.889777205223307</c:v>
                </c:pt>
                <c:pt idx="645">
                  <c:v>10.763005218981775</c:v>
                </c:pt>
                <c:pt idx="646">
                  <c:v>10.637669845561792</c:v>
                </c:pt>
                <c:pt idx="647">
                  <c:v>10.513755741050009</c:v>
                </c:pt>
                <c:pt idx="648">
                  <c:v>10.391247702663366</c:v>
                </c:pt>
                <c:pt idx="649">
                  <c:v>10.270130668029685</c:v>
                </c:pt>
                <c:pt idx="650">
                  <c:v>10.15038971445513</c:v>
                </c:pt>
                <c:pt idx="651">
                  <c:v>10.032010058179157</c:v>
                </c:pt>
                <c:pt idx="652">
                  <c:v>9.9149770536175801</c:v>
                </c:pt>
                <c:pt idx="653">
                  <c:v>9.7992761925943537</c:v>
                </c:pt>
                <c:pt idx="654">
                  <c:v>9.6848931035626258</c:v>
                </c:pt>
                <c:pt idx="655">
                  <c:v>9.5718135508156479</c:v>
                </c:pt>
                <c:pt idx="656">
                  <c:v>9.4600234336880771</c:v>
                </c:pt>
                <c:pt idx="657">
                  <c:v>9.349508785748208</c:v>
                </c:pt>
                <c:pt idx="658">
                  <c:v>9.2402557739816462</c:v>
                </c:pt>
                <c:pt idx="659">
                  <c:v>9.1322506979669225</c:v>
                </c:pt>
                <c:pt idx="660">
                  <c:v>9.0254799890435535</c:v>
                </c:pt>
                <c:pt idx="661">
                  <c:v>8.9199302094729909</c:v>
                </c:pt>
                <c:pt idx="662">
                  <c:v>8.8155880515929539</c:v>
                </c:pt>
                <c:pt idx="663">
                  <c:v>8.7124403369655674</c:v>
                </c:pt>
                <c:pt idx="664">
                  <c:v>8.6104740155197419</c:v>
                </c:pt>
                <c:pt idx="665">
                  <c:v>8.5096761646882335</c:v>
                </c:pt>
                <c:pt idx="666">
                  <c:v>8.4100339885397695</c:v>
                </c:pt>
                <c:pt idx="667">
                  <c:v>8.311534816906649</c:v>
                </c:pt>
                <c:pt idx="668">
                  <c:v>8.2141661045082017</c:v>
                </c:pt>
                <c:pt idx="669">
                  <c:v>8.1179154300704752</c:v>
                </c:pt>
                <c:pt idx="670">
                  <c:v>8.0227704954425079</c:v>
                </c:pt>
                <c:pt idx="671">
                  <c:v>7.9287191247095494</c:v>
                </c:pt>
                <c:pt idx="672">
                  <c:v>7.8357492633035566</c:v>
                </c:pt>
                <c:pt idx="673">
                  <c:v>7.7438489771113019</c:v>
                </c:pt>
                <c:pt idx="674">
                  <c:v>7.6530064515804046</c:v>
                </c:pt>
                <c:pt idx="675">
                  <c:v>7.5632099908236041</c:v>
                </c:pt>
                <c:pt idx="676">
                  <c:v>7.4744480167215652</c:v>
                </c:pt>
                <c:pt idx="677">
                  <c:v>7.3867090680245111</c:v>
                </c:pt>
                <c:pt idx="678">
                  <c:v>7.2999817994529561</c:v>
                </c:pt>
                <c:pt idx="679">
                  <c:v>7.2142549807978193</c:v>
                </c:pt>
                <c:pt idx="680">
                  <c:v>7.129517496020175</c:v>
                </c:pt>
                <c:pt idx="681">
                  <c:v>7.0457583423508918</c:v>
                </c:pt>
                <c:pt idx="682">
                  <c:v>6.9629666293904116</c:v>
                </c:pt>
                <c:pt idx="683">
                  <c:v>6.8811315782089011</c:v>
                </c:pt>
                <c:pt idx="684">
                  <c:v>6.8002425204470027</c:v>
                </c:pt>
                <c:pt idx="685">
                  <c:v>6.7202888974174124</c:v>
                </c:pt>
                <c:pt idx="686">
                  <c:v>6.6412602592074919</c:v>
                </c:pt>
                <c:pt idx="687">
                  <c:v>6.5631462637831239</c:v>
                </c:pt>
                <c:pt idx="688">
                  <c:v>6.4859366760940089</c:v>
                </c:pt>
                <c:pt idx="689">
                  <c:v>6.4096213671805966</c:v>
                </c:pt>
                <c:pt idx="690">
                  <c:v>6.3341903132828303</c:v>
                </c:pt>
                <c:pt idx="691">
                  <c:v>6.2596335949508948</c:v>
                </c:pt>
                <c:pt idx="692">
                  <c:v>6.1859413961581264</c:v>
                </c:pt>
                <c:pt idx="693">
                  <c:v>6.1131040034162574</c:v>
                </c:pt>
                <c:pt idx="694">
                  <c:v>6.0411118048931556</c:v>
                </c:pt>
                <c:pt idx="695">
                  <c:v>5.9699552895332051</c:v>
                </c:pt>
                <c:pt idx="696">
                  <c:v>5.8996250461804838</c:v>
                </c:pt>
                <c:pt idx="697">
                  <c:v>5.8301117627048722</c:v>
                </c:pt>
                <c:pt idx="698">
                  <c:v>5.7614062251312346</c:v>
                </c:pt>
                <c:pt idx="699">
                  <c:v>5.6934993167718009</c:v>
                </c:pt>
                <c:pt idx="700">
                  <c:v>5.6263820173618742</c:v>
                </c:pt>
                <c:pt idx="701">
                  <c:v>5.5600454021989858</c:v>
                </c:pt>
                <c:pt idx="702">
                  <c:v>5.4944806412856089</c:v>
                </c:pt>
                <c:pt idx="703">
                  <c:v>5.429678998475552</c:v>
                </c:pt>
                <c:pt idx="704">
                  <c:v>5.3656318306241202</c:v>
                </c:pt>
                <c:pt idx="705">
                  <c:v>5.3023305867421664</c:v>
                </c:pt>
                <c:pt idx="706">
                  <c:v>5.2397668071541075</c:v>
                </c:pt>
                <c:pt idx="707">
                  <c:v>5.1779321226600183</c:v>
                </c:pt>
                <c:pt idx="708">
                  <c:v>5.116818253701874</c:v>
                </c:pt>
                <c:pt idx="709">
                  <c:v>5.0564170095340373</c:v>
                </c:pt>
                <c:pt idx="710">
                  <c:v>4.9967202873980652</c:v>
                </c:pt>
                <c:pt idx="711">
                  <c:v>4.9377200717019081</c:v>
                </c:pt>
                <c:pt idx="712">
                  <c:v>4.8794084332035839</c:v>
                </c:pt>
                <c:pt idx="713">
                  <c:v>4.8217775281993847</c:v>
                </c:pt>
                <c:pt idx="714">
                  <c:v>4.7648195977166869</c:v>
                </c:pt>
                <c:pt idx="715">
                  <c:v>4.7085269667114265</c:v>
                </c:pt>
                <c:pt idx="716">
                  <c:v>4.6528920432702954</c:v>
                </c:pt>
                <c:pt idx="717">
                  <c:v>4.5979073178177181</c:v>
                </c:pt>
                <c:pt idx="718">
                  <c:v>4.5435653623276533</c:v>
                </c:pt>
                <c:pt idx="719">
                  <c:v>4.4898588295402782</c:v>
                </c:pt>
                <c:pt idx="720">
                  <c:v>4.4367804521835952</c:v>
                </c:pt>
                <c:pt idx="721">
                  <c:v>4.3843230422000063</c:v>
                </c:pt>
                <c:pt idx="722">
                  <c:v>4.3324794899778913</c:v>
                </c:pt>
                <c:pt idx="723">
                  <c:v>4.2812427635882386</c:v>
                </c:pt>
                <c:pt idx="724">
                  <c:v>4.2306059080263463</c:v>
                </c:pt>
                <c:pt idx="725">
                  <c:v>4.1805620444586422</c:v>
                </c:pt>
                <c:pt idx="726">
                  <c:v>4.1311043694746425</c:v>
                </c:pt>
                <c:pt idx="727">
                  <c:v>4.0822261543440792</c:v>
                </c:pt>
                <c:pt idx="728">
                  <c:v>4.0339207442792215</c:v>
                </c:pt>
                <c:pt idx="729">
                  <c:v>3.9861815577024151</c:v>
                </c:pt>
                <c:pt idx="730">
                  <c:v>3.9390020855188568</c:v>
                </c:pt>
                <c:pt idx="731">
                  <c:v>3.8923758903946255</c:v>
                </c:pt>
                <c:pt idx="732">
                  <c:v>3.8462966060399864</c:v>
                </c:pt>
                <c:pt idx="733">
                  <c:v>3.8007579364979795</c:v>
                </c:pt>
                <c:pt idx="734">
                  <c:v>3.7557536554383089</c:v>
                </c:pt>
                <c:pt idx="735">
                  <c:v>3.7112776054565395</c:v>
                </c:pt>
                <c:pt idx="736">
                  <c:v>3.6673236973786127</c:v>
                </c:pt>
                <c:pt idx="737">
                  <c:v>3.6238859095706886</c:v>
                </c:pt>
                <c:pt idx="738">
                  <c:v>3.5809582872543158</c:v>
                </c:pt>
                <c:pt idx="739">
                  <c:v>3.5385349418269381</c:v>
                </c:pt>
                <c:pt idx="740">
                  <c:v>3.4966100501877362</c:v>
                </c:pt>
                <c:pt idx="741">
                  <c:v>3.4551778540688067</c:v>
                </c:pt>
                <c:pt idx="742">
                  <c:v>3.4142326593716774</c:v>
                </c:pt>
                <c:pt idx="743">
                  <c:v>3.3737688355091549</c:v>
                </c:pt>
                <c:pt idx="744">
                  <c:v>3.3337808147525045</c:v>
                </c:pt>
                <c:pt idx="745">
                  <c:v>3.2942630915839537</c:v>
                </c:pt>
                <c:pt idx="746">
                  <c:v>3.2552102220545134</c:v>
                </c:pt>
                <c:pt idx="747">
                  <c:v>3.2166168231471137</c:v>
                </c:pt>
                <c:pt idx="748">
                  <c:v>3.1784775721450385</c:v>
                </c:pt>
                <c:pt idx="749">
                  <c:v>3.1407872060056548</c:v>
                </c:pt>
                <c:pt idx="750">
                  <c:v>3.1035405207394242</c:v>
                </c:pt>
                <c:pt idx="751">
                  <c:v>3.0667323707941812</c:v>
                </c:pt>
                <c:pt idx="752">
                  <c:v>3.0303576684446711</c:v>
                </c:pt>
                <c:pt idx="753">
                  <c:v>2.9944113831873289</c:v>
                </c:pt>
                <c:pt idx="754">
                  <c:v>2.9588885411402859</c:v>
                </c:pt>
                <c:pt idx="755">
                  <c:v>2.9237842244485868</c:v>
                </c:pt>
                <c:pt idx="756">
                  <c:v>2.8890935706946048</c:v>
                </c:pt>
                <c:pt idx="757">
                  <c:v>2.8548117723136297</c:v>
                </c:pt>
                <c:pt idx="758">
                  <c:v>2.8209340760146171</c:v>
                </c:pt>
                <c:pt idx="759">
                  <c:v>2.7874557822060773</c:v>
                </c:pt>
                <c:pt idx="760">
                  <c:v>2.7543722444270813</c:v>
                </c:pt>
                <c:pt idx="761">
                  <c:v>2.7216788687833682</c:v>
                </c:pt>
                <c:pt idx="762">
                  <c:v>2.6893711133885292</c:v>
                </c:pt>
                <c:pt idx="763">
                  <c:v>2.657444487810245</c:v>
                </c:pt>
                <c:pt idx="764">
                  <c:v>2.6258945525215593</c:v>
                </c:pt>
                <c:pt idx="765">
                  <c:v>2.5947169183571583</c:v>
                </c:pt>
                <c:pt idx="766">
                  <c:v>2.5639072459746393</c:v>
                </c:pt>
                <c:pt idx="767">
                  <c:v>2.5334612453207361</c:v>
                </c:pt>
                <c:pt idx="768">
                  <c:v>2.5033746751024859</c:v>
                </c:pt>
                <c:pt idx="769">
                  <c:v>2.4736433422633017</c:v>
                </c:pt>
                <c:pt idx="770">
                  <c:v>2.4442631014639353</c:v>
                </c:pt>
                <c:pt idx="771">
                  <c:v>2.4152298545682944</c:v>
                </c:pt>
                <c:pt idx="772">
                  <c:v>2.3865395501340942</c:v>
                </c:pt>
                <c:pt idx="773">
                  <c:v>2.3581881829083127</c:v>
                </c:pt>
                <c:pt idx="774">
                  <c:v>2.3301717933274242</c:v>
                </c:pt>
                <c:pt idx="775">
                  <c:v>2.3024864670223826</c:v>
                </c:pt>
                <c:pt idx="776">
                  <c:v>2.2751283343283237</c:v>
                </c:pt>
                <c:pt idx="777">
                  <c:v>2.2480935697989626</c:v>
                </c:pt>
                <c:pt idx="778">
                  <c:v>2.2213783917256533</c:v>
                </c:pt>
                <c:pt idx="779">
                  <c:v>2.1949790616610847</c:v>
                </c:pt>
                <c:pt idx="780">
                  <c:v>2.1688918839475795</c:v>
                </c:pt>
                <c:pt idx="781">
                  <c:v>2.14311320524997</c:v>
                </c:pt>
                <c:pt idx="782">
                  <c:v>2.1176394140930199</c:v>
                </c:pt>
                <c:pt idx="783">
                  <c:v>2.0924669404033618</c:v>
                </c:pt>
                <c:pt idx="784">
                  <c:v>2.0675922550559171</c:v>
                </c:pt>
                <c:pt idx="785">
                  <c:v>2.0430118694247752</c:v>
                </c:pt>
                <c:pt idx="786">
                  <c:v>2.0187223349384937</c:v>
                </c:pt>
                <c:pt idx="787">
                  <c:v>1.9947202426397921</c:v>
                </c:pt>
                <c:pt idx="788">
                  <c:v>1.9710022227496089</c:v>
                </c:pt>
                <c:pt idx="789">
                  <c:v>1.9475649442354888</c:v>
                </c:pt>
                <c:pt idx="790">
                  <c:v>1.9244051143842706</c:v>
                </c:pt>
                <c:pt idx="791">
                  <c:v>1.9015194783790439</c:v>
                </c:pt>
                <c:pt idx="792">
                  <c:v>1.878904818880341</c:v>
                </c:pt>
                <c:pt idx="793">
                  <c:v>1.8565579556115377</c:v>
                </c:pt>
                <c:pt idx="794">
                  <c:v>1.8344757449484257</c:v>
                </c:pt>
                <c:pt idx="795">
                  <c:v>1.8126550795129288</c:v>
                </c:pt>
                <c:pt idx="796">
                  <c:v>1.7910928877709296</c:v>
                </c:pt>
                <c:pt idx="797">
                  <c:v>1.7697861336341749</c:v>
                </c:pt>
                <c:pt idx="798">
                  <c:v>1.74873181606623</c:v>
                </c:pt>
                <c:pt idx="799">
                  <c:v>1.7279269686924463</c:v>
                </c:pt>
                <c:pt idx="800">
                  <c:v>1.7073686594139155</c:v>
                </c:pt>
                <c:pt idx="801">
                  <c:v>1.6870539900253736</c:v>
                </c:pt>
                <c:pt idx="802">
                  <c:v>1.6669800958370273</c:v>
                </c:pt>
                <c:pt idx="803">
                  <c:v>1.647144145300268</c:v>
                </c:pt>
                <c:pt idx="804">
                  <c:v>1.6275433396372421</c:v>
                </c:pt>
                <c:pt idx="805">
                  <c:v>1.6081749124742488</c:v>
                </c:pt>
                <c:pt idx="806">
                  <c:v>1.5890361294789297</c:v>
                </c:pt>
                <c:pt idx="807">
                  <c:v>1.5701242880012209</c:v>
                </c:pt>
                <c:pt idx="808">
                  <c:v>1.551436716718037</c:v>
                </c:pt>
                <c:pt idx="809">
                  <c:v>1.5329707752816522</c:v>
                </c:pt>
                <c:pt idx="810">
                  <c:v>1.5147238539717509</c:v>
                </c:pt>
                <c:pt idx="811">
                  <c:v>1.4966933733511143</c:v>
                </c:pt>
                <c:pt idx="812">
                  <c:v>1.4788767839249113</c:v>
                </c:pt>
                <c:pt idx="813">
                  <c:v>1.4612715658035653</c:v>
                </c:pt>
                <c:pt idx="814">
                  <c:v>1.4438752283691625</c:v>
                </c:pt>
                <c:pt idx="815">
                  <c:v>1.4266853099453729</c:v>
                </c:pt>
                <c:pt idx="816">
                  <c:v>1.4096993774708531</c:v>
                </c:pt>
                <c:pt idx="817">
                  <c:v>1.3929150261760985</c:v>
                </c:pt>
                <c:pt idx="818">
                  <c:v>1.3763298792637164</c:v>
                </c:pt>
                <c:pt idx="819">
                  <c:v>1.3599415875920882</c:v>
                </c:pt>
                <c:pt idx="820">
                  <c:v>1.3437478293623903</c:v>
                </c:pt>
                <c:pt idx="821">
                  <c:v>1.3277463098089448</c:v>
                </c:pt>
                <c:pt idx="822">
                  <c:v>1.3119347608928673</c:v>
                </c:pt>
                <c:pt idx="823">
                  <c:v>1.2963109409989848</c:v>
                </c:pt>
                <c:pt idx="824">
                  <c:v>1.2808726346359915</c:v>
                </c:pt>
                <c:pt idx="825">
                  <c:v>1.2656176521398144</c:v>
                </c:pt>
                <c:pt idx="826">
                  <c:v>1.2505438293801576</c:v>
                </c:pt>
                <c:pt idx="827">
                  <c:v>1.2356490274701979</c:v>
                </c:pt>
                <c:pt idx="828">
                  <c:v>1.2209311324793999</c:v>
                </c:pt>
                <c:pt idx="829">
                  <c:v>1.2063880551494235</c:v>
                </c:pt>
                <c:pt idx="830">
                  <c:v>1.1920177306130948</c:v>
                </c:pt>
                <c:pt idx="831">
                  <c:v>1.1778181181164096</c:v>
                </c:pt>
                <c:pt idx="832">
                  <c:v>1.1637872007435437</c:v>
                </c:pt>
                <c:pt idx="833">
                  <c:v>1.1499229851448387</c:v>
                </c:pt>
                <c:pt idx="834">
                  <c:v>1.1362235012677375</c:v>
                </c:pt>
                <c:pt idx="835">
                  <c:v>1.1226868020906395</c:v>
                </c:pt>
                <c:pt idx="836">
                  <c:v>1.1093109633596485</c:v>
                </c:pt>
                <c:pt idx="837">
                  <c:v>1.0960940833281856</c:v>
                </c:pt>
                <c:pt idx="838">
                  <c:v>1.0830342824994383</c:v>
                </c:pt>
                <c:pt idx="839">
                  <c:v>1.0701297033716199</c:v>
                </c:pt>
                <c:pt idx="840">
                  <c:v>1.0573785101860111</c:v>
                </c:pt>
                <c:pt idx="841">
                  <c:v>1.0447788886777565</c:v>
                </c:pt>
                <c:pt idx="842">
                  <c:v>1.0323290458293897</c:v>
                </c:pt>
                <c:pt idx="843">
                  <c:v>1.0200272096270597</c:v>
                </c:pt>
                <c:pt idx="844">
                  <c:v>1.0078716288194329</c:v>
                </c:pt>
                <c:pt idx="845">
                  <c:v>0.99586057267924266</c:v>
                </c:pt>
                <c:pt idx="846">
                  <c:v>0.98399233076746251</c:v>
                </c:pt>
                <c:pt idx="847">
                  <c:v>0.97226521270007515</c:v>
                </c:pt>
                <c:pt idx="848">
                  <c:v>0.96067754791741222</c:v>
                </c:pt>
                <c:pt idx="849">
                  <c:v>0.94922768545603897</c:v>
                </c:pt>
                <c:pt idx="850">
                  <c:v>0.93791399372315898</c:v>
                </c:pt>
                <c:pt idx="851">
                  <c:v>0.92673486027351237</c:v>
                </c:pt>
                <c:pt idx="852">
                  <c:v>0.91568869158874411</c:v>
                </c:pt>
                <c:pt idx="853">
                  <c:v>0.90477391285921627</c:v>
                </c:pt>
                <c:pt idx="854">
                  <c:v>0.89398896776823988</c:v>
                </c:pt>
                <c:pt idx="855">
                  <c:v>0.88333231827870207</c:v>
                </c:pt>
                <c:pt idx="856">
                  <c:v>0.87280244442206423</c:v>
                </c:pt>
                <c:pt idx="857">
                  <c:v>0.86239784408970688</c:v>
                </c:pt>
                <c:pt idx="858">
                  <c:v>0.85211703282659701</c:v>
                </c:pt>
                <c:pt idx="859">
                  <c:v>0.84195854362725486</c:v>
                </c:pt>
                <c:pt idx="860">
                  <c:v>0.83192092673399598</c:v>
                </c:pt>
                <c:pt idx="861">
                  <c:v>0.82200274943742579</c:v>
                </c:pt>
                <c:pt idx="862">
                  <c:v>0.81220259587916255</c:v>
                </c:pt>
                <c:pt idx="863">
                  <c:v>0.80251906685676688</c:v>
                </c:pt>
                <c:pt idx="864">
                  <c:v>0.79295077963085392</c:v>
                </c:pt>
                <c:pt idx="865">
                  <c:v>0.78349636773436671</c:v>
                </c:pt>
                <c:pt idx="866">
                  <c:v>0.77415448078398708</c:v>
                </c:pt>
                <c:pt idx="867">
                  <c:v>0.76492378429366281</c:v>
                </c:pt>
                <c:pt idx="868">
                  <c:v>0.7558029594902288</c:v>
                </c:pt>
                <c:pt idx="869">
                  <c:v>0.74679070313109963</c:v>
                </c:pt>
                <c:pt idx="870">
                  <c:v>0.73788572732401336</c:v>
                </c:pt>
                <c:pt idx="871">
                  <c:v>0.72908675934880351</c:v>
                </c:pt>
                <c:pt idx="872">
                  <c:v>0.72039254148117882</c:v>
                </c:pt>
                <c:pt idx="873">
                  <c:v>0.71180183081848947</c:v>
                </c:pt>
                <c:pt idx="874">
                  <c:v>0.70331339910745894</c:v>
                </c:pt>
                <c:pt idx="875">
                  <c:v>0.69492603257386054</c:v>
                </c:pt>
                <c:pt idx="876">
                  <c:v>0.68663853175411782</c:v>
                </c:pt>
                <c:pt idx="877">
                  <c:v>0.67844971132880938</c:v>
                </c:pt>
                <c:pt idx="878">
                  <c:v>0.67035839995805724</c:v>
                </c:pt>
                <c:pt idx="879">
                  <c:v>0.66236344011877824</c:v>
                </c:pt>
                <c:pt idx="880">
                  <c:v>0.65446368794378007</c:v>
                </c:pt>
                <c:pt idx="881">
                  <c:v>0.64665801306268078</c:v>
                </c:pt>
                <c:pt idx="882">
                  <c:v>0.63894529844463333</c:v>
                </c:pt>
                <c:pt idx="883">
                  <c:v>0.63132444024283496</c:v>
                </c:pt>
                <c:pt idx="884">
                  <c:v>0.62379434764080377</c:v>
                </c:pt>
                <c:pt idx="885">
                  <c:v>0.61635394270040156</c:v>
                </c:pt>
                <c:pt idx="886">
                  <c:v>0.60900216021158593</c:v>
                </c:pt>
                <c:pt idx="887">
                  <c:v>0.60173794754387178</c:v>
                </c:pt>
                <c:pt idx="888">
                  <c:v>0.59456026449948474</c:v>
                </c:pt>
                <c:pt idx="889">
                  <c:v>0.58746808316818744</c:v>
                </c:pt>
                <c:pt idx="890">
                  <c:v>0.58046038778376152</c:v>
                </c:pt>
                <c:pt idx="891">
                  <c:v>0.57353617458212636</c:v>
                </c:pt>
                <c:pt idx="892">
                  <c:v>0.56669445166107746</c:v>
                </c:pt>
                <c:pt idx="893">
                  <c:v>0.55993423884162741</c:v>
                </c:pt>
                <c:pt idx="894">
                  <c:v>0.55325456753093027</c:v>
                </c:pt>
                <c:pt idx="895">
                  <c:v>0.54665448058677457</c:v>
                </c:pt>
                <c:pt idx="896">
                  <c:v>0.54013303218362563</c:v>
                </c:pt>
                <c:pt idx="897">
                  <c:v>0.53368928768020163</c:v>
                </c:pt>
                <c:pt idx="898">
                  <c:v>0.52732232348856645</c:v>
                </c:pt>
                <c:pt idx="899">
                  <c:v>0.52103122694472226</c:v>
                </c:pt>
                <c:pt idx="900">
                  <c:v>0.5148150961806861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感染症の流行!$D$1</c:f>
              <c:strCache>
                <c:ptCount val="1"/>
                <c:pt idx="0">
                  <c:v>R(t)；隔離人口</c:v>
                </c:pt>
              </c:strCache>
            </c:strRef>
          </c:tx>
          <c:marker>
            <c:symbol val="none"/>
          </c:marker>
          <c:xVal>
            <c:numRef>
              <c:f>感染症の流行!$A$2:$A$902</c:f>
              <c:numCache>
                <c:formatCode>General</c:formatCode>
                <c:ptCount val="9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1.3000000000000003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1.8000000000000003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2.5000000000000004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3.0000000000000004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3.5000000000000004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4.3999999999999995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10.200000000000001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11.700000000000001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12.200000000000001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12.700000000000001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13.200000000000001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13.700000000000001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14.200000000000001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14.700000000000001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15.200000000000001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15.700000000000001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16.200000000000003</c:v>
                </c:pt>
                <c:pt idx="163">
                  <c:v>16.3</c:v>
                </c:pt>
                <c:pt idx="164">
                  <c:v>16.400000000000002</c:v>
                </c:pt>
                <c:pt idx="165">
                  <c:v>16.500000000000004</c:v>
                </c:pt>
                <c:pt idx="166">
                  <c:v>16.600000000000001</c:v>
                </c:pt>
                <c:pt idx="167">
                  <c:v>16.700000000000003</c:v>
                </c:pt>
                <c:pt idx="168">
                  <c:v>16.8</c:v>
                </c:pt>
                <c:pt idx="169">
                  <c:v>16.900000000000002</c:v>
                </c:pt>
                <c:pt idx="170">
                  <c:v>17.000000000000004</c:v>
                </c:pt>
                <c:pt idx="171">
                  <c:v>17.100000000000001</c:v>
                </c:pt>
                <c:pt idx="172">
                  <c:v>17.200000000000003</c:v>
                </c:pt>
                <c:pt idx="173">
                  <c:v>17.3</c:v>
                </c:pt>
                <c:pt idx="174">
                  <c:v>17.400000000000002</c:v>
                </c:pt>
                <c:pt idx="175">
                  <c:v>17.500000000000004</c:v>
                </c:pt>
                <c:pt idx="176">
                  <c:v>17.600000000000001</c:v>
                </c:pt>
                <c:pt idx="177">
                  <c:v>17.700000000000003</c:v>
                </c:pt>
                <c:pt idx="178">
                  <c:v>17.8</c:v>
                </c:pt>
                <c:pt idx="179">
                  <c:v>17.900000000000002</c:v>
                </c:pt>
                <c:pt idx="180">
                  <c:v>18.000000000000004</c:v>
                </c:pt>
                <c:pt idx="181">
                  <c:v>18.100000000000001</c:v>
                </c:pt>
                <c:pt idx="182">
                  <c:v>18.200000000000003</c:v>
                </c:pt>
                <c:pt idx="183">
                  <c:v>18.3</c:v>
                </c:pt>
                <c:pt idx="184">
                  <c:v>18.400000000000002</c:v>
                </c:pt>
                <c:pt idx="185">
                  <c:v>18.500000000000004</c:v>
                </c:pt>
                <c:pt idx="186">
                  <c:v>18.600000000000001</c:v>
                </c:pt>
                <c:pt idx="187">
                  <c:v>18.700000000000003</c:v>
                </c:pt>
                <c:pt idx="188">
                  <c:v>18.8</c:v>
                </c:pt>
                <c:pt idx="189">
                  <c:v>18.900000000000002</c:v>
                </c:pt>
                <c:pt idx="190">
                  <c:v>19.000000000000004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19.400000000000002</c:v>
                </c:pt>
                <c:pt idx="195">
                  <c:v>19.500000000000004</c:v>
                </c:pt>
                <c:pt idx="196">
                  <c:v>19.600000000000001</c:v>
                </c:pt>
                <c:pt idx="197">
                  <c:v>19.700000000000003</c:v>
                </c:pt>
                <c:pt idx="198">
                  <c:v>19.800000000000004</c:v>
                </c:pt>
                <c:pt idx="199">
                  <c:v>19.900000000000002</c:v>
                </c:pt>
                <c:pt idx="200">
                  <c:v>20.000000000000004</c:v>
                </c:pt>
                <c:pt idx="201">
                  <c:v>20.100000000000001</c:v>
                </c:pt>
                <c:pt idx="202">
                  <c:v>20.200000000000003</c:v>
                </c:pt>
                <c:pt idx="203">
                  <c:v>20.300000000000004</c:v>
                </c:pt>
                <c:pt idx="204">
                  <c:v>20.400000000000002</c:v>
                </c:pt>
                <c:pt idx="205">
                  <c:v>20.500000000000004</c:v>
                </c:pt>
                <c:pt idx="206">
                  <c:v>20.6</c:v>
                </c:pt>
                <c:pt idx="207">
                  <c:v>20.700000000000003</c:v>
                </c:pt>
                <c:pt idx="208">
                  <c:v>20.800000000000004</c:v>
                </c:pt>
                <c:pt idx="209">
                  <c:v>20.900000000000002</c:v>
                </c:pt>
                <c:pt idx="210">
                  <c:v>21.000000000000004</c:v>
                </c:pt>
                <c:pt idx="211">
                  <c:v>21.1</c:v>
                </c:pt>
                <c:pt idx="212">
                  <c:v>21.200000000000003</c:v>
                </c:pt>
                <c:pt idx="213">
                  <c:v>21.300000000000004</c:v>
                </c:pt>
                <c:pt idx="214">
                  <c:v>21.400000000000002</c:v>
                </c:pt>
                <c:pt idx="215">
                  <c:v>21.500000000000004</c:v>
                </c:pt>
                <c:pt idx="216">
                  <c:v>21.6</c:v>
                </c:pt>
                <c:pt idx="217">
                  <c:v>21.700000000000003</c:v>
                </c:pt>
                <c:pt idx="218">
                  <c:v>21.800000000000004</c:v>
                </c:pt>
                <c:pt idx="219">
                  <c:v>21.900000000000002</c:v>
                </c:pt>
                <c:pt idx="220">
                  <c:v>22.000000000000004</c:v>
                </c:pt>
                <c:pt idx="221">
                  <c:v>22.1</c:v>
                </c:pt>
                <c:pt idx="222">
                  <c:v>22.200000000000003</c:v>
                </c:pt>
                <c:pt idx="223">
                  <c:v>22.300000000000004</c:v>
                </c:pt>
                <c:pt idx="224">
                  <c:v>22.400000000000002</c:v>
                </c:pt>
                <c:pt idx="225">
                  <c:v>22.500000000000004</c:v>
                </c:pt>
                <c:pt idx="226">
                  <c:v>22.6</c:v>
                </c:pt>
                <c:pt idx="227">
                  <c:v>22.700000000000003</c:v>
                </c:pt>
                <c:pt idx="228">
                  <c:v>22.800000000000004</c:v>
                </c:pt>
                <c:pt idx="229">
                  <c:v>22.900000000000002</c:v>
                </c:pt>
                <c:pt idx="230">
                  <c:v>23.000000000000004</c:v>
                </c:pt>
                <c:pt idx="231">
                  <c:v>23.1</c:v>
                </c:pt>
                <c:pt idx="232">
                  <c:v>23.200000000000003</c:v>
                </c:pt>
                <c:pt idx="233">
                  <c:v>23.300000000000004</c:v>
                </c:pt>
                <c:pt idx="234">
                  <c:v>23.400000000000002</c:v>
                </c:pt>
                <c:pt idx="235">
                  <c:v>23.500000000000004</c:v>
                </c:pt>
                <c:pt idx="236">
                  <c:v>23.6</c:v>
                </c:pt>
                <c:pt idx="237">
                  <c:v>23.700000000000003</c:v>
                </c:pt>
                <c:pt idx="238">
                  <c:v>23.800000000000004</c:v>
                </c:pt>
                <c:pt idx="239">
                  <c:v>23.900000000000002</c:v>
                </c:pt>
                <c:pt idx="240">
                  <c:v>24.000000000000004</c:v>
                </c:pt>
                <c:pt idx="241">
                  <c:v>24.1</c:v>
                </c:pt>
                <c:pt idx="242">
                  <c:v>24.200000000000003</c:v>
                </c:pt>
                <c:pt idx="243">
                  <c:v>24.300000000000004</c:v>
                </c:pt>
                <c:pt idx="244">
                  <c:v>24.400000000000002</c:v>
                </c:pt>
                <c:pt idx="245">
                  <c:v>24.500000000000004</c:v>
                </c:pt>
                <c:pt idx="246">
                  <c:v>24.6</c:v>
                </c:pt>
                <c:pt idx="247">
                  <c:v>24.700000000000003</c:v>
                </c:pt>
                <c:pt idx="248">
                  <c:v>24.800000000000004</c:v>
                </c:pt>
                <c:pt idx="249">
                  <c:v>24.900000000000002</c:v>
                </c:pt>
                <c:pt idx="250">
                  <c:v>25.000000000000004</c:v>
                </c:pt>
                <c:pt idx="251">
                  <c:v>25.1</c:v>
                </c:pt>
                <c:pt idx="252">
                  <c:v>25.200000000000003</c:v>
                </c:pt>
                <c:pt idx="253">
                  <c:v>25.300000000000004</c:v>
                </c:pt>
                <c:pt idx="254">
                  <c:v>25.400000000000002</c:v>
                </c:pt>
                <c:pt idx="255">
                  <c:v>25.500000000000004</c:v>
                </c:pt>
                <c:pt idx="256">
                  <c:v>25.6</c:v>
                </c:pt>
                <c:pt idx="257">
                  <c:v>25.700000000000003</c:v>
                </c:pt>
                <c:pt idx="258">
                  <c:v>25.800000000000004</c:v>
                </c:pt>
                <c:pt idx="259">
                  <c:v>25.900000000000002</c:v>
                </c:pt>
                <c:pt idx="260">
                  <c:v>26.000000000000004</c:v>
                </c:pt>
                <c:pt idx="261">
                  <c:v>26.1</c:v>
                </c:pt>
                <c:pt idx="262">
                  <c:v>26.200000000000003</c:v>
                </c:pt>
                <c:pt idx="263">
                  <c:v>26.300000000000004</c:v>
                </c:pt>
                <c:pt idx="264">
                  <c:v>26.400000000000002</c:v>
                </c:pt>
                <c:pt idx="265">
                  <c:v>26.500000000000004</c:v>
                </c:pt>
                <c:pt idx="266">
                  <c:v>26.6</c:v>
                </c:pt>
                <c:pt idx="267">
                  <c:v>26.700000000000003</c:v>
                </c:pt>
                <c:pt idx="268">
                  <c:v>26.800000000000004</c:v>
                </c:pt>
                <c:pt idx="269">
                  <c:v>26.900000000000002</c:v>
                </c:pt>
                <c:pt idx="270">
                  <c:v>27.000000000000004</c:v>
                </c:pt>
                <c:pt idx="271">
                  <c:v>27.1</c:v>
                </c:pt>
                <c:pt idx="272">
                  <c:v>27.200000000000003</c:v>
                </c:pt>
                <c:pt idx="273">
                  <c:v>27.300000000000004</c:v>
                </c:pt>
                <c:pt idx="274">
                  <c:v>27.400000000000002</c:v>
                </c:pt>
                <c:pt idx="275">
                  <c:v>27.500000000000004</c:v>
                </c:pt>
                <c:pt idx="276">
                  <c:v>27.6</c:v>
                </c:pt>
                <c:pt idx="277">
                  <c:v>27.700000000000003</c:v>
                </c:pt>
                <c:pt idx="278">
                  <c:v>27.800000000000004</c:v>
                </c:pt>
                <c:pt idx="279">
                  <c:v>27.900000000000002</c:v>
                </c:pt>
                <c:pt idx="280">
                  <c:v>28.000000000000004</c:v>
                </c:pt>
                <c:pt idx="281">
                  <c:v>28.1</c:v>
                </c:pt>
                <c:pt idx="282">
                  <c:v>28.200000000000003</c:v>
                </c:pt>
                <c:pt idx="283">
                  <c:v>28.300000000000004</c:v>
                </c:pt>
                <c:pt idx="284">
                  <c:v>28.400000000000002</c:v>
                </c:pt>
                <c:pt idx="285">
                  <c:v>28.500000000000004</c:v>
                </c:pt>
                <c:pt idx="286">
                  <c:v>28.6</c:v>
                </c:pt>
                <c:pt idx="287">
                  <c:v>28.700000000000003</c:v>
                </c:pt>
                <c:pt idx="288">
                  <c:v>28.800000000000004</c:v>
                </c:pt>
                <c:pt idx="289">
                  <c:v>28.900000000000002</c:v>
                </c:pt>
                <c:pt idx="290">
                  <c:v>29.000000000000004</c:v>
                </c:pt>
                <c:pt idx="291">
                  <c:v>29.1</c:v>
                </c:pt>
                <c:pt idx="292">
                  <c:v>29.200000000000003</c:v>
                </c:pt>
                <c:pt idx="293">
                  <c:v>29.300000000000004</c:v>
                </c:pt>
                <c:pt idx="294">
                  <c:v>29.400000000000002</c:v>
                </c:pt>
                <c:pt idx="295">
                  <c:v>29.500000000000004</c:v>
                </c:pt>
                <c:pt idx="296">
                  <c:v>29.6</c:v>
                </c:pt>
                <c:pt idx="297">
                  <c:v>29.700000000000003</c:v>
                </c:pt>
                <c:pt idx="298">
                  <c:v>29.800000000000004</c:v>
                </c:pt>
                <c:pt idx="299">
                  <c:v>29.900000000000002</c:v>
                </c:pt>
                <c:pt idx="300">
                  <c:v>30.000000000000004</c:v>
                </c:pt>
                <c:pt idx="301">
                  <c:v>30.1</c:v>
                </c:pt>
                <c:pt idx="302">
                  <c:v>30.200000000000003</c:v>
                </c:pt>
                <c:pt idx="303">
                  <c:v>30.300000000000004</c:v>
                </c:pt>
                <c:pt idx="304">
                  <c:v>30.400000000000002</c:v>
                </c:pt>
                <c:pt idx="305">
                  <c:v>30.500000000000004</c:v>
                </c:pt>
                <c:pt idx="306">
                  <c:v>30.6</c:v>
                </c:pt>
                <c:pt idx="307">
                  <c:v>30.700000000000003</c:v>
                </c:pt>
                <c:pt idx="308">
                  <c:v>30.800000000000004</c:v>
                </c:pt>
                <c:pt idx="309">
                  <c:v>30.900000000000002</c:v>
                </c:pt>
                <c:pt idx="310">
                  <c:v>31.000000000000004</c:v>
                </c:pt>
                <c:pt idx="311">
                  <c:v>31.1</c:v>
                </c:pt>
                <c:pt idx="312">
                  <c:v>31.200000000000003</c:v>
                </c:pt>
                <c:pt idx="313">
                  <c:v>31.300000000000004</c:v>
                </c:pt>
                <c:pt idx="314">
                  <c:v>31.400000000000002</c:v>
                </c:pt>
                <c:pt idx="315">
                  <c:v>31.500000000000004</c:v>
                </c:pt>
                <c:pt idx="316">
                  <c:v>31.6</c:v>
                </c:pt>
                <c:pt idx="317">
                  <c:v>31.700000000000003</c:v>
                </c:pt>
                <c:pt idx="318">
                  <c:v>31.800000000000004</c:v>
                </c:pt>
                <c:pt idx="319">
                  <c:v>31.900000000000002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32.300000000000004</c:v>
                </c:pt>
                <c:pt idx="324">
                  <c:v>32.400000000000006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32.800000000000004</c:v>
                </c:pt>
                <c:pt idx="329">
                  <c:v>32.900000000000006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33.300000000000004</c:v>
                </c:pt>
                <c:pt idx="334">
                  <c:v>33.400000000000006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33.800000000000004</c:v>
                </c:pt>
                <c:pt idx="339">
                  <c:v>33.900000000000006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34.300000000000004</c:v>
                </c:pt>
                <c:pt idx="344">
                  <c:v>34.400000000000006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34.800000000000004</c:v>
                </c:pt>
                <c:pt idx="349">
                  <c:v>34.900000000000006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35.300000000000004</c:v>
                </c:pt>
                <c:pt idx="354">
                  <c:v>35.400000000000006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35.800000000000004</c:v>
                </c:pt>
                <c:pt idx="359">
                  <c:v>35.900000000000006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36.300000000000004</c:v>
                </c:pt>
                <c:pt idx="364">
                  <c:v>36.400000000000006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36.800000000000004</c:v>
                </c:pt>
                <c:pt idx="369">
                  <c:v>36.900000000000006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37.300000000000004</c:v>
                </c:pt>
                <c:pt idx="374">
                  <c:v>37.400000000000006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37.800000000000004</c:v>
                </c:pt>
                <c:pt idx="379">
                  <c:v>37.900000000000006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38.300000000000004</c:v>
                </c:pt>
                <c:pt idx="384">
                  <c:v>38.400000000000006</c:v>
                </c:pt>
                <c:pt idx="385">
                  <c:v>38.500000000000007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38.800000000000004</c:v>
                </c:pt>
                <c:pt idx="389">
                  <c:v>38.900000000000006</c:v>
                </c:pt>
                <c:pt idx="390">
                  <c:v>39.000000000000007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39.300000000000004</c:v>
                </c:pt>
                <c:pt idx="394">
                  <c:v>39.400000000000006</c:v>
                </c:pt>
                <c:pt idx="395">
                  <c:v>39.500000000000007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39.800000000000004</c:v>
                </c:pt>
                <c:pt idx="399">
                  <c:v>39.900000000000006</c:v>
                </c:pt>
                <c:pt idx="400">
                  <c:v>40.000000000000007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40.300000000000004</c:v>
                </c:pt>
                <c:pt idx="404">
                  <c:v>40.400000000000006</c:v>
                </c:pt>
                <c:pt idx="405">
                  <c:v>40.500000000000007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40.800000000000004</c:v>
                </c:pt>
                <c:pt idx="409">
                  <c:v>40.900000000000006</c:v>
                </c:pt>
                <c:pt idx="410">
                  <c:v>41.000000000000007</c:v>
                </c:pt>
                <c:pt idx="411">
                  <c:v>41.1</c:v>
                </c:pt>
                <c:pt idx="412">
                  <c:v>41.2</c:v>
                </c:pt>
                <c:pt idx="413">
                  <c:v>41.300000000000004</c:v>
                </c:pt>
                <c:pt idx="414">
                  <c:v>41.400000000000006</c:v>
                </c:pt>
                <c:pt idx="415">
                  <c:v>41.500000000000007</c:v>
                </c:pt>
                <c:pt idx="416">
                  <c:v>41.6</c:v>
                </c:pt>
                <c:pt idx="417">
                  <c:v>41.7</c:v>
                </c:pt>
                <c:pt idx="418">
                  <c:v>41.800000000000004</c:v>
                </c:pt>
                <c:pt idx="419">
                  <c:v>41.900000000000006</c:v>
                </c:pt>
                <c:pt idx="420">
                  <c:v>42.000000000000007</c:v>
                </c:pt>
                <c:pt idx="421">
                  <c:v>42.1</c:v>
                </c:pt>
                <c:pt idx="422">
                  <c:v>42.2</c:v>
                </c:pt>
                <c:pt idx="423">
                  <c:v>42.300000000000004</c:v>
                </c:pt>
                <c:pt idx="424">
                  <c:v>42.400000000000006</c:v>
                </c:pt>
                <c:pt idx="425">
                  <c:v>42.500000000000007</c:v>
                </c:pt>
                <c:pt idx="426">
                  <c:v>42.6</c:v>
                </c:pt>
                <c:pt idx="427">
                  <c:v>42.7</c:v>
                </c:pt>
                <c:pt idx="428">
                  <c:v>42.800000000000004</c:v>
                </c:pt>
                <c:pt idx="429">
                  <c:v>42.900000000000006</c:v>
                </c:pt>
                <c:pt idx="430">
                  <c:v>43.000000000000007</c:v>
                </c:pt>
                <c:pt idx="431">
                  <c:v>43.1</c:v>
                </c:pt>
                <c:pt idx="432">
                  <c:v>43.2</c:v>
                </c:pt>
                <c:pt idx="433">
                  <c:v>43.300000000000004</c:v>
                </c:pt>
                <c:pt idx="434">
                  <c:v>43.400000000000006</c:v>
                </c:pt>
                <c:pt idx="435">
                  <c:v>43.500000000000007</c:v>
                </c:pt>
                <c:pt idx="436">
                  <c:v>43.6</c:v>
                </c:pt>
                <c:pt idx="437">
                  <c:v>43.7</c:v>
                </c:pt>
                <c:pt idx="438">
                  <c:v>43.800000000000004</c:v>
                </c:pt>
                <c:pt idx="439">
                  <c:v>43.900000000000006</c:v>
                </c:pt>
                <c:pt idx="440">
                  <c:v>44.000000000000007</c:v>
                </c:pt>
                <c:pt idx="441">
                  <c:v>44.1</c:v>
                </c:pt>
                <c:pt idx="442">
                  <c:v>44.2</c:v>
                </c:pt>
                <c:pt idx="443">
                  <c:v>44.300000000000004</c:v>
                </c:pt>
                <c:pt idx="444">
                  <c:v>44.400000000000006</c:v>
                </c:pt>
                <c:pt idx="445">
                  <c:v>44.500000000000007</c:v>
                </c:pt>
                <c:pt idx="446">
                  <c:v>44.6</c:v>
                </c:pt>
                <c:pt idx="447">
                  <c:v>44.7</c:v>
                </c:pt>
                <c:pt idx="448">
                  <c:v>44.800000000000004</c:v>
                </c:pt>
                <c:pt idx="449">
                  <c:v>44.900000000000006</c:v>
                </c:pt>
                <c:pt idx="450">
                  <c:v>45.000000000000007</c:v>
                </c:pt>
                <c:pt idx="451">
                  <c:v>45.1</c:v>
                </c:pt>
                <c:pt idx="452">
                  <c:v>45.2</c:v>
                </c:pt>
                <c:pt idx="453">
                  <c:v>45.300000000000004</c:v>
                </c:pt>
                <c:pt idx="454">
                  <c:v>45.400000000000006</c:v>
                </c:pt>
                <c:pt idx="455">
                  <c:v>45.500000000000007</c:v>
                </c:pt>
                <c:pt idx="456">
                  <c:v>45.6</c:v>
                </c:pt>
                <c:pt idx="457">
                  <c:v>45.7</c:v>
                </c:pt>
                <c:pt idx="458">
                  <c:v>45.800000000000004</c:v>
                </c:pt>
                <c:pt idx="459">
                  <c:v>45.900000000000006</c:v>
                </c:pt>
                <c:pt idx="460">
                  <c:v>46.000000000000007</c:v>
                </c:pt>
                <c:pt idx="461">
                  <c:v>46.1</c:v>
                </c:pt>
                <c:pt idx="462">
                  <c:v>46.2</c:v>
                </c:pt>
                <c:pt idx="463">
                  <c:v>46.300000000000004</c:v>
                </c:pt>
                <c:pt idx="464">
                  <c:v>46.400000000000006</c:v>
                </c:pt>
                <c:pt idx="465">
                  <c:v>46.500000000000007</c:v>
                </c:pt>
                <c:pt idx="466">
                  <c:v>46.6</c:v>
                </c:pt>
                <c:pt idx="467">
                  <c:v>46.7</c:v>
                </c:pt>
                <c:pt idx="468">
                  <c:v>46.800000000000004</c:v>
                </c:pt>
                <c:pt idx="469">
                  <c:v>46.900000000000006</c:v>
                </c:pt>
                <c:pt idx="470">
                  <c:v>47.000000000000007</c:v>
                </c:pt>
                <c:pt idx="471">
                  <c:v>47.1</c:v>
                </c:pt>
                <c:pt idx="472">
                  <c:v>47.2</c:v>
                </c:pt>
                <c:pt idx="473">
                  <c:v>47.300000000000004</c:v>
                </c:pt>
                <c:pt idx="474">
                  <c:v>47.400000000000006</c:v>
                </c:pt>
                <c:pt idx="475">
                  <c:v>47.500000000000007</c:v>
                </c:pt>
                <c:pt idx="476">
                  <c:v>47.6</c:v>
                </c:pt>
                <c:pt idx="477">
                  <c:v>47.7</c:v>
                </c:pt>
                <c:pt idx="478">
                  <c:v>47.800000000000004</c:v>
                </c:pt>
                <c:pt idx="479">
                  <c:v>47.900000000000006</c:v>
                </c:pt>
                <c:pt idx="480">
                  <c:v>48.000000000000007</c:v>
                </c:pt>
                <c:pt idx="481">
                  <c:v>48.1</c:v>
                </c:pt>
                <c:pt idx="482">
                  <c:v>48.2</c:v>
                </c:pt>
                <c:pt idx="483">
                  <c:v>48.300000000000004</c:v>
                </c:pt>
                <c:pt idx="484">
                  <c:v>48.400000000000006</c:v>
                </c:pt>
                <c:pt idx="485">
                  <c:v>48.500000000000007</c:v>
                </c:pt>
                <c:pt idx="486">
                  <c:v>48.6</c:v>
                </c:pt>
                <c:pt idx="487">
                  <c:v>48.7</c:v>
                </c:pt>
                <c:pt idx="488">
                  <c:v>48.800000000000004</c:v>
                </c:pt>
                <c:pt idx="489">
                  <c:v>48.900000000000006</c:v>
                </c:pt>
                <c:pt idx="490">
                  <c:v>49.000000000000007</c:v>
                </c:pt>
                <c:pt idx="491">
                  <c:v>49.1</c:v>
                </c:pt>
                <c:pt idx="492">
                  <c:v>49.2</c:v>
                </c:pt>
                <c:pt idx="493">
                  <c:v>49.300000000000004</c:v>
                </c:pt>
                <c:pt idx="494">
                  <c:v>49.400000000000006</c:v>
                </c:pt>
                <c:pt idx="495">
                  <c:v>49.500000000000007</c:v>
                </c:pt>
                <c:pt idx="496">
                  <c:v>49.6</c:v>
                </c:pt>
                <c:pt idx="497">
                  <c:v>49.7</c:v>
                </c:pt>
                <c:pt idx="498">
                  <c:v>49.800000000000004</c:v>
                </c:pt>
                <c:pt idx="499">
                  <c:v>49.900000000000006</c:v>
                </c:pt>
                <c:pt idx="500">
                  <c:v>50.000000000000007</c:v>
                </c:pt>
                <c:pt idx="501">
                  <c:v>50.1</c:v>
                </c:pt>
                <c:pt idx="502">
                  <c:v>50.2</c:v>
                </c:pt>
                <c:pt idx="503">
                  <c:v>50.300000000000004</c:v>
                </c:pt>
                <c:pt idx="504">
                  <c:v>50.400000000000006</c:v>
                </c:pt>
                <c:pt idx="505">
                  <c:v>50.500000000000007</c:v>
                </c:pt>
                <c:pt idx="506">
                  <c:v>50.6</c:v>
                </c:pt>
                <c:pt idx="507">
                  <c:v>50.7</c:v>
                </c:pt>
                <c:pt idx="508">
                  <c:v>50.800000000000004</c:v>
                </c:pt>
                <c:pt idx="509">
                  <c:v>50.900000000000006</c:v>
                </c:pt>
                <c:pt idx="510">
                  <c:v>51.000000000000007</c:v>
                </c:pt>
                <c:pt idx="511">
                  <c:v>51.1</c:v>
                </c:pt>
                <c:pt idx="512">
                  <c:v>51.2</c:v>
                </c:pt>
                <c:pt idx="513">
                  <c:v>51.300000000000004</c:v>
                </c:pt>
                <c:pt idx="514">
                  <c:v>51.400000000000006</c:v>
                </c:pt>
                <c:pt idx="515">
                  <c:v>51.500000000000007</c:v>
                </c:pt>
                <c:pt idx="516">
                  <c:v>51.6</c:v>
                </c:pt>
                <c:pt idx="517">
                  <c:v>51.7</c:v>
                </c:pt>
                <c:pt idx="518">
                  <c:v>51.800000000000004</c:v>
                </c:pt>
                <c:pt idx="519">
                  <c:v>51.900000000000006</c:v>
                </c:pt>
                <c:pt idx="520">
                  <c:v>52.000000000000007</c:v>
                </c:pt>
                <c:pt idx="521">
                  <c:v>52.1</c:v>
                </c:pt>
                <c:pt idx="522">
                  <c:v>52.2</c:v>
                </c:pt>
                <c:pt idx="523">
                  <c:v>52.300000000000004</c:v>
                </c:pt>
                <c:pt idx="524">
                  <c:v>52.400000000000006</c:v>
                </c:pt>
                <c:pt idx="525">
                  <c:v>52.500000000000007</c:v>
                </c:pt>
                <c:pt idx="526">
                  <c:v>52.6</c:v>
                </c:pt>
                <c:pt idx="527">
                  <c:v>52.7</c:v>
                </c:pt>
                <c:pt idx="528">
                  <c:v>52.800000000000004</c:v>
                </c:pt>
                <c:pt idx="529">
                  <c:v>52.900000000000006</c:v>
                </c:pt>
                <c:pt idx="530">
                  <c:v>53.000000000000007</c:v>
                </c:pt>
                <c:pt idx="531">
                  <c:v>53.1</c:v>
                </c:pt>
                <c:pt idx="532">
                  <c:v>53.2</c:v>
                </c:pt>
                <c:pt idx="533">
                  <c:v>53.300000000000004</c:v>
                </c:pt>
                <c:pt idx="534">
                  <c:v>53.400000000000006</c:v>
                </c:pt>
                <c:pt idx="535">
                  <c:v>53.500000000000007</c:v>
                </c:pt>
                <c:pt idx="536">
                  <c:v>53.6</c:v>
                </c:pt>
                <c:pt idx="537">
                  <c:v>53.7</c:v>
                </c:pt>
                <c:pt idx="538">
                  <c:v>53.800000000000004</c:v>
                </c:pt>
                <c:pt idx="539">
                  <c:v>53.900000000000006</c:v>
                </c:pt>
                <c:pt idx="540">
                  <c:v>54.000000000000007</c:v>
                </c:pt>
                <c:pt idx="541">
                  <c:v>54.1</c:v>
                </c:pt>
                <c:pt idx="542">
                  <c:v>54.2</c:v>
                </c:pt>
                <c:pt idx="543">
                  <c:v>54.300000000000004</c:v>
                </c:pt>
                <c:pt idx="544">
                  <c:v>54.400000000000006</c:v>
                </c:pt>
                <c:pt idx="545">
                  <c:v>54.500000000000007</c:v>
                </c:pt>
                <c:pt idx="546">
                  <c:v>54.6</c:v>
                </c:pt>
                <c:pt idx="547">
                  <c:v>54.7</c:v>
                </c:pt>
                <c:pt idx="548">
                  <c:v>54.800000000000004</c:v>
                </c:pt>
                <c:pt idx="549">
                  <c:v>54.900000000000006</c:v>
                </c:pt>
                <c:pt idx="550">
                  <c:v>55.000000000000007</c:v>
                </c:pt>
                <c:pt idx="551">
                  <c:v>55.1</c:v>
                </c:pt>
                <c:pt idx="552">
                  <c:v>55.2</c:v>
                </c:pt>
                <c:pt idx="553">
                  <c:v>55.300000000000004</c:v>
                </c:pt>
                <c:pt idx="554">
                  <c:v>55.400000000000006</c:v>
                </c:pt>
                <c:pt idx="555">
                  <c:v>55.500000000000007</c:v>
                </c:pt>
                <c:pt idx="556">
                  <c:v>55.6</c:v>
                </c:pt>
                <c:pt idx="557">
                  <c:v>55.7</c:v>
                </c:pt>
                <c:pt idx="558">
                  <c:v>55.800000000000004</c:v>
                </c:pt>
                <c:pt idx="559">
                  <c:v>55.900000000000006</c:v>
                </c:pt>
                <c:pt idx="560">
                  <c:v>56.000000000000007</c:v>
                </c:pt>
                <c:pt idx="561">
                  <c:v>56.1</c:v>
                </c:pt>
                <c:pt idx="562">
                  <c:v>56.2</c:v>
                </c:pt>
                <c:pt idx="563">
                  <c:v>56.300000000000004</c:v>
                </c:pt>
                <c:pt idx="564">
                  <c:v>56.400000000000006</c:v>
                </c:pt>
                <c:pt idx="565">
                  <c:v>56.500000000000007</c:v>
                </c:pt>
                <c:pt idx="566">
                  <c:v>56.6</c:v>
                </c:pt>
                <c:pt idx="567">
                  <c:v>56.7</c:v>
                </c:pt>
                <c:pt idx="568">
                  <c:v>56.800000000000004</c:v>
                </c:pt>
                <c:pt idx="569">
                  <c:v>56.900000000000006</c:v>
                </c:pt>
                <c:pt idx="570">
                  <c:v>57.000000000000007</c:v>
                </c:pt>
                <c:pt idx="571">
                  <c:v>57.1</c:v>
                </c:pt>
                <c:pt idx="572">
                  <c:v>57.2</c:v>
                </c:pt>
                <c:pt idx="573">
                  <c:v>57.300000000000004</c:v>
                </c:pt>
                <c:pt idx="574">
                  <c:v>57.400000000000006</c:v>
                </c:pt>
                <c:pt idx="575">
                  <c:v>57.500000000000007</c:v>
                </c:pt>
                <c:pt idx="576">
                  <c:v>57.6</c:v>
                </c:pt>
                <c:pt idx="577">
                  <c:v>57.7</c:v>
                </c:pt>
                <c:pt idx="578">
                  <c:v>57.800000000000004</c:v>
                </c:pt>
                <c:pt idx="579">
                  <c:v>57.900000000000006</c:v>
                </c:pt>
                <c:pt idx="580">
                  <c:v>58.000000000000007</c:v>
                </c:pt>
                <c:pt idx="581">
                  <c:v>58.1</c:v>
                </c:pt>
                <c:pt idx="582">
                  <c:v>58.2</c:v>
                </c:pt>
                <c:pt idx="583">
                  <c:v>58.300000000000004</c:v>
                </c:pt>
                <c:pt idx="584">
                  <c:v>58.400000000000006</c:v>
                </c:pt>
                <c:pt idx="585">
                  <c:v>58.500000000000007</c:v>
                </c:pt>
                <c:pt idx="586">
                  <c:v>58.6</c:v>
                </c:pt>
                <c:pt idx="587">
                  <c:v>58.7</c:v>
                </c:pt>
                <c:pt idx="588">
                  <c:v>58.800000000000004</c:v>
                </c:pt>
                <c:pt idx="589">
                  <c:v>58.900000000000006</c:v>
                </c:pt>
                <c:pt idx="590">
                  <c:v>59.000000000000007</c:v>
                </c:pt>
                <c:pt idx="591">
                  <c:v>59.1</c:v>
                </c:pt>
                <c:pt idx="592">
                  <c:v>59.2</c:v>
                </c:pt>
                <c:pt idx="593">
                  <c:v>59.300000000000004</c:v>
                </c:pt>
                <c:pt idx="594">
                  <c:v>59.400000000000006</c:v>
                </c:pt>
                <c:pt idx="595">
                  <c:v>59.500000000000007</c:v>
                </c:pt>
                <c:pt idx="596">
                  <c:v>59.6</c:v>
                </c:pt>
                <c:pt idx="597">
                  <c:v>59.7</c:v>
                </c:pt>
                <c:pt idx="598">
                  <c:v>59.800000000000004</c:v>
                </c:pt>
                <c:pt idx="599">
                  <c:v>59.900000000000006</c:v>
                </c:pt>
                <c:pt idx="600">
                  <c:v>60.000000000000007</c:v>
                </c:pt>
                <c:pt idx="601">
                  <c:v>60.1</c:v>
                </c:pt>
                <c:pt idx="602">
                  <c:v>60.2</c:v>
                </c:pt>
                <c:pt idx="603">
                  <c:v>60.300000000000004</c:v>
                </c:pt>
                <c:pt idx="604">
                  <c:v>60.400000000000006</c:v>
                </c:pt>
                <c:pt idx="605">
                  <c:v>60.500000000000007</c:v>
                </c:pt>
                <c:pt idx="606">
                  <c:v>60.6</c:v>
                </c:pt>
                <c:pt idx="607">
                  <c:v>60.7</c:v>
                </c:pt>
                <c:pt idx="608">
                  <c:v>60.800000000000004</c:v>
                </c:pt>
                <c:pt idx="609">
                  <c:v>60.900000000000006</c:v>
                </c:pt>
                <c:pt idx="610">
                  <c:v>61.000000000000007</c:v>
                </c:pt>
                <c:pt idx="611">
                  <c:v>61.1</c:v>
                </c:pt>
                <c:pt idx="612">
                  <c:v>61.2</c:v>
                </c:pt>
                <c:pt idx="613">
                  <c:v>61.300000000000004</c:v>
                </c:pt>
                <c:pt idx="614">
                  <c:v>61.400000000000006</c:v>
                </c:pt>
                <c:pt idx="615">
                  <c:v>61.500000000000007</c:v>
                </c:pt>
                <c:pt idx="616">
                  <c:v>61.6</c:v>
                </c:pt>
                <c:pt idx="617">
                  <c:v>61.7</c:v>
                </c:pt>
                <c:pt idx="618">
                  <c:v>61.800000000000004</c:v>
                </c:pt>
                <c:pt idx="619">
                  <c:v>61.900000000000006</c:v>
                </c:pt>
                <c:pt idx="620">
                  <c:v>62.000000000000007</c:v>
                </c:pt>
                <c:pt idx="621">
                  <c:v>62.1</c:v>
                </c:pt>
                <c:pt idx="622">
                  <c:v>62.2</c:v>
                </c:pt>
                <c:pt idx="623">
                  <c:v>62.300000000000004</c:v>
                </c:pt>
                <c:pt idx="624">
                  <c:v>62.400000000000006</c:v>
                </c:pt>
                <c:pt idx="625">
                  <c:v>62.500000000000007</c:v>
                </c:pt>
                <c:pt idx="626">
                  <c:v>62.6</c:v>
                </c:pt>
                <c:pt idx="627">
                  <c:v>62.7</c:v>
                </c:pt>
                <c:pt idx="628">
                  <c:v>62.800000000000004</c:v>
                </c:pt>
                <c:pt idx="629">
                  <c:v>62.900000000000006</c:v>
                </c:pt>
                <c:pt idx="630">
                  <c:v>63.000000000000007</c:v>
                </c:pt>
                <c:pt idx="631">
                  <c:v>63.1</c:v>
                </c:pt>
                <c:pt idx="632">
                  <c:v>63.2</c:v>
                </c:pt>
                <c:pt idx="633">
                  <c:v>63.300000000000004</c:v>
                </c:pt>
                <c:pt idx="634">
                  <c:v>63.400000000000006</c:v>
                </c:pt>
                <c:pt idx="635">
                  <c:v>63.500000000000007</c:v>
                </c:pt>
                <c:pt idx="636">
                  <c:v>63.6</c:v>
                </c:pt>
                <c:pt idx="637">
                  <c:v>63.7</c:v>
                </c:pt>
                <c:pt idx="638">
                  <c:v>63.800000000000004</c:v>
                </c:pt>
                <c:pt idx="639">
                  <c:v>63.900000000000006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64.399999999999991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64.899999999999991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65.399999999999991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65.899999999999991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66.399999999999991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66.899999999999991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67.399999999999991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67.899999999999991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68.399999999999991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68.899999999999991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69.399999999999991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69.899999999999991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70.399999999999991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70.899999999999991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71.399999999999991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71.899999999999991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72.399999999999991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72.899999999999991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73.399999999999991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73.899999999999991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74.399999999999991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74.899999999999991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75.899999999999991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76.399999999999991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</c:numCache>
            </c:numRef>
          </c:xVal>
          <c:yVal>
            <c:numRef>
              <c:f>感染症の流行!$D$2:$D$902</c:f>
              <c:numCache>
                <c:formatCode>General</c:formatCode>
                <c:ptCount val="901"/>
                <c:pt idx="0">
                  <c:v>0</c:v>
                </c:pt>
                <c:pt idx="1">
                  <c:v>2.0000000000000004E-2</c:v>
                </c:pt>
                <c:pt idx="2">
                  <c:v>4.0400000000000005E-2</c:v>
                </c:pt>
                <c:pt idx="3">
                  <c:v>6.1207967360000004E-2</c:v>
                </c:pt>
                <c:pt idx="4">
                  <c:v>8.2432026817207849E-2</c:v>
                </c:pt>
                <c:pt idx="5">
                  <c:v>0.10408046354127691</c:v>
                </c:pt>
                <c:pt idx="6">
                  <c:v>0.12616172624669045</c:v>
                </c:pt>
                <c:pt idx="7">
                  <c:v>0.14868443036327283</c:v>
                </c:pt>
                <c:pt idx="8">
                  <c:v>0.17165736126582085</c:v>
                </c:pt>
                <c:pt idx="9">
                  <c:v>0.19508947756386161</c:v>
                </c:pt>
                <c:pt idx="10">
                  <c:v>0.21898991445255658</c:v>
                </c:pt>
                <c:pt idx="11">
                  <c:v>0.24336798712578422</c:v>
                </c:pt>
                <c:pt idx="12">
                  <c:v>0.26823319425244685</c:v>
                </c:pt>
                <c:pt idx="13">
                  <c:v>0.29359522151706058</c:v>
                </c:pt>
                <c:pt idx="14">
                  <c:v>0.31946394522569976</c:v>
                </c:pt>
                <c:pt idx="15">
                  <c:v>0.3458494359783808</c:v>
                </c:pt>
                <c:pt idx="16">
                  <c:v>0.37276196240898213</c:v>
                </c:pt>
                <c:pt idx="17">
                  <c:v>0.40021199499381149</c:v>
                </c:pt>
                <c:pt idx="18">
                  <c:v>0.42821020992994241</c:v>
                </c:pt>
                <c:pt idx="19">
                  <c:v>0.45676749308445597</c:v>
                </c:pt>
                <c:pt idx="20">
                  <c:v>0.48589494401573502</c:v>
                </c:pt>
                <c:pt idx="21">
                  <c:v>0.51560388006797175</c:v>
                </c:pt>
                <c:pt idx="22">
                  <c:v>0.54590584054005975</c:v>
                </c:pt>
                <c:pt idx="23">
                  <c:v>0.57681259093005577</c:v>
                </c:pt>
                <c:pt idx="24">
                  <c:v>0.60833612725640607</c:v>
                </c:pt>
                <c:pt idx="25">
                  <c:v>0.6404886804571448</c:v>
                </c:pt>
                <c:pt idx="26">
                  <c:v>0.67328272086828389</c:v>
                </c:pt>
                <c:pt idx="27">
                  <c:v>0.70673096278262237</c:v>
                </c:pt>
                <c:pt idx="28">
                  <c:v>0.74084636909021695</c:v>
                </c:pt>
                <c:pt idx="29">
                  <c:v>0.77564215600176278</c:v>
                </c:pt>
                <c:pt idx="30">
                  <c:v>0.81113179785614675</c:v>
                </c:pt>
                <c:pt idx="31">
                  <c:v>0.84732903201344167</c:v>
                </c:pt>
                <c:pt idx="32">
                  <c:v>0.88424786383462273</c:v>
                </c:pt>
                <c:pt idx="33">
                  <c:v>0.92190257174929302</c:v>
                </c:pt>
                <c:pt idx="34">
                  <c:v>0.96030771241271551</c:v>
                </c:pt>
                <c:pt idx="35">
                  <c:v>0.99947812595345642</c:v>
                </c:pt>
                <c:pt idx="36">
                  <c:v>1.0394289413129509</c:v>
                </c:pt>
                <c:pt idx="37">
                  <c:v>1.0801755816783114</c:v>
                </c:pt>
                <c:pt idx="38">
                  <c:v>1.1217337700097012</c:v>
                </c:pt>
                <c:pt idx="39">
                  <c:v>1.1641195346636071</c:v>
                </c:pt>
                <c:pt idx="40">
                  <c:v>1.2073492151133436</c:v>
                </c:pt>
                <c:pt idx="41">
                  <c:v>1.2514394677681295</c:v>
                </c:pt>
                <c:pt idx="42">
                  <c:v>1.2964072718920816</c:v>
                </c:pt>
                <c:pt idx="43">
                  <c:v>1.3422699356244678</c:v>
                </c:pt>
                <c:pt idx="44">
                  <c:v>1.3890451021025711</c:v>
                </c:pt>
                <c:pt idx="45">
                  <c:v>1.4367507556885095</c:v>
                </c:pt>
                <c:pt idx="46">
                  <c:v>1.4854052283013637</c:v>
                </c:pt>
                <c:pt idx="47">
                  <c:v>1.5350272058559573</c:v>
                </c:pt>
                <c:pt idx="48">
                  <c:v>1.5856357348096362</c:v>
                </c:pt>
                <c:pt idx="49">
                  <c:v>1.6372502288183894</c:v>
                </c:pt>
                <c:pt idx="50">
                  <c:v>1.689890475503649</c:v>
                </c:pt>
                <c:pt idx="51">
                  <c:v>1.743576643331102</c:v>
                </c:pt>
                <c:pt idx="52">
                  <c:v>1.7983292886028379</c:v>
                </c:pt>
                <c:pt idx="53">
                  <c:v>1.8541693625641527</c:v>
                </c:pt>
                <c:pt idx="54">
                  <c:v>1.9111182186263129</c:v>
                </c:pt>
                <c:pt idx="55">
                  <c:v>1.9691976197065795</c:v>
                </c:pt>
                <c:pt idx="56">
                  <c:v>2.0284297456867737</c:v>
                </c:pt>
                <c:pt idx="57">
                  <c:v>2.0888372009916552</c:v>
                </c:pt>
                <c:pt idx="58">
                  <c:v>2.1504430222883655</c:v>
                </c:pt>
                <c:pt idx="59">
                  <c:v>2.2132706863081735</c:v>
                </c:pt>
                <c:pt idx="60">
                  <c:v>2.2773441177917384</c:v>
                </c:pt>
                <c:pt idx="61">
                  <c:v>2.3426876975590827</c:v>
                </c:pt>
                <c:pt idx="62">
                  <c:v>2.4093262707054501</c:v>
                </c:pt>
                <c:pt idx="63">
                  <c:v>2.4772851549241892</c:v>
                </c:pt>
                <c:pt idx="64">
                  <c:v>2.5465901489577805</c:v>
                </c:pt>
                <c:pt idx="65">
                  <c:v>2.6172675411780935</c:v>
                </c:pt>
                <c:pt idx="66">
                  <c:v>2.689344118296928</c:v>
                </c:pt>
                <c:pt idx="67">
                  <c:v>2.7628471742078551</c:v>
                </c:pt>
                <c:pt idx="68">
                  <c:v>2.8378045189603367</c:v>
                </c:pt>
                <c:pt idx="69">
                  <c:v>2.9142444878670681</c:v>
                </c:pt>
                <c:pt idx="70">
                  <c:v>2.9921959507454297</c:v>
                </c:pt>
                <c:pt idx="71">
                  <c:v>3.0716883212939035</c:v>
                </c:pt>
                <c:pt idx="72">
                  <c:v>3.1527515666042469</c:v>
                </c:pt>
                <c:pt idx="73">
                  <c:v>3.2354162168101728</c:v>
                </c:pt>
                <c:pt idx="74">
                  <c:v>3.3197133748732206</c:v>
                </c:pt>
                <c:pt idx="75">
                  <c:v>3.4056747265064478</c:v>
                </c:pt>
                <c:pt idx="76">
                  <c:v>3.4933325502365062</c:v>
                </c:pt>
                <c:pt idx="77">
                  <c:v>3.5827197276045983</c:v>
                </c:pt>
                <c:pt idx="78">
                  <c:v>3.6738697535067404</c:v>
                </c:pt>
                <c:pt idx="79">
                  <c:v>3.7668167466736788</c:v>
                </c:pt>
                <c:pt idx="80">
                  <c:v>3.8615954602907299</c:v>
                </c:pt>
                <c:pt idx="81">
                  <c:v>3.9582412927577297</c:v>
                </c:pt>
                <c:pt idx="82">
                  <c:v>4.0567902985891857</c:v>
                </c:pt>
                <c:pt idx="83">
                  <c:v>4.1572791994546332</c:v>
                </c:pt>
                <c:pt idx="84">
                  <c:v>4.2597453953591042</c:v>
                </c:pt>
                <c:pt idx="85">
                  <c:v>4.3642269759634988</c:v>
                </c:pt>
                <c:pt idx="86">
                  <c:v>4.4707627320445598</c:v>
                </c:pt>
                <c:pt idx="87">
                  <c:v>4.5793921670940136</c:v>
                </c:pt>
                <c:pt idx="88">
                  <c:v>4.6901555090563471</c:v>
                </c:pt>
                <c:pt idx="89">
                  <c:v>4.8030937222045376</c:v>
                </c:pt>
                <c:pt idx="90">
                  <c:v>4.9182485191529359</c:v>
                </c:pt>
                <c:pt idx="91">
                  <c:v>5.0356623730063674</c:v>
                </c:pt>
                <c:pt idx="92">
                  <c:v>5.1553785296443548</c:v>
                </c:pt>
                <c:pt idx="93">
                  <c:v>5.2774410201392303</c:v>
                </c:pt>
                <c:pt idx="94">
                  <c:v>5.4018946733067406</c:v>
                </c:pt>
                <c:pt idx="95">
                  <c:v>5.5287851283875806</c:v>
                </c:pt>
                <c:pt idx="96">
                  <c:v>5.6581588478581244</c:v>
                </c:pt>
                <c:pt idx="97">
                  <c:v>5.7900631303684298</c:v>
                </c:pt>
                <c:pt idx="98">
                  <c:v>5.9245461238054267</c:v>
                </c:pt>
                <c:pt idx="99">
                  <c:v>6.0616568384789744</c:v>
                </c:pt>
                <c:pt idx="100">
                  <c:v>6.2014451604282979</c:v>
                </c:pt>
                <c:pt idx="101">
                  <c:v>6.3439618648460714</c:v>
                </c:pt>
                <c:pt idx="102">
                  <c:v>6.4892586296172254</c:v>
                </c:pt>
                <c:pt idx="103">
                  <c:v>6.6373880489692958</c:v>
                </c:pt>
                <c:pt idx="104">
                  <c:v>6.7884036472309131</c:v>
                </c:pt>
                <c:pt idx="105">
                  <c:v>6.942359892694772</c:v>
                </c:pt>
                <c:pt idx="106">
                  <c:v>7.0993122115811635</c:v>
                </c:pt>
                <c:pt idx="107">
                  <c:v>7.2593170020978821</c:v>
                </c:pt>
                <c:pt idx="108">
                  <c:v>7.4224316485920498</c:v>
                </c:pt>
                <c:pt idx="109">
                  <c:v>7.5887145357890962</c:v>
                </c:pt>
                <c:pt idx="110">
                  <c:v>7.7582250631138399</c:v>
                </c:pt>
                <c:pt idx="111">
                  <c:v>7.9310236590883161</c:v>
                </c:pt>
                <c:pt idx="112">
                  <c:v>8.1071717958006531</c:v>
                </c:pt>
                <c:pt idx="113">
                  <c:v>8.2867320034389795</c:v>
                </c:pt>
                <c:pt idx="114">
                  <c:v>8.4697678848840035</c:v>
                </c:pt>
                <c:pt idx="115">
                  <c:v>8.6563441303535313</c:v>
                </c:pt>
                <c:pt idx="116">
                  <c:v>8.8465265320918434</c:v>
                </c:pt>
                <c:pt idx="117">
                  <c:v>9.04038199909645</c:v>
                </c:pt>
                <c:pt idx="118">
                  <c:v>9.237978571874363</c:v>
                </c:pt>
                <c:pt idx="119">
                  <c:v>9.4393854372196131</c:v>
                </c:pt>
                <c:pt idx="120">
                  <c:v>9.6446729430033145</c:v>
                </c:pt>
                <c:pt idx="121">
                  <c:v>9.853912612967159</c:v>
                </c:pt>
                <c:pt idx="122">
                  <c:v>10.067177161510765</c:v>
                </c:pt>
                <c:pt idx="123">
                  <c:v>10.284540508462863</c:v>
                </c:pt>
                <c:pt idx="124">
                  <c:v>10.506077793825796</c:v>
                </c:pt>
                <c:pt idx="125">
                  <c:v>10.731865392482373</c:v>
                </c:pt>
                <c:pt idx="126">
                  <c:v>10.961980928853558</c:v>
                </c:pt>
                <c:pt idx="127">
                  <c:v>11.196503291495022</c:v>
                </c:pt>
                <c:pt idx="128">
                  <c:v>11.435512647619996</c:v>
                </c:pt>
                <c:pt idx="129">
                  <c:v>11.679090457535381</c:v>
                </c:pt>
                <c:pt idx="130">
                  <c:v>11.927319488977465</c:v>
                </c:pt>
                <c:pt idx="131">
                  <c:v>12.180283831333051</c:v>
                </c:pt>
                <c:pt idx="132">
                  <c:v>12.438068909731214</c:v>
                </c:pt>
                <c:pt idx="133">
                  <c:v>12.700761498990291</c:v>
                </c:pt>
                <c:pt idx="134">
                  <c:v>12.968449737404125</c:v>
                </c:pt>
                <c:pt idx="135">
                  <c:v>13.241223140350915</c:v>
                </c:pt>
                <c:pt idx="136">
                  <c:v>13.519172613707415</c:v>
                </c:pt>
                <c:pt idx="137">
                  <c:v>13.802390467050563</c:v>
                </c:pt>
                <c:pt idx="138">
                  <c:v>14.090970426627939</c:v>
                </c:pt>
                <c:pt idx="139">
                  <c:v>14.385007648077783</c:v>
                </c:pt>
                <c:pt idx="140">
                  <c:v>14.684598728878616</c:v>
                </c:pt>
                <c:pt idx="141">
                  <c:v>14.98984172050776</c:v>
                </c:pt>
                <c:pt idx="142">
                  <c:v>15.300836140287402</c:v>
                </c:pt>
                <c:pt idx="143">
                  <c:v>15.617682982896021</c:v>
                </c:pt>
                <c:pt idx="144">
                  <c:v>15.940484731522361</c:v>
                </c:pt>
                <c:pt idx="145">
                  <c:v>16.269345368638284</c:v>
                </c:pt>
                <c:pt idx="146">
                  <c:v>16.604370386366135</c:v>
                </c:pt>
                <c:pt idx="147">
                  <c:v>16.945666796415424</c:v>
                </c:pt>
                <c:pt idx="148">
                  <c:v>17.293343139562914</c:v>
                </c:pt>
                <c:pt idx="149">
                  <c:v>17.647509494649352</c:v>
                </c:pt>
                <c:pt idx="150">
                  <c:v>18.008277487065293</c:v>
                </c:pt>
                <c:pt idx="151">
                  <c:v>18.375760296697681</c:v>
                </c:pt>
                <c:pt idx="152">
                  <c:v>18.75007266530805</c:v>
                </c:pt>
                <c:pt idx="153">
                  <c:v>19.131330903312314</c:v>
                </c:pt>
                <c:pt idx="154">
                  <c:v>19.519652895931419</c:v>
                </c:pt>
                <c:pt idx="155">
                  <c:v>19.915158108681194</c:v>
                </c:pt>
                <c:pt idx="156">
                  <c:v>20.317967592168994</c:v>
                </c:pt>
                <c:pt idx="157">
                  <c:v>20.728203986163862</c:v>
                </c:pt>
                <c:pt idx="158">
                  <c:v>21.145991522906137</c:v>
                </c:pt>
                <c:pt idx="159">
                  <c:v>21.571456029621633</c:v>
                </c:pt>
                <c:pt idx="160">
                  <c:v>22.004724930204667</c:v>
                </c:pt>
                <c:pt idx="161">
                  <c:v>22.445927246033442</c:v>
                </c:pt>
                <c:pt idx="162">
                  <c:v>22.895193595880507</c:v>
                </c:pt>
                <c:pt idx="163">
                  <c:v>23.352656194880186</c:v>
                </c:pt>
                <c:pt idx="164">
                  <c:v>23.818448852514173</c:v>
                </c:pt>
                <c:pt idx="165">
                  <c:v>24.292706969575661</c:v>
                </c:pt>
                <c:pt idx="166">
                  <c:v>24.775567534071698</c:v>
                </c:pt>
                <c:pt idx="167">
                  <c:v>25.267169116022725</c:v>
                </c:pt>
                <c:pt idx="168">
                  <c:v>25.76765186111756</c:v>
                </c:pt>
                <c:pt idx="169">
                  <c:v>26.277157483181423</c:v>
                </c:pt>
                <c:pt idx="170">
                  <c:v>26.795829255413988</c:v>
                </c:pt>
                <c:pt idx="171">
                  <c:v>27.323812000353833</c:v>
                </c:pt>
                <c:pt idx="172">
                  <c:v>27.861252078525034</c:v>
                </c:pt>
                <c:pt idx="173">
                  <c:v>28.40829737572124</c:v>
                </c:pt>
                <c:pt idx="174">
                  <c:v>28.96509728888195</c:v>
                </c:pt>
                <c:pt idx="175">
                  <c:v>29.531802710515333</c:v>
                </c:pt>
                <c:pt idx="176">
                  <c:v>30.108566011621562</c:v>
                </c:pt>
                <c:pt idx="177">
                  <c:v>30.695541023070195</c:v>
                </c:pt>
                <c:pt idx="178">
                  <c:v>31.292883015384955</c:v>
                </c:pt>
                <c:pt idx="179">
                  <c:v>31.900748676888941</c:v>
                </c:pt>
                <c:pt idx="180">
                  <c:v>32.519296090163216</c:v>
                </c:pt>
                <c:pt idx="181">
                  <c:v>33.148684706771547</c:v>
                </c:pt>
                <c:pt idx="182">
                  <c:v>33.789075320204105</c:v>
                </c:pt>
                <c:pt idx="183">
                  <c:v>34.44063003699295</c:v>
                </c:pt>
                <c:pt idx="184">
                  <c:v>35.103512245952274</c:v>
                </c:pt>
                <c:pt idx="185">
                  <c:v>35.77788658549656</c:v>
                </c:pt>
                <c:pt idx="186">
                  <c:v>36.463918908990181</c:v>
                </c:pt>
                <c:pt idx="187">
                  <c:v>37.161776248082298</c:v>
                </c:pt>
                <c:pt idx="188">
                  <c:v>37.871626773981461</c:v>
                </c:pt>
                <c:pt idx="189">
                  <c:v>38.593639756624881</c:v>
                </c:pt>
                <c:pt idx="190">
                  <c:v>39.327985521698082</c:v>
                </c:pt>
                <c:pt idx="191">
                  <c:v>40.074835405461428</c:v>
                </c:pt>
                <c:pt idx="192">
                  <c:v>40.834361707341017</c:v>
                </c:pt>
                <c:pt idx="193">
                  <c:v>41.606737640242422</c:v>
                </c:pt>
                <c:pt idx="194">
                  <c:v>42.39213727854699</c:v>
                </c:pt>
                <c:pt idx="195">
                  <c:v>43.190735503751739</c:v>
                </c:pt>
                <c:pt idx="196">
                  <c:v>44.002707947715258</c:v>
                </c:pt>
                <c:pt idx="197">
                  <c:v>44.828230933473755</c:v>
                </c:pt>
                <c:pt idx="198">
                  <c:v>45.667481413592959</c:v>
                </c:pt>
                <c:pt idx="199">
                  <c:v>46.52063690602364</c:v>
                </c:pt>
                <c:pt idx="200">
                  <c:v>47.387875427430359</c:v>
                </c:pt>
                <c:pt idx="201">
                  <c:v>48.269375423965435</c:v>
                </c:pt>
                <c:pt idx="202">
                  <c:v>49.16531569946229</c:v>
                </c:pt>
                <c:pt idx="203">
                  <c:v>50.075875341024968</c:v>
                </c:pt>
                <c:pt idx="204">
                  <c:v>51.001233641993252</c:v>
                </c:pt>
                <c:pt idx="205">
                  <c:v>51.941570022265601</c:v>
                </c:pt>
                <c:pt idx="206">
                  <c:v>52.897063945965186</c:v>
                </c:pt>
                <c:pt idx="207">
                  <c:v>53.867894836437507</c:v>
                </c:pt>
                <c:pt idx="208">
                  <c:v>54.854241988571346</c:v>
                </c:pt>
                <c:pt idx="209">
                  <c:v>55.856284478438361</c:v>
                </c:pt>
                <c:pt idx="210">
                  <c:v>56.874201070250436</c:v>
                </c:pt>
                <c:pt idx="211">
                  <c:v>57.90817012063755</c:v>
                </c:pt>
                <c:pt idx="212">
                  <c:v>58.958369480253218</c:v>
                </c:pt>
                <c:pt idx="213">
                  <c:v>60.024976392718621</c:v>
                </c:pt>
                <c:pt idx="214">
                  <c:v>61.108167390920983</c:v>
                </c:pt>
                <c:pt idx="215">
                  <c:v>62.208118190686307</c:v>
                </c:pt>
                <c:pt idx="216">
                  <c:v>63.325003581851369</c:v>
                </c:pt>
                <c:pt idx="217">
                  <c:v>64.458997316764624</c:v>
                </c:pt>
                <c:pt idx="218">
                  <c:v>65.610271996250887</c:v>
                </c:pt>
                <c:pt idx="219">
                  <c:v>66.778998953079764</c:v>
                </c:pt>
                <c:pt idx="220">
                  <c:v>67.965348132983181</c:v>
                </c:pt>
                <c:pt idx="221">
                  <c:v>69.169487973272837</c:v>
                </c:pt>
                <c:pt idx="222">
                  <c:v>70.391585279114111</c:v>
                </c:pt>
                <c:pt idx="223">
                  <c:v>71.631805097518608</c:v>
                </c:pt>
                <c:pt idx="224">
                  <c:v>72.89031058912353</c:v>
                </c:pt>
                <c:pt idx="225">
                  <c:v>74.167262897831861</c:v>
                </c:pt>
                <c:pt idx="226">
                  <c:v>75.462821018393697</c:v>
                </c:pt>
                <c:pt idx="227">
                  <c:v>76.777141662014998</c:v>
                </c:pt>
                <c:pt idx="228">
                  <c:v>78.110379120086364</c:v>
                </c:pt>
                <c:pt idx="229">
                  <c:v>79.462685126130779</c:v>
                </c:pt>
                <c:pt idx="230">
                  <c:v>80.834208716075608</c:v>
                </c:pt>
                <c:pt idx="231">
                  <c:v>82.225096086960548</c:v>
                </c:pt>
                <c:pt idx="232">
                  <c:v>83.635490454199498</c:v>
                </c:pt>
                <c:pt idx="233">
                  <c:v>85.065531907520977</c:v>
                </c:pt>
                <c:pt idx="234">
                  <c:v>86.515357265717839</c:v>
                </c:pt>
                <c:pt idx="235">
                  <c:v>87.985099930343708</c:v>
                </c:pt>
                <c:pt idx="236">
                  <c:v>89.474889738499485</c:v>
                </c:pt>
                <c:pt idx="237">
                  <c:v>90.984852814859906</c:v>
                </c:pt>
                <c:pt idx="238">
                  <c:v>92.515111423095988</c:v>
                </c:pt>
                <c:pt idx="239">
                  <c:v>94.065783816855387</c:v>
                </c:pt>
                <c:pt idx="240">
                  <c:v>95.636984090468616</c:v>
                </c:pt>
                <c:pt idx="241">
                  <c:v>97.228822029554621</c:v>
                </c:pt>
                <c:pt idx="242">
                  <c:v>98.841402961705086</c:v>
                </c:pt>
                <c:pt idx="243">
                  <c:v>100.47482760743196</c:v>
                </c:pt>
                <c:pt idx="244">
                  <c:v>102.12919193156803</c:v>
                </c:pt>
                <c:pt idx="245">
                  <c:v>103.80458699531515</c:v>
                </c:pt>
                <c:pt idx="246">
                  <c:v>105.50109880913944</c:v>
                </c:pt>
                <c:pt idx="247">
                  <c:v>107.2188081867172</c:v>
                </c:pt>
                <c:pt idx="248">
                  <c:v>108.95779060013922</c:v>
                </c:pt>
                <c:pt idx="249">
                  <c:v>110.71811603658485</c:v>
                </c:pt>
                <c:pt idx="250">
                  <c:v>112.49984885668074</c:v>
                </c:pt>
                <c:pt idx="251">
                  <c:v>114.3030476547621</c:v>
                </c:pt>
                <c:pt idx="252">
                  <c:v>116.12776512125649</c:v>
                </c:pt>
                <c:pt idx="253">
                  <c:v>117.97404790741319</c:v>
                </c:pt>
                <c:pt idx="254">
                  <c:v>119.84193649260203</c:v>
                </c:pt>
                <c:pt idx="255">
                  <c:v>121.73146505440731</c:v>
                </c:pt>
                <c:pt idx="256">
                  <c:v>123.64266134174322</c:v>
                </c:pt>
                <c:pt idx="257">
                  <c:v>125.57554655121733</c:v>
                </c:pt>
                <c:pt idx="258">
                  <c:v>127.53013520696859</c:v>
                </c:pt>
                <c:pt idx="259">
                  <c:v>129.50643504420557</c:v>
                </c:pt>
                <c:pt idx="260">
                  <c:v>131.50444689666938</c:v>
                </c:pt>
                <c:pt idx="261">
                  <c:v>133.52416458824382</c:v>
                </c:pt>
                <c:pt idx="262">
                  <c:v>135.56557482893339</c:v>
                </c:pt>
                <c:pt idx="263">
                  <c:v>137.62865711542599</c:v>
                </c:pt>
                <c:pt idx="264">
                  <c:v>139.71338363645472</c:v>
                </c:pt>
                <c:pt idx="265">
                  <c:v>141.81971918316822</c:v>
                </c:pt>
                <c:pt idx="266">
                  <c:v>143.94762106471495</c:v>
                </c:pt>
                <c:pt idx="267">
                  <c:v>146.0970390292413</c:v>
                </c:pt>
                <c:pt idx="268">
                  <c:v>148.2679151904976</c:v>
                </c:pt>
                <c:pt idx="269">
                  <c:v>150.4601839602401</c:v>
                </c:pt>
                <c:pt idx="270">
                  <c:v>152.67377198660958</c:v>
                </c:pt>
                <c:pt idx="271">
                  <c:v>154.90859809866015</c:v>
                </c:pt>
                <c:pt idx="272">
                  <c:v>157.16457325720356</c:v>
                </c:pt>
                <c:pt idx="273">
                  <c:v>159.44160051212603</c:v>
                </c:pt>
                <c:pt idx="274">
                  <c:v>161.73957496632525</c:v>
                </c:pt>
                <c:pt idx="275">
                  <c:v>164.05838374640578</c:v>
                </c:pt>
                <c:pt idx="276">
                  <c:v>166.39790598026121</c:v>
                </c:pt>
                <c:pt idx="277">
                  <c:v>168.75801278166071</c:v>
                </c:pt>
                <c:pt idx="278">
                  <c:v>171.13856724194653</c:v>
                </c:pt>
                <c:pt idx="279">
                  <c:v>173.53942442893825</c:v>
                </c:pt>
                <c:pt idx="280">
                  <c:v>175.96043139312724</c:v>
                </c:pt>
                <c:pt idx="281">
                  <c:v>178.40142718123312</c:v>
                </c:pt>
                <c:pt idx="282">
                  <c:v>180.8622428571814</c:v>
                </c:pt>
                <c:pt idx="283">
                  <c:v>183.34270153054891</c:v>
                </c:pt>
                <c:pt idx="284">
                  <c:v>185.84261839251096</c:v>
                </c:pt>
                <c:pt idx="285">
                  <c:v>188.36180075931031</c:v>
                </c:pt>
                <c:pt idx="286">
                  <c:v>190.90004812325577</c:v>
                </c:pt>
                <c:pt idx="287">
                  <c:v>193.45715221124374</c:v>
                </c:pt>
                <c:pt idx="288">
                  <c:v>196.03289705078325</c:v>
                </c:pt>
                <c:pt idx="289">
                  <c:v>198.6270590434911</c:v>
                </c:pt>
                <c:pt idx="290">
                  <c:v>201.23940704601003</c:v>
                </c:pt>
                <c:pt idx="291">
                  <c:v>203.86970245828937</c:v>
                </c:pt>
                <c:pt idx="292">
                  <c:v>206.51769931915413</c:v>
                </c:pt>
                <c:pt idx="293">
                  <c:v>209.18314440907494</c:v>
                </c:pt>
                <c:pt idx="294">
                  <c:v>211.86577736003773</c:v>
                </c:pt>
                <c:pt idx="295">
                  <c:v>214.56533077239951</c:v>
                </c:pt>
                <c:pt idx="296">
                  <c:v>217.28153033860323</c:v>
                </c:pt>
                <c:pt idx="297">
                  <c:v>220.01409497361212</c:v>
                </c:pt>
                <c:pt idx="298">
                  <c:v>222.76273695191182</c:v>
                </c:pt>
                <c:pt idx="299">
                  <c:v>225.52716205091644</c:v>
                </c:pt>
                <c:pt idx="300">
                  <c:v>228.30706970060299</c:v>
                </c:pt>
                <c:pt idx="301">
                  <c:v>231.10215313918778</c:v>
                </c:pt>
                <c:pt idx="302">
                  <c:v>233.91209957464721</c:v>
                </c:pt>
                <c:pt idx="303">
                  <c:v>236.73659035187535</c:v>
                </c:pt>
                <c:pt idx="304">
                  <c:v>239.57530112526061</c:v>
                </c:pt>
                <c:pt idx="305">
                  <c:v>242.42790203645518</c:v>
                </c:pt>
                <c:pt idx="306">
                  <c:v>245.29405789710142</c:v>
                </c:pt>
                <c:pt idx="307">
                  <c:v>248.17342837627174</c:v>
                </c:pt>
                <c:pt idx="308">
                  <c:v>251.06566819237102</c:v>
                </c:pt>
                <c:pt idx="309">
                  <c:v>253.97042730924335</c:v>
                </c:pt>
                <c:pt idx="310">
                  <c:v>256.88735113621908</c:v>
                </c:pt>
                <c:pt idx="311">
                  <c:v>259.81608073183202</c:v>
                </c:pt>
                <c:pt idx="312">
                  <c:v>262.75625301093214</c:v>
                </c:pt>
                <c:pt idx="313">
                  <c:v>265.70750095491456</c:v>
                </c:pt>
                <c:pt idx="314">
                  <c:v>268.66945382478201</c:v>
                </c:pt>
                <c:pt idx="315">
                  <c:v>271.64173737675503</c:v>
                </c:pt>
                <c:pt idx="316">
                  <c:v>274.62397408014209</c:v>
                </c:pt>
                <c:pt idx="317">
                  <c:v>277.61578333717989</c:v>
                </c:pt>
                <c:pt idx="318">
                  <c:v>280.61678170455343</c:v>
                </c:pt>
                <c:pt idx="319">
                  <c:v>283.62658311630508</c:v>
                </c:pt>
                <c:pt idx="320">
                  <c:v>286.64479910784246</c:v>
                </c:pt>
                <c:pt idx="321">
                  <c:v>289.67103904075566</c:v>
                </c:pt>
                <c:pt idx="322">
                  <c:v>292.70491032815642</c:v>
                </c:pt>
                <c:pt idx="323">
                  <c:v>295.74601866025415</c:v>
                </c:pt>
                <c:pt idx="324">
                  <c:v>298.79396822988622</c:v>
                </c:pt>
                <c:pt idx="325">
                  <c:v>301.84836195772385</c:v>
                </c:pt>
                <c:pt idx="326">
                  <c:v>304.90880171687894</c:v>
                </c:pt>
                <c:pt idx="327">
                  <c:v>307.97488855664182</c:v>
                </c:pt>
                <c:pt idx="328">
                  <c:v>311.04622292508475</c:v>
                </c:pt>
                <c:pt idx="329">
                  <c:v>314.12240489027204</c:v>
                </c:pt>
                <c:pt idx="330">
                  <c:v>317.20303435982373</c:v>
                </c:pt>
                <c:pt idx="331">
                  <c:v>320.28771129858586</c:v>
                </c:pt>
                <c:pt idx="332">
                  <c:v>323.37603594416794</c:v>
                </c:pt>
                <c:pt idx="333">
                  <c:v>326.46760902011522</c:v>
                </c:pt>
                <c:pt idx="334">
                  <c:v>329.56203194649135</c:v>
                </c:pt>
                <c:pt idx="335">
                  <c:v>332.65890704765468</c:v>
                </c:pt>
                <c:pt idx="336">
                  <c:v>335.75783775701996</c:v>
                </c:pt>
                <c:pt idx="337">
                  <c:v>338.85842881860628</c:v>
                </c:pt>
                <c:pt idx="338">
                  <c:v>341.96028648518012</c:v>
                </c:pt>
                <c:pt idx="339">
                  <c:v>345.06301871281215</c:v>
                </c:pt>
                <c:pt idx="340">
                  <c:v>348.16623535167525</c:v>
                </c:pt>
                <c:pt idx="341">
                  <c:v>351.26954833292069</c:v>
                </c:pt>
                <c:pt idx="342">
                  <c:v>354.37257185147922</c:v>
                </c:pt>
                <c:pt idx="343">
                  <c:v>357.47492254464299</c:v>
                </c:pt>
                <c:pt idx="344">
                  <c:v>360.57621966629415</c:v>
                </c:pt>
                <c:pt idx="345">
                  <c:v>363.67608525665565</c:v>
                </c:pt>
                <c:pt idx="346">
                  <c:v>366.77414430744955</c:v>
                </c:pt>
                <c:pt idx="347">
                  <c:v>369.87002492235752</c:v>
                </c:pt>
                <c:pt idx="348">
                  <c:v>372.96335847268824</c:v>
                </c:pt>
                <c:pt idx="349">
                  <c:v>376.05377974816622</c:v>
                </c:pt>
                <c:pt idx="350">
                  <c:v>379.14092710276503</c:v>
                </c:pt>
                <c:pt idx="351">
                  <c:v>382.22444259551855</c:v>
                </c:pt>
                <c:pt idx="352">
                  <c:v>385.3039721262524</c:v>
                </c:pt>
                <c:pt idx="353">
                  <c:v>388.37916556618717</c:v>
                </c:pt>
                <c:pt idx="354">
                  <c:v>391.44967688337368</c:v>
                </c:pt>
                <c:pt idx="355">
                  <c:v>394.51516426292943</c:v>
                </c:pt>
                <c:pt idx="356">
                  <c:v>397.57529022205438</c:v>
                </c:pt>
                <c:pt idx="357">
                  <c:v>400.62972171981158</c:v>
                </c:pt>
                <c:pt idx="358">
                  <c:v>403.67813026166749</c:v>
                </c:pt>
                <c:pt idx="359">
                  <c:v>406.72019199879361</c:v>
                </c:pt>
                <c:pt idx="360">
                  <c:v>409.75558782213943</c:v>
                </c:pt>
                <c:pt idx="361">
                  <c:v>412.78400345129376</c:v>
                </c:pt>
                <c:pt idx="362">
                  <c:v>415.80512951815876</c:v>
                </c:pt>
                <c:pt idx="363">
                  <c:v>418.8186616454675</c:v>
                </c:pt>
                <c:pt idx="364">
                  <c:v>421.82430052018276</c:v>
                </c:pt>
                <c:pt idx="365">
                  <c:v>424.82175196182101</c:v>
                </c:pt>
                <c:pt idx="366">
                  <c:v>427.81072698575122</c:v>
                </c:pt>
                <c:pt idx="367">
                  <c:v>430.79094186152417</c:v>
                </c:pt>
                <c:pt idx="368">
                  <c:v>433.76211816629296</c:v>
                </c:pt>
                <c:pt idx="369">
                  <c:v>436.72398283339055</c:v>
                </c:pt>
                <c:pt idx="370">
                  <c:v>439.67626819613548</c:v>
                </c:pt>
                <c:pt idx="371">
                  <c:v>442.61871202694056</c:v>
                </c:pt>
                <c:pt idx="372">
                  <c:v>445.55105757180382</c:v>
                </c:pt>
                <c:pt idx="373">
                  <c:v>448.4730535802658</c:v>
                </c:pt>
                <c:pt idx="374">
                  <c:v>451.3844543309188</c:v>
                </c:pt>
                <c:pt idx="375">
                  <c:v>454.28501965255941</c:v>
                </c:pt>
                <c:pt idx="376">
                  <c:v>457.17451494107712</c:v>
                </c:pt>
                <c:pt idx="377">
                  <c:v>460.05271117217478</c:v>
                </c:pt>
                <c:pt idx="378">
                  <c:v>462.91938491001991</c:v>
                </c:pt>
                <c:pt idx="379">
                  <c:v>465.77431831192729</c:v>
                </c:pt>
                <c:pt idx="380">
                  <c:v>468.61729912917542</c:v>
                </c:pt>
                <c:pt idx="381">
                  <c:v>471.44812070406164</c:v>
                </c:pt>
                <c:pt idx="382">
                  <c:v>474.26658196330129</c:v>
                </c:pt>
                <c:pt idx="383">
                  <c:v>477.07248740787861</c:v>
                </c:pt>
                <c:pt idx="384">
                  <c:v>479.86564709945696</c:v>
                </c:pt>
                <c:pt idx="385">
                  <c:v>482.64587664345771</c:v>
                </c:pt>
                <c:pt idx="386">
                  <c:v>485.41299716891689</c:v>
                </c:pt>
                <c:pt idx="387">
                  <c:v>488.16683530522988</c:v>
                </c:pt>
                <c:pt idx="388">
                  <c:v>490.90722315589392</c:v>
                </c:pt>
                <c:pt idx="389">
                  <c:v>493.63399826935841</c:v>
                </c:pt>
                <c:pt idx="390">
                  <c:v>496.34700360709309</c:v>
                </c:pt>
                <c:pt idx="391">
                  <c:v>499.04608750898313</c:v>
                </c:pt>
                <c:pt idx="392">
                  <c:v>501.73110365616066</c:v>
                </c:pt>
                <c:pt idx="393">
                  <c:v>504.40191103138051</c:v>
                </c:pt>
                <c:pt idx="394">
                  <c:v>507.05837387704787</c:v>
                </c:pt>
                <c:pt idx="395">
                  <c:v>509.70036165100402</c:v>
                </c:pt>
                <c:pt idx="396">
                  <c:v>512.32774898017612</c:v>
                </c:pt>
                <c:pt idx="397">
                  <c:v>514.9404156121949</c:v>
                </c:pt>
                <c:pt idx="398">
                  <c:v>517.53824636508239</c:v>
                </c:pt>
                <c:pt idx="399">
                  <c:v>520.12113107511323</c:v>
                </c:pt>
                <c:pt idx="400">
                  <c:v>522.68896454294679</c:v>
                </c:pt>
                <c:pt idx="401">
                  <c:v>525.24164647813052</c:v>
                </c:pt>
                <c:pt idx="402">
                  <c:v>527.77908144207061</c:v>
                </c:pt>
                <c:pt idx="403">
                  <c:v>530.30117878956389</c:v>
                </c:pt>
                <c:pt idx="404">
                  <c:v>532.80785260898585</c:v>
                </c:pt>
                <c:pt idx="405">
                  <c:v>535.29902166122383</c:v>
                </c:pt>
                <c:pt idx="406">
                  <c:v>537.77460931744668</c:v>
                </c:pt>
                <c:pt idx="407">
                  <c:v>540.2345434957964</c:v>
                </c:pt>
                <c:pt idx="408">
                  <c:v>542.6787565970883</c:v>
                </c:pt>
                <c:pt idx="409">
                  <c:v>545.10718543960172</c:v>
                </c:pt>
                <c:pt idx="410">
                  <c:v>547.5197711930432</c:v>
                </c:pt>
                <c:pt idx="411">
                  <c:v>549.9164593117606</c:v>
                </c:pt>
                <c:pt idx="412">
                  <c:v>552.29719946728505</c:v>
                </c:pt>
                <c:pt idx="413">
                  <c:v>554.66194548027534</c:v>
                </c:pt>
                <c:pt idx="414">
                  <c:v>557.01065525193701</c:v>
                </c:pt>
                <c:pt idx="415">
                  <c:v>559.34329069498699</c:v>
                </c:pt>
                <c:pt idx="416">
                  <c:v>561.65981766423147</c:v>
                </c:pt>
                <c:pt idx="417">
                  <c:v>563.96020588682268</c:v>
                </c:pt>
                <c:pt idx="418">
                  <c:v>566.24442889225907</c:v>
                </c:pt>
                <c:pt idx="419">
                  <c:v>568.51246394218981</c:v>
                </c:pt>
                <c:pt idx="420">
                  <c:v>570.76429196008348</c:v>
                </c:pt>
                <c:pt idx="421">
                  <c:v>572.99989746081837</c:v>
                </c:pt>
                <c:pt idx="422">
                  <c:v>575.21926848024896</c:v>
                </c:pt>
                <c:pt idx="423">
                  <c:v>577.42239650480269</c:v>
                </c:pt>
                <c:pt idx="424">
                  <c:v>579.60927640115722</c:v>
                </c:pt>
                <c:pt idx="425">
                  <c:v>581.77990634604771</c:v>
                </c:pt>
                <c:pt idx="426">
                  <c:v>583.9342877562508</c:v>
                </c:pt>
                <c:pt idx="427">
                  <c:v>586.07242521879061</c:v>
                </c:pt>
                <c:pt idx="428">
                  <c:v>588.19432642140976</c:v>
                </c:pt>
                <c:pt idx="429">
                  <c:v>590.30000208334627</c:v>
                </c:pt>
                <c:pt idx="430">
                  <c:v>592.38946588645615</c:v>
                </c:pt>
                <c:pt idx="431">
                  <c:v>594.46273440671814</c:v>
                </c:pt>
                <c:pt idx="432">
                  <c:v>596.51982704615773</c:v>
                </c:pt>
                <c:pt idx="433">
                  <c:v>598.56076596522234</c:v>
                </c:pt>
                <c:pt idx="434">
                  <c:v>600.58557601564189</c:v>
                </c:pt>
                <c:pt idx="435">
                  <c:v>602.59428467380269</c:v>
                </c:pt>
                <c:pt idx="436">
                  <c:v>604.58692197466598</c:v>
                </c:pt>
                <c:pt idx="437">
                  <c:v>606.56352044625589</c:v>
                </c:pt>
                <c:pt idx="438">
                  <c:v>608.52411504474389</c:v>
                </c:pt>
                <c:pt idx="439">
                  <c:v>610.46874309015334</c:v>
                </c:pt>
                <c:pt idx="440">
                  <c:v>612.39744420270586</c:v>
                </c:pt>
                <c:pt idx="441">
                  <c:v>614.31026023983168</c:v>
                </c:pt>
                <c:pt idx="442">
                  <c:v>616.20723523386312</c:v>
                </c:pt>
                <c:pt idx="443">
                  <c:v>618.08841533042892</c:v>
                </c:pt>
                <c:pt idx="444">
                  <c:v>619.95384872756722</c:v>
                </c:pt>
                <c:pt idx="445">
                  <c:v>621.80358561557216</c:v>
                </c:pt>
                <c:pt idx="446">
                  <c:v>623.63767811758896</c:v>
                </c:pt>
                <c:pt idx="447">
                  <c:v>625.45618023097006</c:v>
                </c:pt>
                <c:pt idx="448">
                  <c:v>627.25914776940499</c:v>
                </c:pt>
                <c:pt idx="449">
                  <c:v>629.04663830583399</c:v>
                </c:pt>
                <c:pt idx="450">
                  <c:v>630.81871111615635</c:v>
                </c:pt>
                <c:pt idx="451">
                  <c:v>632.57542712374072</c:v>
                </c:pt>
                <c:pt idx="452">
                  <c:v>634.31684884474646</c:v>
                </c:pt>
                <c:pt idx="453">
                  <c:v>636.0430403342616</c:v>
                </c:pt>
                <c:pt idx="454">
                  <c:v>637.75406713326447</c:v>
                </c:pt>
                <c:pt idx="455">
                  <c:v>639.44999621641227</c:v>
                </c:pt>
                <c:pt idx="456">
                  <c:v>641.1308959406623</c:v>
                </c:pt>
                <c:pt idx="457">
                  <c:v>642.79683599472787</c:v>
                </c:pt>
                <c:pt idx="458">
                  <c:v>644.44788734937163</c:v>
                </c:pt>
                <c:pt idx="459">
                  <c:v>646.08412220853791</c:v>
                </c:pt>
                <c:pt idx="460">
                  <c:v>647.7056139613253</c:v>
                </c:pt>
                <c:pt idx="461">
                  <c:v>649.3124371347991</c:v>
                </c:pt>
                <c:pt idx="462">
                  <c:v>650.90466734764357</c:v>
                </c:pt>
                <c:pt idx="463">
                  <c:v>652.48238126465276</c:v>
                </c:pt>
                <c:pt idx="464">
                  <c:v>654.04565655205818</c:v>
                </c:pt>
                <c:pt idx="465">
                  <c:v>655.59457183369079</c:v>
                </c:pt>
                <c:pt idx="466">
                  <c:v>657.12920664797525</c:v>
                </c:pt>
                <c:pt idx="467">
                  <c:v>658.64964140575194</c:v>
                </c:pt>
                <c:pt idx="468">
                  <c:v>660.15595734892361</c:v>
                </c:pt>
                <c:pt idx="469">
                  <c:v>661.64823650992253</c:v>
                </c:pt>
                <c:pt idx="470">
                  <c:v>663.1265616719927</c:v>
                </c:pt>
                <c:pt idx="471">
                  <c:v>664.59101633028229</c:v>
                </c:pt>
                <c:pt idx="472">
                  <c:v>666.04168465374062</c:v>
                </c:pt>
                <c:pt idx="473">
                  <c:v>667.47865144781383</c:v>
                </c:pt>
                <c:pt idx="474">
                  <c:v>668.90200211793308</c:v>
                </c:pt>
                <c:pt idx="475">
                  <c:v>670.31182263378821</c:v>
                </c:pt>
                <c:pt idx="476">
                  <c:v>671.70819949437987</c:v>
                </c:pt>
                <c:pt idx="477">
                  <c:v>673.09121969384398</c:v>
                </c:pt>
                <c:pt idx="478">
                  <c:v>674.4609706880392</c:v>
                </c:pt>
                <c:pt idx="479">
                  <c:v>675.81754036189147</c:v>
                </c:pt>
                <c:pt idx="480">
                  <c:v>677.1610169974864</c:v>
                </c:pt>
                <c:pt idx="481">
                  <c:v>678.49148924290182</c:v>
                </c:pt>
                <c:pt idx="482">
                  <c:v>679.80904608177207</c:v>
                </c:pt>
                <c:pt idx="483">
                  <c:v>681.11377680357532</c:v>
                </c:pt>
                <c:pt idx="484">
                  <c:v>682.40577097463529</c:v>
                </c:pt>
                <c:pt idx="485">
                  <c:v>683.68511840982887</c:v>
                </c:pt>
                <c:pt idx="486">
                  <c:v>684.9519091449896</c:v>
                </c:pt>
                <c:pt idx="487">
                  <c:v>686.20623340999873</c:v>
                </c:pt>
                <c:pt idx="488">
                  <c:v>687.44818160255488</c:v>
                </c:pt>
                <c:pt idx="489">
                  <c:v>688.67784426261176</c:v>
                </c:pt>
                <c:pt idx="490">
                  <c:v>689.89531204747539</c:v>
                </c:pt>
                <c:pt idx="491">
                  <c:v>691.10067570755177</c:v>
                </c:pt>
                <c:pt idx="492">
                  <c:v>692.29402606273413</c:v>
                </c:pt>
                <c:pt idx="493">
                  <c:v>693.47545397942099</c:v>
                </c:pt>
                <c:pt idx="494">
                  <c:v>694.64505034815579</c:v>
                </c:pt>
                <c:pt idx="495">
                  <c:v>695.80290606187725</c:v>
                </c:pt>
                <c:pt idx="496">
                  <c:v>696.9491119947719</c:v>
                </c:pt>
                <c:pt idx="497">
                  <c:v>698.08375898171846</c:v>
                </c:pt>
                <c:pt idx="498">
                  <c:v>699.20693779831424</c:v>
                </c:pt>
                <c:pt idx="499">
                  <c:v>700.31873914147457</c:v>
                </c:pt>
                <c:pt idx="500">
                  <c:v>701.41925361059486</c:v>
                </c:pt>
                <c:pt idx="501">
                  <c:v>702.50857168926598</c:v>
                </c:pt>
                <c:pt idx="502">
                  <c:v>703.5867837275332</c:v>
                </c:pt>
                <c:pt idx="503">
                  <c:v>704.65397992468911</c:v>
                </c:pt>
                <c:pt idx="504">
                  <c:v>705.71025031259103</c:v>
                </c:pt>
                <c:pt idx="505">
                  <c:v>706.7556847394934</c:v>
                </c:pt>
                <c:pt idx="506">
                  <c:v>707.79037285438517</c:v>
                </c:pt>
                <c:pt idx="507">
                  <c:v>708.81440409182392</c:v>
                </c:pt>
                <c:pt idx="508">
                  <c:v>709.82786765725598</c:v>
                </c:pt>
                <c:pt idx="509">
                  <c:v>710.83085251281432</c:v>
                </c:pt>
                <c:pt idx="510">
                  <c:v>711.82344736358459</c:v>
                </c:pt>
                <c:pt idx="511">
                  <c:v>712.80574064432983</c:v>
                </c:pt>
                <c:pt idx="512">
                  <c:v>713.77782050666553</c:v>
                </c:pt>
                <c:pt idx="513">
                  <c:v>714.73977480667543</c:v>
                </c:pt>
                <c:pt idx="514">
                  <c:v>715.69169109295933</c:v>
                </c:pt>
                <c:pt idx="515">
                  <c:v>716.63365659510441</c:v>
                </c:pt>
                <c:pt idx="516">
                  <c:v>717.56575821257081</c:v>
                </c:pt>
                <c:pt idx="517">
                  <c:v>718.48808250398292</c:v>
                </c:pt>
                <c:pt idx="518">
                  <c:v>719.40071567681855</c:v>
                </c:pt>
                <c:pt idx="519">
                  <c:v>720.30374357748622</c:v>
                </c:pt>
                <c:pt idx="520">
                  <c:v>721.19725168178388</c:v>
                </c:pt>
                <c:pt idx="521">
                  <c:v>722.08132508572908</c:v>
                </c:pt>
                <c:pt idx="522">
                  <c:v>722.95604849675374</c:v>
                </c:pt>
                <c:pt idx="523">
                  <c:v>723.82150622525512</c:v>
                </c:pt>
                <c:pt idx="524">
                  <c:v>724.67778217649447</c:v>
                </c:pt>
                <c:pt idx="525">
                  <c:v>725.52495984283655</c:v>
                </c:pt>
                <c:pt idx="526">
                  <c:v>726.36312229632119</c:v>
                </c:pt>
                <c:pt idx="527">
                  <c:v>727.19235218156064</c:v>
                </c:pt>
                <c:pt idx="528">
                  <c:v>728.01273170895331</c:v>
                </c:pt>
                <c:pt idx="529">
                  <c:v>728.82434264820881</c:v>
                </c:pt>
                <c:pt idx="530">
                  <c:v>729.62726632217459</c:v>
                </c:pt>
                <c:pt idx="531">
                  <c:v>730.42158360095925</c:v>
                </c:pt>
                <c:pt idx="532">
                  <c:v>731.20737489634348</c:v>
                </c:pt>
                <c:pt idx="533">
                  <c:v>731.98472015647326</c:v>
                </c:pt>
                <c:pt idx="534">
                  <c:v>732.75369886082728</c:v>
                </c:pt>
                <c:pt idx="535">
                  <c:v>733.51439001545248</c:v>
                </c:pt>
                <c:pt idx="536">
                  <c:v>734.26687214846129</c:v>
                </c:pt>
                <c:pt idx="537">
                  <c:v>735.01122330578289</c:v>
                </c:pt>
                <c:pt idx="538">
                  <c:v>735.74752104716379</c:v>
                </c:pt>
                <c:pt idx="539">
                  <c:v>736.47584244240966</c:v>
                </c:pt>
                <c:pt idx="540">
                  <c:v>737.19626406786358</c:v>
                </c:pt>
                <c:pt idx="541">
                  <c:v>737.908862003114</c:v>
                </c:pt>
                <c:pt idx="542">
                  <c:v>738.61371182792618</c:v>
                </c:pt>
                <c:pt idx="543">
                  <c:v>739.31088861939213</c:v>
                </c:pt>
                <c:pt idx="544">
                  <c:v>740.0004669492921</c:v>
                </c:pt>
                <c:pt idx="545">
                  <c:v>740.68252088166309</c:v>
                </c:pt>
                <c:pt idx="546">
                  <c:v>741.35712397056795</c:v>
                </c:pt>
                <c:pt idx="547">
                  <c:v>742.02434925805994</c:v>
                </c:pt>
                <c:pt idx="548">
                  <c:v>742.6842692723377</c:v>
                </c:pt>
                <c:pt idx="549">
                  <c:v>743.33695602608486</c:v>
                </c:pt>
                <c:pt idx="550">
                  <c:v>743.98248101498928</c:v>
                </c:pt>
                <c:pt idx="551">
                  <c:v>744.62091521643708</c:v>
                </c:pt>
                <c:pt idx="552">
                  <c:v>745.25232908837643</c:v>
                </c:pt>
                <c:pt idx="553">
                  <c:v>745.87679256834588</c:v>
                </c:pt>
                <c:pt idx="554">
                  <c:v>746.49437507266316</c:v>
                </c:pt>
                <c:pt idx="555">
                  <c:v>747.10514549576908</c:v>
                </c:pt>
                <c:pt idx="556">
                  <c:v>747.70917220972217</c:v>
                </c:pt>
                <c:pt idx="557">
                  <c:v>748.30652306384013</c:v>
                </c:pt>
                <c:pt idx="558">
                  <c:v>748.89726538448269</c:v>
                </c:pt>
                <c:pt idx="559">
                  <c:v>749.48146597497271</c:v>
                </c:pt>
                <c:pt idx="560">
                  <c:v>750.05919111565004</c:v>
                </c:pt>
                <c:pt idx="561">
                  <c:v>750.63050656405562</c:v>
                </c:pt>
                <c:pt idx="562">
                  <c:v>751.1954775552399</c:v>
                </c:pt>
                <c:pt idx="563">
                  <c:v>751.75416880219359</c:v>
                </c:pt>
                <c:pt idx="564">
                  <c:v>752.30664449639494</c:v>
                </c:pt>
                <c:pt idx="565">
                  <c:v>752.85296830847153</c:v>
                </c:pt>
                <c:pt idx="566">
                  <c:v>753.39320338897198</c:v>
                </c:pt>
                <c:pt idx="567">
                  <c:v>753.92741236924371</c:v>
                </c:pt>
                <c:pt idx="568">
                  <c:v>754.45565736241383</c:v>
                </c:pt>
                <c:pt idx="569">
                  <c:v>754.97799996446952</c:v>
                </c:pt>
                <c:pt idx="570">
                  <c:v>755.49450125543456</c:v>
                </c:pt>
                <c:pt idx="571">
                  <c:v>756.00522180063808</c:v>
                </c:pt>
                <c:pt idx="572">
                  <c:v>756.51022165207371</c:v>
                </c:pt>
                <c:pt idx="573">
                  <c:v>757.00956034984449</c:v>
                </c:pt>
                <c:pt idx="574">
                  <c:v>757.50329692369121</c:v>
                </c:pt>
                <c:pt idx="575">
                  <c:v>757.99148989460127</c:v>
                </c:pt>
                <c:pt idx="576">
                  <c:v>758.47419727649469</c:v>
                </c:pt>
                <c:pt idx="577">
                  <c:v>758.95147657798475</c:v>
                </c:pt>
                <c:pt idx="578">
                  <c:v>759.4233848042104</c:v>
                </c:pt>
                <c:pt idx="579">
                  <c:v>759.88997845873757</c:v>
                </c:pt>
                <c:pt idx="580">
                  <c:v>760.35131354552664</c:v>
                </c:pt>
                <c:pt idx="581">
                  <c:v>760.80744557096386</c:v>
                </c:pt>
                <c:pt idx="582">
                  <c:v>761.25842954595396</c:v>
                </c:pt>
                <c:pt idx="583">
                  <c:v>761.70431998807123</c:v>
                </c:pt>
                <c:pt idx="584">
                  <c:v>762.14517092376707</c:v>
                </c:pt>
                <c:pt idx="585">
                  <c:v>762.58103589063171</c:v>
                </c:pt>
                <c:pt idx="586">
                  <c:v>763.01196793970678</c:v>
                </c:pt>
                <c:pt idx="587">
                  <c:v>763.43801963784813</c:v>
                </c:pt>
                <c:pt idx="588">
                  <c:v>763.85924307013556</c:v>
                </c:pt>
                <c:pt idx="589">
                  <c:v>764.27568984232744</c:v>
                </c:pt>
                <c:pt idx="590">
                  <c:v>764.68741108335848</c:v>
                </c:pt>
                <c:pt idx="591">
                  <c:v>765.09445744787865</c:v>
                </c:pt>
                <c:pt idx="592">
                  <c:v>765.49687911883109</c:v>
                </c:pt>
                <c:pt idx="593">
                  <c:v>765.8947258100668</c:v>
                </c:pt>
                <c:pt idx="594">
                  <c:v>766.28804676899506</c:v>
                </c:pt>
                <c:pt idx="595">
                  <c:v>766.67689077926707</c:v>
                </c:pt>
                <c:pt idx="596">
                  <c:v>767.06130616349105</c:v>
                </c:pt>
                <c:pt idx="597">
                  <c:v>767.4413407859779</c:v>
                </c:pt>
                <c:pt idx="598">
                  <c:v>767.81704205551432</c:v>
                </c:pt>
                <c:pt idx="599">
                  <c:v>768.18845692816319</c:v>
                </c:pt>
                <c:pt idx="600">
                  <c:v>768.55563191008901</c:v>
                </c:pt>
                <c:pt idx="601">
                  <c:v>768.91861306040641</c:v>
                </c:pt>
                <c:pt idx="602">
                  <c:v>769.27744599405105</c:v>
                </c:pt>
                <c:pt idx="603">
                  <c:v>769.63217588467103</c:v>
                </c:pt>
                <c:pt idx="604">
                  <c:v>769.98284746753745</c:v>
                </c:pt>
                <c:pt idx="605">
                  <c:v>770.32950504247276</c:v>
                </c:pt>
                <c:pt idx="606">
                  <c:v>770.67219247679554</c:v>
                </c:pt>
                <c:pt idx="607">
                  <c:v>771.01095320828017</c:v>
                </c:pt>
                <c:pt idx="608">
                  <c:v>771.34583024813105</c:v>
                </c:pt>
                <c:pt idx="609">
                  <c:v>771.67686618396874</c:v>
                </c:pt>
                <c:pt idx="610">
                  <c:v>772.0041031828282</c:v>
                </c:pt>
                <c:pt idx="611">
                  <c:v>772.32758299416673</c:v>
                </c:pt>
                <c:pt idx="612">
                  <c:v>772.64734695288189</c:v>
                </c:pt>
                <c:pt idx="613">
                  <c:v>772.96343598233659</c:v>
                </c:pt>
                <c:pt idx="614">
                  <c:v>773.27589059739205</c:v>
                </c:pt>
                <c:pt idx="615">
                  <c:v>773.58475090744662</c:v>
                </c:pt>
                <c:pt idx="616">
                  <c:v>773.89005661947931</c:v>
                </c:pt>
                <c:pt idx="617">
                  <c:v>774.19184704109784</c:v>
                </c:pt>
                <c:pt idx="618">
                  <c:v>774.49016108358944</c:v>
                </c:pt>
                <c:pt idx="619">
                  <c:v>774.78503726497456</c:v>
                </c:pt>
                <c:pt idx="620">
                  <c:v>775.0765137130611</c:v>
                </c:pt>
                <c:pt idx="621">
                  <c:v>775.36462816849996</c:v>
                </c:pt>
                <c:pt idx="622">
                  <c:v>775.64941798784014</c:v>
                </c:pt>
                <c:pt idx="623">
                  <c:v>775.93092014658225</c:v>
                </c:pt>
                <c:pt idx="624">
                  <c:v>776.20917124223126</c:v>
                </c:pt>
                <c:pt idx="625">
                  <c:v>776.48420749734544</c:v>
                </c:pt>
                <c:pt idx="626">
                  <c:v>776.75606476258304</c:v>
                </c:pt>
                <c:pt idx="627">
                  <c:v>777.0247785197447</c:v>
                </c:pt>
                <c:pt idx="628">
                  <c:v>777.29038388481092</c:v>
                </c:pt>
                <c:pt idx="629">
                  <c:v>777.55291561097454</c:v>
                </c:pt>
                <c:pt idx="630">
                  <c:v>777.81240809166752</c:v>
                </c:pt>
                <c:pt idx="631">
                  <c:v>778.06889536358085</c:v>
                </c:pt>
                <c:pt idx="632">
                  <c:v>778.32241110967755</c:v>
                </c:pt>
                <c:pt idx="633">
                  <c:v>778.5729886621981</c:v>
                </c:pt>
                <c:pt idx="634">
                  <c:v>778.8206610056576</c:v>
                </c:pt>
                <c:pt idx="635">
                  <c:v>779.06546077983432</c:v>
                </c:pt>
                <c:pt idx="636">
                  <c:v>779.30742028274915</c:v>
                </c:pt>
                <c:pt idx="637">
                  <c:v>779.54657147363514</c:v>
                </c:pt>
                <c:pt idx="638">
                  <c:v>779.78294597589718</c:v>
                </c:pt>
                <c:pt idx="639">
                  <c:v>780.0165750800611</c:v>
                </c:pt>
                <c:pt idx="640">
                  <c:v>780.24748974671138</c:v>
                </c:pt>
                <c:pt idx="641">
                  <c:v>780.47572060941809</c:v>
                </c:pt>
                <c:pt idx="642">
                  <c:v>780.70129797765173</c:v>
                </c:pt>
                <c:pt idx="643">
                  <c:v>780.92425183968567</c:v>
                </c:pt>
                <c:pt idx="644">
                  <c:v>781.14461186548635</c:v>
                </c:pt>
                <c:pt idx="645">
                  <c:v>781.36240740959079</c:v>
                </c:pt>
                <c:pt idx="646">
                  <c:v>781.57766751397037</c:v>
                </c:pt>
                <c:pt idx="647">
                  <c:v>781.79042091088161</c:v>
                </c:pt>
                <c:pt idx="648">
                  <c:v>782.00069602570261</c:v>
                </c:pt>
                <c:pt idx="649">
                  <c:v>782.20852097975592</c:v>
                </c:pt>
                <c:pt idx="650">
                  <c:v>782.41392359311646</c:v>
                </c:pt>
                <c:pt idx="651">
                  <c:v>782.61693138740554</c:v>
                </c:pt>
                <c:pt idx="652">
                  <c:v>782.81757158856908</c:v>
                </c:pt>
                <c:pt idx="653">
                  <c:v>783.01587112964148</c:v>
                </c:pt>
                <c:pt idx="654">
                  <c:v>783.21185665349333</c:v>
                </c:pt>
                <c:pt idx="655">
                  <c:v>783.40555451556463</c:v>
                </c:pt>
                <c:pt idx="656">
                  <c:v>783.59699078658093</c:v>
                </c:pt>
                <c:pt idx="657">
                  <c:v>783.78619125525472</c:v>
                </c:pt>
                <c:pt idx="658">
                  <c:v>783.9731814309697</c:v>
                </c:pt>
                <c:pt idx="659">
                  <c:v>784.15798654644937</c:v>
                </c:pt>
                <c:pt idx="660">
                  <c:v>784.34063156040872</c:v>
                </c:pt>
                <c:pt idx="661">
                  <c:v>784.52114116018959</c:v>
                </c:pt>
                <c:pt idx="662">
                  <c:v>784.6995397643791</c:v>
                </c:pt>
                <c:pt idx="663">
                  <c:v>784.87585152541101</c:v>
                </c:pt>
                <c:pt idx="664">
                  <c:v>785.05010033215035</c:v>
                </c:pt>
                <c:pt idx="665">
                  <c:v>785.22230981246071</c:v>
                </c:pt>
                <c:pt idx="666">
                  <c:v>785.39250333575444</c:v>
                </c:pt>
                <c:pt idx="667">
                  <c:v>785.56070401552529</c:v>
                </c:pt>
                <c:pt idx="668">
                  <c:v>785.72693471186346</c:v>
                </c:pt>
                <c:pt idx="669">
                  <c:v>785.89121803395358</c:v>
                </c:pt>
                <c:pt idx="670">
                  <c:v>786.05357634255495</c:v>
                </c:pt>
                <c:pt idx="671">
                  <c:v>786.21403175246382</c:v>
                </c:pt>
                <c:pt idx="672">
                  <c:v>786.372606134958</c:v>
                </c:pt>
                <c:pt idx="673">
                  <c:v>786.52932112022404</c:v>
                </c:pt>
                <c:pt idx="674">
                  <c:v>786.68419809976626</c:v>
                </c:pt>
                <c:pt idx="675">
                  <c:v>786.83725822879785</c:v>
                </c:pt>
                <c:pt idx="676">
                  <c:v>786.98852242861437</c:v>
                </c:pt>
                <c:pt idx="677">
                  <c:v>787.13801138894883</c:v>
                </c:pt>
                <c:pt idx="678">
                  <c:v>787.28574557030936</c:v>
                </c:pt>
                <c:pt idx="679">
                  <c:v>787.43174520629839</c:v>
                </c:pt>
                <c:pt idx="680">
                  <c:v>787.5760303059144</c:v>
                </c:pt>
                <c:pt idx="681">
                  <c:v>787.7186206558348</c:v>
                </c:pt>
                <c:pt idx="682">
                  <c:v>787.85953582268178</c:v>
                </c:pt>
                <c:pt idx="683">
                  <c:v>787.99879515526959</c:v>
                </c:pt>
                <c:pt idx="684">
                  <c:v>788.13641778683382</c:v>
                </c:pt>
                <c:pt idx="685">
                  <c:v>788.27242263724281</c:v>
                </c:pt>
                <c:pt idx="686">
                  <c:v>788.40682841519117</c:v>
                </c:pt>
                <c:pt idx="687">
                  <c:v>788.53965362037536</c:v>
                </c:pt>
                <c:pt idx="688">
                  <c:v>788.67091654565104</c:v>
                </c:pt>
                <c:pt idx="689">
                  <c:v>788.80063527917287</c:v>
                </c:pt>
                <c:pt idx="690">
                  <c:v>788.92882770651647</c:v>
                </c:pt>
                <c:pt idx="691">
                  <c:v>789.05551151278212</c:v>
                </c:pt>
                <c:pt idx="692">
                  <c:v>789.18070418468119</c:v>
                </c:pt>
                <c:pt idx="693">
                  <c:v>789.30442301260439</c:v>
                </c:pt>
                <c:pt idx="694">
                  <c:v>789.42668509267276</c:v>
                </c:pt>
                <c:pt idx="695">
                  <c:v>789.54750732877062</c:v>
                </c:pt>
                <c:pt idx="696">
                  <c:v>789.66690643456127</c:v>
                </c:pt>
                <c:pt idx="697">
                  <c:v>789.78489893548488</c:v>
                </c:pt>
                <c:pt idx="698">
                  <c:v>789.90150117073892</c:v>
                </c:pt>
                <c:pt idx="699">
                  <c:v>790.01672929524159</c:v>
                </c:pt>
                <c:pt idx="700">
                  <c:v>790.13059928157702</c:v>
                </c:pt>
                <c:pt idx="701">
                  <c:v>790.24312692192427</c:v>
                </c:pt>
                <c:pt idx="702">
                  <c:v>790.35432782996827</c:v>
                </c:pt>
                <c:pt idx="703">
                  <c:v>790.46421744279394</c:v>
                </c:pt>
                <c:pt idx="704">
                  <c:v>790.5728110227634</c:v>
                </c:pt>
                <c:pt idx="705">
                  <c:v>790.68012365937591</c:v>
                </c:pt>
                <c:pt idx="706">
                  <c:v>790.78617027111079</c:v>
                </c:pt>
                <c:pt idx="707">
                  <c:v>790.89096560725386</c:v>
                </c:pt>
                <c:pt idx="708">
                  <c:v>790.99452424970707</c:v>
                </c:pt>
                <c:pt idx="709">
                  <c:v>791.09686061478112</c:v>
                </c:pt>
                <c:pt idx="710">
                  <c:v>791.19798895497183</c:v>
                </c:pt>
                <c:pt idx="711">
                  <c:v>791.29792336071978</c:v>
                </c:pt>
                <c:pt idx="712">
                  <c:v>791.39667776215379</c:v>
                </c:pt>
                <c:pt idx="713">
                  <c:v>791.49426593081785</c:v>
                </c:pt>
                <c:pt idx="714">
                  <c:v>791.59070148138187</c:v>
                </c:pt>
                <c:pt idx="715">
                  <c:v>791.68599787333619</c:v>
                </c:pt>
                <c:pt idx="716">
                  <c:v>791.78016841267038</c:v>
                </c:pt>
                <c:pt idx="717">
                  <c:v>791.87322625353579</c:v>
                </c:pt>
                <c:pt idx="718">
                  <c:v>791.96518439989211</c:v>
                </c:pt>
                <c:pt idx="719">
                  <c:v>792.05605570713863</c:v>
                </c:pt>
                <c:pt idx="720">
                  <c:v>792.14585288372939</c:v>
                </c:pt>
                <c:pt idx="721">
                  <c:v>792.23458849277301</c:v>
                </c:pt>
                <c:pt idx="722">
                  <c:v>792.32227495361701</c:v>
                </c:pt>
                <c:pt idx="723">
                  <c:v>792.40892454341656</c:v>
                </c:pt>
                <c:pt idx="724">
                  <c:v>792.49454939868838</c:v>
                </c:pt>
                <c:pt idx="725">
                  <c:v>792.5791615168489</c:v>
                </c:pt>
                <c:pt idx="726">
                  <c:v>792.66277275773803</c:v>
                </c:pt>
                <c:pt idx="727">
                  <c:v>792.74539484512752</c:v>
                </c:pt>
                <c:pt idx="728">
                  <c:v>792.8270393682144</c:v>
                </c:pt>
                <c:pt idx="729">
                  <c:v>792.9077177831</c:v>
                </c:pt>
                <c:pt idx="730">
                  <c:v>792.98744141425402</c:v>
                </c:pt>
                <c:pt idx="731">
                  <c:v>793.06622145596441</c:v>
                </c:pt>
                <c:pt idx="732">
                  <c:v>793.14406897377228</c:v>
                </c:pt>
                <c:pt idx="733">
                  <c:v>793.22099490589312</c:v>
                </c:pt>
                <c:pt idx="734">
                  <c:v>793.29701006462312</c:v>
                </c:pt>
                <c:pt idx="735">
                  <c:v>793.37212513773193</c:v>
                </c:pt>
                <c:pt idx="736">
                  <c:v>793.4463506898411</c:v>
                </c:pt>
                <c:pt idx="737">
                  <c:v>793.51969716378869</c:v>
                </c:pt>
                <c:pt idx="738">
                  <c:v>793.5921748819801</c:v>
                </c:pt>
                <c:pt idx="739">
                  <c:v>793.66379404772522</c:v>
                </c:pt>
                <c:pt idx="740">
                  <c:v>793.73456474656177</c:v>
                </c:pt>
                <c:pt idx="741">
                  <c:v>793.80449694756555</c:v>
                </c:pt>
                <c:pt idx="742">
                  <c:v>793.8736005046469</c:v>
                </c:pt>
                <c:pt idx="743">
                  <c:v>793.94188515783435</c:v>
                </c:pt>
                <c:pt idx="744">
                  <c:v>794.0093605345445</c:v>
                </c:pt>
                <c:pt idx="745">
                  <c:v>794.07603615083951</c:v>
                </c:pt>
                <c:pt idx="746">
                  <c:v>794.14192141267119</c:v>
                </c:pt>
                <c:pt idx="747">
                  <c:v>794.20702561711232</c:v>
                </c:pt>
                <c:pt idx="748">
                  <c:v>794.27135795357526</c:v>
                </c:pt>
                <c:pt idx="749">
                  <c:v>794.33492750501819</c:v>
                </c:pt>
                <c:pt idx="750">
                  <c:v>794.39774324913833</c:v>
                </c:pt>
                <c:pt idx="751">
                  <c:v>794.45981405955308</c:v>
                </c:pt>
                <c:pt idx="752">
                  <c:v>794.52114870696892</c:v>
                </c:pt>
                <c:pt idx="753">
                  <c:v>794.58175586033781</c:v>
                </c:pt>
                <c:pt idx="754">
                  <c:v>794.6416440880015</c:v>
                </c:pt>
                <c:pt idx="755">
                  <c:v>794.70082185882427</c:v>
                </c:pt>
                <c:pt idx="756">
                  <c:v>794.75929754331321</c:v>
                </c:pt>
                <c:pt idx="757">
                  <c:v>794.81707941472712</c:v>
                </c:pt>
                <c:pt idx="758">
                  <c:v>794.87417565017336</c:v>
                </c:pt>
                <c:pt idx="759">
                  <c:v>794.93059433169367</c:v>
                </c:pt>
                <c:pt idx="760">
                  <c:v>794.98634344733784</c:v>
                </c:pt>
                <c:pt idx="761">
                  <c:v>795.04143089222634</c:v>
                </c:pt>
                <c:pt idx="762">
                  <c:v>795.09586446960202</c:v>
                </c:pt>
                <c:pt idx="763">
                  <c:v>795.14965189186978</c:v>
                </c:pt>
                <c:pt idx="764">
                  <c:v>795.20280078162602</c:v>
                </c:pt>
                <c:pt idx="765">
                  <c:v>795.25531867267648</c:v>
                </c:pt>
                <c:pt idx="766">
                  <c:v>795.30721301104359</c:v>
                </c:pt>
                <c:pt idx="767">
                  <c:v>795.35849115596307</c:v>
                </c:pt>
                <c:pt idx="768">
                  <c:v>795.40916038086948</c:v>
                </c:pt>
                <c:pt idx="769">
                  <c:v>795.45922787437155</c:v>
                </c:pt>
                <c:pt idx="770">
                  <c:v>795.50870074121678</c:v>
                </c:pt>
                <c:pt idx="771">
                  <c:v>795.55758600324612</c:v>
                </c:pt>
                <c:pt idx="772">
                  <c:v>795.60589060033749</c:v>
                </c:pt>
                <c:pt idx="773">
                  <c:v>795.65362139134015</c:v>
                </c:pt>
                <c:pt idx="774">
                  <c:v>795.70078515499836</c:v>
                </c:pt>
                <c:pt idx="775">
                  <c:v>795.74738859086494</c:v>
                </c:pt>
                <c:pt idx="776">
                  <c:v>795.79343832020538</c:v>
                </c:pt>
                <c:pt idx="777">
                  <c:v>795.83894088689192</c:v>
                </c:pt>
                <c:pt idx="778">
                  <c:v>795.88390275828795</c:v>
                </c:pt>
                <c:pt idx="779">
                  <c:v>795.92833032612248</c:v>
                </c:pt>
                <c:pt idx="780">
                  <c:v>795.97222990735565</c:v>
                </c:pt>
                <c:pt idx="781">
                  <c:v>796.01560774503457</c:v>
                </c:pt>
                <c:pt idx="782">
                  <c:v>796.05847000913957</c:v>
                </c:pt>
                <c:pt idx="783">
                  <c:v>796.10082279742142</c:v>
                </c:pt>
                <c:pt idx="784">
                  <c:v>796.14267213622952</c:v>
                </c:pt>
                <c:pt idx="785">
                  <c:v>796.1840239813306</c:v>
                </c:pt>
                <c:pt idx="786">
                  <c:v>796.22488421871913</c:v>
                </c:pt>
                <c:pt idx="787">
                  <c:v>796.26525866541795</c:v>
                </c:pt>
                <c:pt idx="788">
                  <c:v>796.30515307027076</c:v>
                </c:pt>
                <c:pt idx="789">
                  <c:v>796.34457311472579</c:v>
                </c:pt>
                <c:pt idx="790">
                  <c:v>796.38352441361053</c:v>
                </c:pt>
                <c:pt idx="791">
                  <c:v>796.42201251589825</c:v>
                </c:pt>
                <c:pt idx="792">
                  <c:v>796.4600429054658</c:v>
                </c:pt>
                <c:pt idx="793">
                  <c:v>796.49762100184341</c:v>
                </c:pt>
                <c:pt idx="794">
                  <c:v>796.53475216095569</c:v>
                </c:pt>
                <c:pt idx="795">
                  <c:v>796.57144167585466</c:v>
                </c:pt>
                <c:pt idx="796">
                  <c:v>796.60769477744486</c:v>
                </c:pt>
                <c:pt idx="797">
                  <c:v>796.64351663520029</c:v>
                </c:pt>
                <c:pt idx="798">
                  <c:v>796.67891235787295</c:v>
                </c:pt>
                <c:pt idx="799">
                  <c:v>796.71388699419424</c:v>
                </c:pt>
                <c:pt idx="800">
                  <c:v>796.74844553356809</c:v>
                </c:pt>
                <c:pt idx="801">
                  <c:v>796.78259290675635</c:v>
                </c:pt>
                <c:pt idx="802">
                  <c:v>796.81633398655686</c:v>
                </c:pt>
                <c:pt idx="803">
                  <c:v>796.84967358847359</c:v>
                </c:pt>
                <c:pt idx="804">
                  <c:v>796.88261647137961</c:v>
                </c:pt>
                <c:pt idx="805">
                  <c:v>796.9151673381723</c:v>
                </c:pt>
                <c:pt idx="806">
                  <c:v>796.94733083642177</c:v>
                </c:pt>
                <c:pt idx="807">
                  <c:v>796.97911155901136</c:v>
                </c:pt>
                <c:pt idx="808">
                  <c:v>797.01051404477141</c:v>
                </c:pt>
                <c:pt idx="809">
                  <c:v>797.04154277910573</c:v>
                </c:pt>
                <c:pt idx="810">
                  <c:v>797.07220219461135</c:v>
                </c:pt>
                <c:pt idx="811">
                  <c:v>797.1024966716908</c:v>
                </c:pt>
                <c:pt idx="812">
                  <c:v>797.13243053915778</c:v>
                </c:pt>
                <c:pt idx="813">
                  <c:v>797.16200807483631</c:v>
                </c:pt>
                <c:pt idx="814">
                  <c:v>797.19123350615234</c:v>
                </c:pt>
                <c:pt idx="815">
                  <c:v>797.22011101071973</c:v>
                </c:pt>
                <c:pt idx="816">
                  <c:v>797.24864471691865</c:v>
                </c:pt>
                <c:pt idx="817">
                  <c:v>797.2768387044681</c:v>
                </c:pt>
                <c:pt idx="818">
                  <c:v>797.30469700499168</c:v>
                </c:pt>
                <c:pt idx="819">
                  <c:v>797.33222360257696</c:v>
                </c:pt>
                <c:pt idx="820">
                  <c:v>797.35942243432885</c:v>
                </c:pt>
                <c:pt idx="821">
                  <c:v>797.38629739091607</c:v>
                </c:pt>
                <c:pt idx="822">
                  <c:v>797.4128523171122</c:v>
                </c:pt>
                <c:pt idx="823">
                  <c:v>797.4390910123301</c:v>
                </c:pt>
                <c:pt idx="824">
                  <c:v>797.46501723115011</c:v>
                </c:pt>
                <c:pt idx="825">
                  <c:v>797.49063468384281</c:v>
                </c:pt>
                <c:pt idx="826">
                  <c:v>797.51594703688556</c:v>
                </c:pt>
                <c:pt idx="827">
                  <c:v>797.54095791347322</c:v>
                </c:pt>
                <c:pt idx="828">
                  <c:v>797.56567089402267</c:v>
                </c:pt>
                <c:pt idx="829">
                  <c:v>797.59008951667226</c:v>
                </c:pt>
                <c:pt idx="830">
                  <c:v>797.6142172777752</c:v>
                </c:pt>
                <c:pt idx="831">
                  <c:v>797.63805763238747</c:v>
                </c:pt>
                <c:pt idx="832">
                  <c:v>797.66161399474981</c:v>
                </c:pt>
                <c:pt idx="833">
                  <c:v>797.6848897387647</c:v>
                </c:pt>
                <c:pt idx="834">
                  <c:v>797.70788819846757</c:v>
                </c:pt>
                <c:pt idx="835">
                  <c:v>797.73061266849288</c:v>
                </c:pt>
                <c:pt idx="836">
                  <c:v>797.75306640453471</c:v>
                </c:pt>
                <c:pt idx="837">
                  <c:v>797.77525262380186</c:v>
                </c:pt>
                <c:pt idx="838">
                  <c:v>797.79717450546843</c:v>
                </c:pt>
                <c:pt idx="839">
                  <c:v>797.81883519111841</c:v>
                </c:pt>
                <c:pt idx="840">
                  <c:v>797.84023778518588</c:v>
                </c:pt>
                <c:pt idx="841">
                  <c:v>797.86138535538964</c:v>
                </c:pt>
                <c:pt idx="842">
                  <c:v>797.8822809331632</c:v>
                </c:pt>
                <c:pt idx="843">
                  <c:v>797.90292751407981</c:v>
                </c:pt>
                <c:pt idx="844">
                  <c:v>797.92332805827232</c:v>
                </c:pt>
                <c:pt idx="845">
                  <c:v>797.94348549084873</c:v>
                </c:pt>
                <c:pt idx="846">
                  <c:v>797.96340270230235</c:v>
                </c:pt>
                <c:pt idx="847">
                  <c:v>797.98308254891765</c:v>
                </c:pt>
                <c:pt idx="848">
                  <c:v>798.00252785317161</c:v>
                </c:pt>
                <c:pt idx="849">
                  <c:v>798.02174140413001</c:v>
                </c:pt>
                <c:pt idx="850">
                  <c:v>798.04072595783919</c:v>
                </c:pt>
                <c:pt idx="851">
                  <c:v>798.0594842377136</c:v>
                </c:pt>
                <c:pt idx="852">
                  <c:v>798.0780189349191</c:v>
                </c:pt>
                <c:pt idx="853">
                  <c:v>798.09633270875088</c:v>
                </c:pt>
                <c:pt idx="854">
                  <c:v>798.11442818700812</c:v>
                </c:pt>
                <c:pt idx="855">
                  <c:v>798.13230796636344</c:v>
                </c:pt>
                <c:pt idx="856">
                  <c:v>798.14997461272901</c:v>
                </c:pt>
                <c:pt idx="857">
                  <c:v>798.16743066161746</c:v>
                </c:pt>
                <c:pt idx="858">
                  <c:v>798.18467861849922</c:v>
                </c:pt>
                <c:pt idx="859">
                  <c:v>798.20172095915575</c:v>
                </c:pt>
                <c:pt idx="860">
                  <c:v>798.21856013002832</c:v>
                </c:pt>
                <c:pt idx="861">
                  <c:v>798.23519854856295</c:v>
                </c:pt>
                <c:pt idx="862">
                  <c:v>798.25163860355167</c:v>
                </c:pt>
                <c:pt idx="863">
                  <c:v>798.26788265546929</c:v>
                </c:pt>
                <c:pt idx="864">
                  <c:v>798.28393303680639</c:v>
                </c:pt>
                <c:pt idx="865">
                  <c:v>798.29979205239897</c:v>
                </c:pt>
                <c:pt idx="866">
                  <c:v>798.31546197975365</c:v>
                </c:pt>
                <c:pt idx="867">
                  <c:v>798.33094506936936</c:v>
                </c:pt>
                <c:pt idx="868">
                  <c:v>798.34624354505524</c:v>
                </c:pt>
                <c:pt idx="869">
                  <c:v>798.36135960424508</c:v>
                </c:pt>
                <c:pt idx="870">
                  <c:v>798.37629541830768</c:v>
                </c:pt>
                <c:pt idx="871">
                  <c:v>798.39105313285415</c:v>
                </c:pt>
                <c:pt idx="872">
                  <c:v>798.40563486804115</c:v>
                </c:pt>
                <c:pt idx="873">
                  <c:v>798.42004271887072</c:v>
                </c:pt>
                <c:pt idx="874">
                  <c:v>798.43427875548707</c:v>
                </c:pt>
                <c:pt idx="875">
                  <c:v>798.44834502346919</c:v>
                </c:pt>
                <c:pt idx="876">
                  <c:v>798.46224354412061</c:v>
                </c:pt>
                <c:pt idx="877">
                  <c:v>798.47597631475571</c:v>
                </c:pt>
                <c:pt idx="878">
                  <c:v>798.48954530898231</c:v>
                </c:pt>
                <c:pt idx="879">
                  <c:v>798.50295247698148</c:v>
                </c:pt>
                <c:pt idx="880">
                  <c:v>798.51619974578387</c:v>
                </c:pt>
                <c:pt idx="881">
                  <c:v>798.52928901954272</c:v>
                </c:pt>
                <c:pt idx="882">
                  <c:v>798.54222217980396</c:v>
                </c:pt>
                <c:pt idx="883">
                  <c:v>798.5550010857728</c:v>
                </c:pt>
                <c:pt idx="884">
                  <c:v>798.56762757457761</c:v>
                </c:pt>
                <c:pt idx="885">
                  <c:v>798.58010346153048</c:v>
                </c:pt>
                <c:pt idx="886">
                  <c:v>798.5924305403845</c:v>
                </c:pt>
                <c:pt idx="887">
                  <c:v>798.60461058358874</c:v>
                </c:pt>
                <c:pt idx="888">
                  <c:v>798.61664534253964</c:v>
                </c:pt>
                <c:pt idx="889">
                  <c:v>798.62853654782964</c:v>
                </c:pt>
                <c:pt idx="890">
                  <c:v>798.64028590949306</c:v>
                </c:pt>
                <c:pt idx="891">
                  <c:v>798.65189511724873</c:v>
                </c:pt>
                <c:pt idx="892">
                  <c:v>798.66336584074043</c:v>
                </c:pt>
                <c:pt idx="893">
                  <c:v>798.67469972977369</c:v>
                </c:pt>
                <c:pt idx="894">
                  <c:v>798.68589841455048</c:v>
                </c:pt>
                <c:pt idx="895">
                  <c:v>798.69696350590107</c:v>
                </c:pt>
                <c:pt idx="896">
                  <c:v>798.70789659551281</c:v>
                </c:pt>
                <c:pt idx="897">
                  <c:v>798.71869925615647</c:v>
                </c:pt>
                <c:pt idx="898">
                  <c:v>798.72937304191009</c:v>
                </c:pt>
                <c:pt idx="899">
                  <c:v>798.73991948837988</c:v>
                </c:pt>
                <c:pt idx="900">
                  <c:v>798.75034011291882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12800"/>
        <c:axId val="132814336"/>
      </c:scatterChart>
      <c:valAx>
        <c:axId val="132812800"/>
        <c:scaling>
          <c:orientation val="minMax"/>
          <c:max val="90"/>
          <c:min val="0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32814336"/>
        <c:crosses val="autoZero"/>
        <c:crossBetween val="midCat"/>
        <c:majorUnit val="10"/>
      </c:valAx>
      <c:valAx>
        <c:axId val="132814336"/>
        <c:scaling>
          <c:orientation val="minMax"/>
          <c:max val="1000"/>
          <c:min val="0"/>
        </c:scaling>
        <c:delete val="0"/>
        <c:axPos val="l"/>
        <c:majorGridlines/>
        <c:minorGridlines/>
        <c:numFmt formatCode="#,##0_ " sourceLinked="0"/>
        <c:majorTickMark val="out"/>
        <c:minorTickMark val="none"/>
        <c:tickLblPos val="nextTo"/>
        <c:crossAx val="132812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'第12章(演習問題)'!$B$3:$B$14</c:f>
              <c:numCache>
                <c:formatCode>General</c:formatCode>
                <c:ptCount val="12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0.60000000000000009</c:v>
                </c:pt>
                <c:pt idx="8">
                  <c:v>0.65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0.90000000000000013</c:v>
                </c:pt>
              </c:numCache>
            </c:numRef>
          </c:xVal>
          <c:yVal>
            <c:numRef>
              <c:f>'第12章(演習問題)'!$W$3:$W$14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15</c:v>
                </c:pt>
                <c:pt idx="7">
                  <c:v>19</c:v>
                </c:pt>
                <c:pt idx="8">
                  <c:v>19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81152"/>
        <c:axId val="133682688"/>
      </c:scatterChart>
      <c:valAx>
        <c:axId val="13368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682688"/>
        <c:crosses val="autoZero"/>
        <c:crossBetween val="midCat"/>
      </c:valAx>
      <c:valAx>
        <c:axId val="133682688"/>
        <c:scaling>
          <c:orientation val="minMax"/>
          <c:max val="2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681152"/>
        <c:crosses val="autoZero"/>
        <c:crossBetween val="midCat"/>
        <c:majorUnit val="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D$2" horiz="1" max="100" page="10" val="60"/>
</file>

<file path=xl/ctrlProps/ctrlProp2.xml><?xml version="1.0" encoding="utf-8"?>
<formControlPr xmlns="http://schemas.microsoft.com/office/spreadsheetml/2009/9/main" objectType="Scroll" dx="16" fmlaLink="$D$2" horiz="1" max="100" page="10" val="60"/>
</file>

<file path=xl/ctrlProps/ctrlProp3.xml><?xml version="1.0" encoding="utf-8"?>
<formControlPr xmlns="http://schemas.microsoft.com/office/spreadsheetml/2009/9/main" objectType="Scroll" dx="16" fmlaLink="$F$2" horiz="1" max="100" page="10" val="0"/>
</file>

<file path=xl/ctrlProps/ctrlProp4.xml><?xml version="1.0" encoding="utf-8"?>
<formControlPr xmlns="http://schemas.microsoft.com/office/spreadsheetml/2009/9/main" objectType="Scroll" dx="16" fmlaLink="$H$1" horiz="1" max="100" page="10" val="10"/>
</file>

<file path=xl/ctrlProps/ctrlProp5.xml><?xml version="1.0" encoding="utf-8"?>
<formControlPr xmlns="http://schemas.microsoft.com/office/spreadsheetml/2009/9/main" objectType="Scroll" dx="16" fmlaLink="$H$2" horiz="1" max="100" page="10" val="20"/>
</file>

<file path=xl/ctrlProps/ctrlProp6.xml><?xml version="1.0" encoding="utf-8"?>
<formControlPr xmlns="http://schemas.microsoft.com/office/spreadsheetml/2009/9/main" objectType="Scroll" dx="16" fmlaLink="$L$1" horiz="1" max="100" page="10" val="40"/>
</file>

<file path=xl/ctrlProps/ctrlProp7.xml><?xml version="1.0" encoding="utf-8"?>
<formControlPr xmlns="http://schemas.microsoft.com/office/spreadsheetml/2009/9/main" objectType="Scroll" dx="16" fmlaLink="$L$2" horiz="1" max="100" page="10" val="2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3</xdr:row>
      <xdr:rowOff>28575</xdr:rowOff>
    </xdr:from>
    <xdr:to>
      <xdr:col>9</xdr:col>
      <xdr:colOff>180975</xdr:colOff>
      <xdr:row>19</xdr:row>
      <xdr:rowOff>28575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20</xdr:row>
          <xdr:rowOff>133350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2</xdr:row>
      <xdr:rowOff>104775</xdr:rowOff>
    </xdr:from>
    <xdr:to>
      <xdr:col>14</xdr:col>
      <xdr:colOff>314325</xdr:colOff>
      <xdr:row>23</xdr:row>
      <xdr:rowOff>66675</xdr:rowOff>
    </xdr:to>
    <xdr:grpSp>
      <xdr:nvGrpSpPr>
        <xdr:cNvPr id="4" name="グループ化 3"/>
        <xdr:cNvGrpSpPr/>
      </xdr:nvGrpSpPr>
      <xdr:grpSpPr>
        <a:xfrm>
          <a:off x="5343525" y="476250"/>
          <a:ext cx="4572000" cy="3562350"/>
          <a:chOff x="6029325" y="476250"/>
          <a:chExt cx="4572000" cy="3562350"/>
        </a:xfrm>
      </xdr:grpSpPr>
      <xdr:grpSp>
        <xdr:nvGrpSpPr>
          <xdr:cNvPr id="3" name="グループ化 2"/>
          <xdr:cNvGrpSpPr/>
        </xdr:nvGrpSpPr>
        <xdr:grpSpPr>
          <a:xfrm>
            <a:off x="6029325" y="476250"/>
            <a:ext cx="4572000" cy="3133725"/>
            <a:chOff x="6029325" y="476250"/>
            <a:chExt cx="4572000" cy="3133725"/>
          </a:xfrm>
        </xdr:grpSpPr>
        <xdr:graphicFrame macro="">
          <xdr:nvGraphicFramePr>
            <xdr:cNvPr id="2" name="グラフ 1"/>
            <xdr:cNvGraphicFramePr>
              <a:graphicFrameLocks/>
            </xdr:cNvGraphicFramePr>
          </xdr:nvGraphicFramePr>
          <xdr:xfrm>
            <a:off x="6029325" y="476250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097" name="Scroll Bar 1" hidden="1">
                  <a:extLst>
                    <a:ext uri="{63B3BB69-23CF-44E3-9099-C40C66FF867C}">
                      <a14:compatExt spid="_x0000_s4097"/>
                    </a:ext>
                  </a:extLst>
                </xdr:cNvPr>
                <xdr:cNvSpPr/>
              </xdr:nvSpPr>
              <xdr:spPr>
                <a:xfrm>
                  <a:off x="6086475" y="3400425"/>
                  <a:ext cx="4457700" cy="209550"/>
                </a:xfrm>
                <a:prstGeom prst="rect">
                  <a:avLst/>
                </a:prstGeom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Scroll Bar 2" hidden="1">
                <a:extLst>
                  <a:ext uri="{63B3BB69-23CF-44E3-9099-C40C66FF867C}">
                    <a14:compatExt spid="_x0000_s4098"/>
                  </a:ext>
                </a:extLst>
              </xdr:cNvPr>
              <xdr:cNvSpPr/>
            </xdr:nvSpPr>
            <xdr:spPr>
              <a:xfrm>
                <a:off x="6096000" y="3781425"/>
                <a:ext cx="4448175" cy="257175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3</xdr:row>
      <xdr:rowOff>9524</xdr:rowOff>
    </xdr:from>
    <xdr:to>
      <xdr:col>13</xdr:col>
      <xdr:colOff>276224</xdr:colOff>
      <xdr:row>25</xdr:row>
      <xdr:rowOff>95249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26</xdr:row>
          <xdr:rowOff>66675</xdr:rowOff>
        </xdr:from>
        <xdr:to>
          <xdr:col>11</xdr:col>
          <xdr:colOff>447675</xdr:colOff>
          <xdr:row>27</xdr:row>
          <xdr:rowOff>85725</xdr:rowOff>
        </xdr:to>
        <xdr:sp macro="" textlink="">
          <xdr:nvSpPr>
            <xdr:cNvPr id="7169" name="Scroll Bar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57150</xdr:rowOff>
        </xdr:from>
        <xdr:to>
          <xdr:col>11</xdr:col>
          <xdr:colOff>457200</xdr:colOff>
          <xdr:row>29</xdr:row>
          <xdr:rowOff>47625</xdr:rowOff>
        </xdr:to>
        <xdr:sp macro="" textlink="">
          <xdr:nvSpPr>
            <xdr:cNvPr id="7171" name="Scroll Bar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171449</xdr:colOff>
      <xdr:row>3</xdr:row>
      <xdr:rowOff>133349</xdr:rowOff>
    </xdr:from>
    <xdr:to>
      <xdr:col>14</xdr:col>
      <xdr:colOff>628650</xdr:colOff>
      <xdr:row>25</xdr:row>
      <xdr:rowOff>123825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26</xdr:row>
          <xdr:rowOff>123825</xdr:rowOff>
        </xdr:from>
        <xdr:to>
          <xdr:col>14</xdr:col>
          <xdr:colOff>600075</xdr:colOff>
          <xdr:row>27</xdr:row>
          <xdr:rowOff>133350</xdr:rowOff>
        </xdr:to>
        <xdr:sp macro="" textlink="">
          <xdr:nvSpPr>
            <xdr:cNvPr id="9217" name="Scroll Bar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28</xdr:row>
          <xdr:rowOff>76200</xdr:rowOff>
        </xdr:from>
        <xdr:to>
          <xdr:col>14</xdr:col>
          <xdr:colOff>590550</xdr:colOff>
          <xdr:row>29</xdr:row>
          <xdr:rowOff>95250</xdr:rowOff>
        </xdr:to>
        <xdr:sp macro="" textlink="">
          <xdr:nvSpPr>
            <xdr:cNvPr id="9218" name="Scroll Bar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47625</xdr:rowOff>
        </xdr:from>
        <xdr:to>
          <xdr:col>26</xdr:col>
          <xdr:colOff>19050</xdr:colOff>
          <xdr:row>4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5</xdr:row>
          <xdr:rowOff>28575</xdr:rowOff>
        </xdr:from>
        <xdr:to>
          <xdr:col>25</xdr:col>
          <xdr:colOff>171450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142875</xdr:colOff>
          <xdr:row>1</xdr:row>
          <xdr:rowOff>66675</xdr:rowOff>
        </xdr:from>
        <xdr:to>
          <xdr:col>28</xdr:col>
          <xdr:colOff>28575</xdr:colOff>
          <xdr:row>3</xdr:row>
          <xdr:rowOff>114300</xdr:rowOff>
        </xdr:to>
        <xdr:sp macro="" textlink="">
          <xdr:nvSpPr>
            <xdr:cNvPr id="13371" name="Button 59" hidden="1">
              <a:extLst>
                <a:ext uri="{63B3BB69-23CF-44E3-9099-C40C66FF867C}">
                  <a14:compatExt spid="_x0000_s13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4</xdr:row>
          <xdr:rowOff>123825</xdr:rowOff>
        </xdr:from>
        <xdr:to>
          <xdr:col>28</xdr:col>
          <xdr:colOff>28575</xdr:colOff>
          <xdr:row>7</xdr:row>
          <xdr:rowOff>9525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1</xdr:row>
          <xdr:rowOff>76200</xdr:rowOff>
        </xdr:from>
        <xdr:to>
          <xdr:col>34</xdr:col>
          <xdr:colOff>28575</xdr:colOff>
          <xdr:row>4</xdr:row>
          <xdr:rowOff>19050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5</xdr:row>
          <xdr:rowOff>66675</xdr:rowOff>
        </xdr:from>
        <xdr:to>
          <xdr:col>33</xdr:col>
          <xdr:colOff>152400</xdr:colOff>
          <xdr:row>7</xdr:row>
          <xdr:rowOff>142875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3</xdr:row>
          <xdr:rowOff>66675</xdr:rowOff>
        </xdr:from>
        <xdr:to>
          <xdr:col>24</xdr:col>
          <xdr:colOff>600075</xdr:colOff>
          <xdr:row>5</xdr:row>
          <xdr:rowOff>47625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再計算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5</xdr:row>
          <xdr:rowOff>85725</xdr:rowOff>
        </xdr:from>
        <xdr:to>
          <xdr:col>24</xdr:col>
          <xdr:colOff>619125</xdr:colOff>
          <xdr:row>7</xdr:row>
          <xdr:rowOff>95250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1</xdr:row>
          <xdr:rowOff>85725</xdr:rowOff>
        </xdr:from>
        <xdr:to>
          <xdr:col>24</xdr:col>
          <xdr:colOff>619125</xdr:colOff>
          <xdr:row>3</xdr:row>
          <xdr:rowOff>76200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15</xdr:row>
      <xdr:rowOff>33337</xdr:rowOff>
    </xdr:from>
    <xdr:to>
      <xdr:col>19</xdr:col>
      <xdr:colOff>209550</xdr:colOff>
      <xdr:row>31</xdr:row>
      <xdr:rowOff>33337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2"/>
  <sheetViews>
    <sheetView workbookViewId="0">
      <selection activeCell="I25" sqref="I25"/>
    </sheetView>
  </sheetViews>
  <sheetFormatPr defaultRowHeight="13.5" x14ac:dyDescent="0.15"/>
  <sheetData>
    <row r="1" spans="1:5" ht="15.75" x14ac:dyDescent="0.15">
      <c r="A1" t="s">
        <v>2</v>
      </c>
      <c r="B1" t="s">
        <v>0</v>
      </c>
      <c r="C1" s="1" t="s">
        <v>1</v>
      </c>
      <c r="D1" s="2">
        <f>D2/10-5</f>
        <v>1</v>
      </c>
      <c r="E1" t="s">
        <v>4</v>
      </c>
    </row>
    <row r="2" spans="1:5" x14ac:dyDescent="0.15">
      <c r="A2">
        <v>-4</v>
      </c>
      <c r="B2">
        <f>$D$1*A2^2</f>
        <v>16</v>
      </c>
      <c r="D2">
        <v>60</v>
      </c>
      <c r="E2" t="s">
        <v>3</v>
      </c>
    </row>
    <row r="3" spans="1:5" x14ac:dyDescent="0.15">
      <c r="A3">
        <v>-3.9</v>
      </c>
      <c r="B3">
        <f t="shared" ref="B3:B66" si="0">$D$1*A3^2</f>
        <v>15.209999999999999</v>
      </c>
    </row>
    <row r="4" spans="1:5" x14ac:dyDescent="0.15">
      <c r="A4">
        <v>-3.8</v>
      </c>
      <c r="B4">
        <f t="shared" si="0"/>
        <v>14.44</v>
      </c>
    </row>
    <row r="5" spans="1:5" x14ac:dyDescent="0.15">
      <c r="A5">
        <v>-3.7</v>
      </c>
      <c r="B5">
        <f t="shared" si="0"/>
        <v>13.690000000000001</v>
      </c>
    </row>
    <row r="6" spans="1:5" x14ac:dyDescent="0.15">
      <c r="A6">
        <v>-3.6</v>
      </c>
      <c r="B6">
        <f t="shared" si="0"/>
        <v>12.96</v>
      </c>
    </row>
    <row r="7" spans="1:5" x14ac:dyDescent="0.15">
      <c r="A7">
        <v>-3.5</v>
      </c>
      <c r="B7">
        <f t="shared" si="0"/>
        <v>12.25</v>
      </c>
    </row>
    <row r="8" spans="1:5" x14ac:dyDescent="0.15">
      <c r="A8">
        <v>-3.4</v>
      </c>
      <c r="B8">
        <f t="shared" si="0"/>
        <v>11.559999999999999</v>
      </c>
    </row>
    <row r="9" spans="1:5" x14ac:dyDescent="0.15">
      <c r="A9">
        <v>-3.3</v>
      </c>
      <c r="B9">
        <f t="shared" si="0"/>
        <v>10.889999999999999</v>
      </c>
    </row>
    <row r="10" spans="1:5" x14ac:dyDescent="0.15">
      <c r="A10">
        <v>-3.2</v>
      </c>
      <c r="B10">
        <f t="shared" si="0"/>
        <v>10.240000000000002</v>
      </c>
    </row>
    <row r="11" spans="1:5" x14ac:dyDescent="0.15">
      <c r="A11">
        <v>-3.1</v>
      </c>
      <c r="B11">
        <f t="shared" si="0"/>
        <v>9.6100000000000012</v>
      </c>
    </row>
    <row r="12" spans="1:5" x14ac:dyDescent="0.15">
      <c r="A12">
        <v>-3</v>
      </c>
      <c r="B12">
        <f t="shared" si="0"/>
        <v>9</v>
      </c>
    </row>
    <row r="13" spans="1:5" x14ac:dyDescent="0.15">
      <c r="A13">
        <v>-2.9</v>
      </c>
      <c r="B13">
        <f t="shared" si="0"/>
        <v>8.41</v>
      </c>
    </row>
    <row r="14" spans="1:5" x14ac:dyDescent="0.15">
      <c r="A14">
        <v>-2.8</v>
      </c>
      <c r="B14">
        <f t="shared" si="0"/>
        <v>7.839999999999999</v>
      </c>
    </row>
    <row r="15" spans="1:5" x14ac:dyDescent="0.15">
      <c r="A15">
        <v>-2.7</v>
      </c>
      <c r="B15">
        <f t="shared" si="0"/>
        <v>7.2900000000000009</v>
      </c>
    </row>
    <row r="16" spans="1:5" x14ac:dyDescent="0.15">
      <c r="A16">
        <v>-2.5999999999999996</v>
      </c>
      <c r="B16">
        <f t="shared" si="0"/>
        <v>6.759999999999998</v>
      </c>
    </row>
    <row r="17" spans="1:2" x14ac:dyDescent="0.15">
      <c r="A17">
        <v>-2.5</v>
      </c>
      <c r="B17">
        <f t="shared" si="0"/>
        <v>6.25</v>
      </c>
    </row>
    <row r="18" spans="1:2" x14ac:dyDescent="0.15">
      <c r="A18">
        <v>-2.4</v>
      </c>
      <c r="B18">
        <f t="shared" si="0"/>
        <v>5.76</v>
      </c>
    </row>
    <row r="19" spans="1:2" x14ac:dyDescent="0.15">
      <c r="A19">
        <v>-2.2999999999999998</v>
      </c>
      <c r="B19">
        <f t="shared" si="0"/>
        <v>5.2899999999999991</v>
      </c>
    </row>
    <row r="20" spans="1:2" x14ac:dyDescent="0.15">
      <c r="A20">
        <v>-2.2000000000000002</v>
      </c>
      <c r="B20">
        <f t="shared" si="0"/>
        <v>4.8400000000000007</v>
      </c>
    </row>
    <row r="21" spans="1:2" x14ac:dyDescent="0.15">
      <c r="A21">
        <v>-2.0999999999999996</v>
      </c>
      <c r="B21">
        <f t="shared" si="0"/>
        <v>4.4099999999999984</v>
      </c>
    </row>
    <row r="22" spans="1:2" x14ac:dyDescent="0.15">
      <c r="A22">
        <v>-2</v>
      </c>
      <c r="B22">
        <f t="shared" si="0"/>
        <v>4</v>
      </c>
    </row>
    <row r="23" spans="1:2" x14ac:dyDescent="0.15">
      <c r="A23">
        <v>-1.9</v>
      </c>
      <c r="B23">
        <f t="shared" si="0"/>
        <v>3.61</v>
      </c>
    </row>
    <row r="24" spans="1:2" x14ac:dyDescent="0.15">
      <c r="A24">
        <v>-1.7999999999999998</v>
      </c>
      <c r="B24">
        <f t="shared" si="0"/>
        <v>3.2399999999999993</v>
      </c>
    </row>
    <row r="25" spans="1:2" x14ac:dyDescent="0.15">
      <c r="A25">
        <v>-1.6999999999999997</v>
      </c>
      <c r="B25">
        <f t="shared" si="0"/>
        <v>2.8899999999999992</v>
      </c>
    </row>
    <row r="26" spans="1:2" x14ac:dyDescent="0.15">
      <c r="A26">
        <v>-1.5999999999999996</v>
      </c>
      <c r="B26">
        <f t="shared" si="0"/>
        <v>2.5599999999999987</v>
      </c>
    </row>
    <row r="27" spans="1:2" x14ac:dyDescent="0.15">
      <c r="A27">
        <v>-1.5</v>
      </c>
      <c r="B27">
        <f t="shared" si="0"/>
        <v>2.25</v>
      </c>
    </row>
    <row r="28" spans="1:2" x14ac:dyDescent="0.15">
      <c r="A28">
        <v>-1.4</v>
      </c>
      <c r="B28">
        <f t="shared" si="0"/>
        <v>1.9599999999999997</v>
      </c>
    </row>
    <row r="29" spans="1:2" x14ac:dyDescent="0.15">
      <c r="A29">
        <v>-1.2999999999999998</v>
      </c>
      <c r="B29">
        <f t="shared" si="0"/>
        <v>1.6899999999999995</v>
      </c>
    </row>
    <row r="30" spans="1:2" x14ac:dyDescent="0.15">
      <c r="A30">
        <v>-1.1999999999999997</v>
      </c>
      <c r="B30">
        <f t="shared" si="0"/>
        <v>1.4399999999999993</v>
      </c>
    </row>
    <row r="31" spans="1:2" x14ac:dyDescent="0.15">
      <c r="A31">
        <v>-1.0999999999999996</v>
      </c>
      <c r="B31">
        <f t="shared" si="0"/>
        <v>1.2099999999999993</v>
      </c>
    </row>
    <row r="32" spans="1:2" x14ac:dyDescent="0.15">
      <c r="A32">
        <v>-1</v>
      </c>
      <c r="B32">
        <f t="shared" si="0"/>
        <v>1</v>
      </c>
    </row>
    <row r="33" spans="1:2" x14ac:dyDescent="0.15">
      <c r="A33">
        <v>-0.89999999999999991</v>
      </c>
      <c r="B33">
        <f t="shared" si="0"/>
        <v>0.80999999999999983</v>
      </c>
    </row>
    <row r="34" spans="1:2" x14ac:dyDescent="0.15">
      <c r="A34">
        <v>-0.79999999999999982</v>
      </c>
      <c r="B34">
        <f t="shared" si="0"/>
        <v>0.63999999999999968</v>
      </c>
    </row>
    <row r="35" spans="1:2" x14ac:dyDescent="0.15">
      <c r="A35">
        <v>-0.69999999999999973</v>
      </c>
      <c r="B35">
        <f t="shared" si="0"/>
        <v>0.4899999999999996</v>
      </c>
    </row>
    <row r="36" spans="1:2" x14ac:dyDescent="0.15">
      <c r="A36">
        <v>-0.59999999999999964</v>
      </c>
      <c r="B36">
        <f t="shared" si="0"/>
        <v>0.3599999999999996</v>
      </c>
    </row>
    <row r="37" spans="1:2" x14ac:dyDescent="0.15">
      <c r="A37">
        <v>-0.5</v>
      </c>
      <c r="B37">
        <f t="shared" si="0"/>
        <v>0.25</v>
      </c>
    </row>
    <row r="38" spans="1:2" x14ac:dyDescent="0.15">
      <c r="A38">
        <v>-0.39999999999999991</v>
      </c>
      <c r="B38">
        <f t="shared" si="0"/>
        <v>0.15999999999999992</v>
      </c>
    </row>
    <row r="39" spans="1:2" x14ac:dyDescent="0.15">
      <c r="A39">
        <v>-0.29999999999999982</v>
      </c>
      <c r="B39">
        <f t="shared" si="0"/>
        <v>8.99999999999999E-2</v>
      </c>
    </row>
    <row r="40" spans="1:2" x14ac:dyDescent="0.15">
      <c r="A40">
        <v>-0.19999999999999973</v>
      </c>
      <c r="B40">
        <f t="shared" si="0"/>
        <v>3.9999999999999897E-2</v>
      </c>
    </row>
    <row r="41" spans="1:2" x14ac:dyDescent="0.15">
      <c r="A41">
        <v>-9.9999999999999645E-2</v>
      </c>
      <c r="B41">
        <f t="shared" si="0"/>
        <v>9.9999999999999291E-3</v>
      </c>
    </row>
    <row r="42" spans="1:2" x14ac:dyDescent="0.15">
      <c r="A42">
        <v>0</v>
      </c>
      <c r="B42">
        <f t="shared" si="0"/>
        <v>0</v>
      </c>
    </row>
    <row r="43" spans="1:2" x14ac:dyDescent="0.15">
      <c r="A43">
        <v>0.10000000000000053</v>
      </c>
      <c r="B43">
        <f t="shared" si="0"/>
        <v>1.0000000000000106E-2</v>
      </c>
    </row>
    <row r="44" spans="1:2" x14ac:dyDescent="0.15">
      <c r="A44">
        <v>0.20000000000000018</v>
      </c>
      <c r="B44">
        <f t="shared" si="0"/>
        <v>4.000000000000007E-2</v>
      </c>
    </row>
    <row r="45" spans="1:2" x14ac:dyDescent="0.15">
      <c r="A45">
        <v>0.29999999999999982</v>
      </c>
      <c r="B45">
        <f t="shared" si="0"/>
        <v>8.99999999999999E-2</v>
      </c>
    </row>
    <row r="46" spans="1:2" x14ac:dyDescent="0.15">
      <c r="A46">
        <v>0.40000000000000036</v>
      </c>
      <c r="B46">
        <f t="shared" si="0"/>
        <v>0.16000000000000028</v>
      </c>
    </row>
    <row r="47" spans="1:2" x14ac:dyDescent="0.15">
      <c r="A47">
        <v>0.5</v>
      </c>
      <c r="B47">
        <f t="shared" si="0"/>
        <v>0.25</v>
      </c>
    </row>
    <row r="48" spans="1:2" x14ac:dyDescent="0.15">
      <c r="A48">
        <v>0.60000000000000053</v>
      </c>
      <c r="B48">
        <f t="shared" si="0"/>
        <v>0.36000000000000065</v>
      </c>
    </row>
    <row r="49" spans="1:2" x14ac:dyDescent="0.15">
      <c r="A49">
        <v>0.70000000000000018</v>
      </c>
      <c r="B49">
        <f t="shared" si="0"/>
        <v>0.49000000000000027</v>
      </c>
    </row>
    <row r="50" spans="1:2" x14ac:dyDescent="0.15">
      <c r="A50">
        <v>0.80000000000000071</v>
      </c>
      <c r="B50">
        <f t="shared" si="0"/>
        <v>0.64000000000000112</v>
      </c>
    </row>
    <row r="51" spans="1:2" x14ac:dyDescent="0.15">
      <c r="A51">
        <v>0.90000000000000036</v>
      </c>
      <c r="B51">
        <f t="shared" si="0"/>
        <v>0.81000000000000061</v>
      </c>
    </row>
    <row r="52" spans="1:2" x14ac:dyDescent="0.15">
      <c r="A52">
        <v>1</v>
      </c>
      <c r="B52">
        <f t="shared" si="0"/>
        <v>1</v>
      </c>
    </row>
    <row r="53" spans="1:2" x14ac:dyDescent="0.15">
      <c r="A53">
        <v>1.1000000000000005</v>
      </c>
      <c r="B53">
        <f t="shared" si="0"/>
        <v>1.2100000000000011</v>
      </c>
    </row>
    <row r="54" spans="1:2" x14ac:dyDescent="0.15">
      <c r="A54">
        <v>1.2000000000000002</v>
      </c>
      <c r="B54">
        <f t="shared" si="0"/>
        <v>1.4400000000000004</v>
      </c>
    </row>
    <row r="55" spans="1:2" x14ac:dyDescent="0.15">
      <c r="A55">
        <v>1.3000000000000007</v>
      </c>
      <c r="B55">
        <f t="shared" si="0"/>
        <v>1.6900000000000019</v>
      </c>
    </row>
    <row r="56" spans="1:2" x14ac:dyDescent="0.15">
      <c r="A56">
        <v>1.4000000000000004</v>
      </c>
      <c r="B56">
        <f t="shared" si="0"/>
        <v>1.9600000000000011</v>
      </c>
    </row>
    <row r="57" spans="1:2" x14ac:dyDescent="0.15">
      <c r="A57">
        <v>1.5</v>
      </c>
      <c r="B57">
        <f t="shared" si="0"/>
        <v>2.25</v>
      </c>
    </row>
    <row r="58" spans="1:2" x14ac:dyDescent="0.15">
      <c r="A58">
        <v>1.6000000000000005</v>
      </c>
      <c r="B58">
        <f t="shared" si="0"/>
        <v>2.5600000000000018</v>
      </c>
    </row>
    <row r="59" spans="1:2" x14ac:dyDescent="0.15">
      <c r="A59">
        <v>1.7000000000000002</v>
      </c>
      <c r="B59">
        <f t="shared" si="0"/>
        <v>2.8900000000000006</v>
      </c>
    </row>
    <row r="60" spans="1:2" x14ac:dyDescent="0.15">
      <c r="A60">
        <v>1.8000000000000007</v>
      </c>
      <c r="B60">
        <f t="shared" si="0"/>
        <v>3.2400000000000024</v>
      </c>
    </row>
    <row r="61" spans="1:2" x14ac:dyDescent="0.15">
      <c r="A61">
        <v>1.9000000000000004</v>
      </c>
      <c r="B61">
        <f t="shared" si="0"/>
        <v>3.6100000000000012</v>
      </c>
    </row>
    <row r="62" spans="1:2" x14ac:dyDescent="0.15">
      <c r="A62">
        <v>2</v>
      </c>
      <c r="B62">
        <f t="shared" si="0"/>
        <v>4</v>
      </c>
    </row>
    <row r="63" spans="1:2" x14ac:dyDescent="0.15">
      <c r="A63">
        <v>2.1000000000000005</v>
      </c>
      <c r="B63">
        <f t="shared" si="0"/>
        <v>4.4100000000000019</v>
      </c>
    </row>
    <row r="64" spans="1:2" x14ac:dyDescent="0.15">
      <c r="A64">
        <v>2.2000000000000002</v>
      </c>
      <c r="B64">
        <f t="shared" si="0"/>
        <v>4.8400000000000007</v>
      </c>
    </row>
    <row r="65" spans="1:2" x14ac:dyDescent="0.15">
      <c r="A65">
        <v>2.3000000000000007</v>
      </c>
      <c r="B65">
        <f t="shared" si="0"/>
        <v>5.2900000000000036</v>
      </c>
    </row>
    <row r="66" spans="1:2" x14ac:dyDescent="0.15">
      <c r="A66">
        <v>2.4000000000000004</v>
      </c>
      <c r="B66">
        <f t="shared" si="0"/>
        <v>5.7600000000000016</v>
      </c>
    </row>
    <row r="67" spans="1:2" x14ac:dyDescent="0.15">
      <c r="A67">
        <v>2.5</v>
      </c>
      <c r="B67">
        <f t="shared" ref="B67:B82" si="1">$D$1*A67^2</f>
        <v>6.25</v>
      </c>
    </row>
    <row r="68" spans="1:2" x14ac:dyDescent="0.15">
      <c r="A68">
        <v>2.6000000000000005</v>
      </c>
      <c r="B68">
        <f t="shared" si="1"/>
        <v>6.7600000000000025</v>
      </c>
    </row>
    <row r="69" spans="1:2" x14ac:dyDescent="0.15">
      <c r="A69">
        <v>2.7</v>
      </c>
      <c r="B69">
        <f t="shared" si="1"/>
        <v>7.2900000000000009</v>
      </c>
    </row>
    <row r="70" spans="1:2" x14ac:dyDescent="0.15">
      <c r="A70">
        <v>2.8000000000000007</v>
      </c>
      <c r="B70">
        <f t="shared" si="1"/>
        <v>7.8400000000000043</v>
      </c>
    </row>
    <row r="71" spans="1:2" x14ac:dyDescent="0.15">
      <c r="A71">
        <v>2.9000000000000004</v>
      </c>
      <c r="B71">
        <f t="shared" si="1"/>
        <v>8.4100000000000019</v>
      </c>
    </row>
    <row r="72" spans="1:2" x14ac:dyDescent="0.15">
      <c r="A72">
        <v>3</v>
      </c>
      <c r="B72">
        <f t="shared" si="1"/>
        <v>9</v>
      </c>
    </row>
    <row r="73" spans="1:2" x14ac:dyDescent="0.15">
      <c r="A73">
        <v>3.1000000000000005</v>
      </c>
      <c r="B73">
        <f t="shared" si="1"/>
        <v>9.610000000000003</v>
      </c>
    </row>
    <row r="74" spans="1:2" x14ac:dyDescent="0.15">
      <c r="A74">
        <v>3.2</v>
      </c>
      <c r="B74">
        <f t="shared" si="1"/>
        <v>10.240000000000002</v>
      </c>
    </row>
    <row r="75" spans="1:2" x14ac:dyDescent="0.15">
      <c r="A75">
        <v>3.3000000000000007</v>
      </c>
      <c r="B75">
        <f t="shared" si="1"/>
        <v>10.890000000000004</v>
      </c>
    </row>
    <row r="76" spans="1:2" x14ac:dyDescent="0.15">
      <c r="A76">
        <v>3.4000000000000004</v>
      </c>
      <c r="B76">
        <f t="shared" si="1"/>
        <v>11.560000000000002</v>
      </c>
    </row>
    <row r="77" spans="1:2" x14ac:dyDescent="0.15">
      <c r="A77">
        <v>3.5</v>
      </c>
      <c r="B77">
        <f t="shared" si="1"/>
        <v>12.25</v>
      </c>
    </row>
    <row r="78" spans="1:2" x14ac:dyDescent="0.15">
      <c r="A78">
        <v>3.6000000000000005</v>
      </c>
      <c r="B78">
        <f t="shared" si="1"/>
        <v>12.960000000000004</v>
      </c>
    </row>
    <row r="79" spans="1:2" x14ac:dyDescent="0.15">
      <c r="A79">
        <v>3.7</v>
      </c>
      <c r="B79">
        <f t="shared" si="1"/>
        <v>13.690000000000001</v>
      </c>
    </row>
    <row r="80" spans="1:2" x14ac:dyDescent="0.15">
      <c r="A80">
        <v>3.8000000000000007</v>
      </c>
      <c r="B80">
        <f t="shared" si="1"/>
        <v>14.440000000000005</v>
      </c>
    </row>
    <row r="81" spans="1:2" x14ac:dyDescent="0.15">
      <c r="A81">
        <v>3.9000000000000004</v>
      </c>
      <c r="B81">
        <f t="shared" si="1"/>
        <v>15.210000000000003</v>
      </c>
    </row>
    <row r="82" spans="1:2" x14ac:dyDescent="0.15">
      <c r="A82">
        <v>4</v>
      </c>
      <c r="B82">
        <f t="shared" si="1"/>
        <v>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457200</xdr:colOff>
                    <xdr:row>20</xdr:row>
                    <xdr:rowOff>133350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"/>
  <sheetViews>
    <sheetView workbookViewId="0">
      <selection activeCell="P11" sqref="P11"/>
    </sheetView>
  </sheetViews>
  <sheetFormatPr defaultRowHeight="13.5" x14ac:dyDescent="0.15"/>
  <sheetData>
    <row r="1" spans="1:6" ht="15.75" x14ac:dyDescent="0.15">
      <c r="A1" t="s">
        <v>2</v>
      </c>
      <c r="B1" t="s">
        <v>5</v>
      </c>
      <c r="C1" s="1" t="s">
        <v>1</v>
      </c>
      <c r="D1" s="2">
        <f>$D$2/10-5</f>
        <v>1</v>
      </c>
      <c r="E1" s="1" t="s">
        <v>6</v>
      </c>
      <c r="F1" s="2">
        <f>$F$2/10-5</f>
        <v>-5</v>
      </c>
    </row>
    <row r="2" spans="1:6" x14ac:dyDescent="0.15">
      <c r="A2">
        <v>-5</v>
      </c>
      <c r="B2">
        <f>$D$1*A2^2+$F$1*A2</f>
        <v>50</v>
      </c>
      <c r="D2">
        <v>60</v>
      </c>
      <c r="F2">
        <v>0</v>
      </c>
    </row>
    <row r="3" spans="1:6" x14ac:dyDescent="0.15">
      <c r="A3">
        <v>-4.9000000000000004</v>
      </c>
      <c r="B3">
        <f t="shared" ref="B3:B66" si="0">$D$1*A3^2+$F$1*A3</f>
        <v>48.510000000000005</v>
      </c>
    </row>
    <row r="4" spans="1:6" x14ac:dyDescent="0.15">
      <c r="A4">
        <v>-4.8</v>
      </c>
      <c r="B4">
        <f t="shared" si="0"/>
        <v>47.04</v>
      </c>
    </row>
    <row r="5" spans="1:6" x14ac:dyDescent="0.15">
      <c r="A5">
        <v>-4.7</v>
      </c>
      <c r="B5">
        <f t="shared" si="0"/>
        <v>45.59</v>
      </c>
    </row>
    <row r="6" spans="1:6" x14ac:dyDescent="0.15">
      <c r="A6">
        <v>-4.5999999999999996</v>
      </c>
      <c r="B6">
        <f t="shared" si="0"/>
        <v>44.16</v>
      </c>
    </row>
    <row r="7" spans="1:6" x14ac:dyDescent="0.15">
      <c r="A7">
        <v>-4.5</v>
      </c>
      <c r="B7">
        <f t="shared" si="0"/>
        <v>42.75</v>
      </c>
    </row>
    <row r="8" spans="1:6" x14ac:dyDescent="0.15">
      <c r="A8">
        <v>-4.4000000000000004</v>
      </c>
      <c r="B8">
        <f t="shared" si="0"/>
        <v>41.36</v>
      </c>
    </row>
    <row r="9" spans="1:6" x14ac:dyDescent="0.15">
      <c r="A9">
        <v>-4.3</v>
      </c>
      <c r="B9">
        <f t="shared" si="0"/>
        <v>39.989999999999995</v>
      </c>
    </row>
    <row r="10" spans="1:6" x14ac:dyDescent="0.15">
      <c r="A10">
        <v>-4.2</v>
      </c>
      <c r="B10">
        <f t="shared" si="0"/>
        <v>38.64</v>
      </c>
    </row>
    <row r="11" spans="1:6" x14ac:dyDescent="0.15">
      <c r="A11">
        <v>-4.0999999999999996</v>
      </c>
      <c r="B11">
        <f t="shared" si="0"/>
        <v>37.31</v>
      </c>
    </row>
    <row r="12" spans="1:6" x14ac:dyDescent="0.15">
      <c r="A12">
        <v>-4</v>
      </c>
      <c r="B12">
        <f t="shared" si="0"/>
        <v>36</v>
      </c>
    </row>
    <row r="13" spans="1:6" x14ac:dyDescent="0.15">
      <c r="A13">
        <v>-3.9</v>
      </c>
      <c r="B13">
        <f t="shared" si="0"/>
        <v>34.71</v>
      </c>
    </row>
    <row r="14" spans="1:6" x14ac:dyDescent="0.15">
      <c r="A14">
        <v>-3.8</v>
      </c>
      <c r="B14">
        <f t="shared" si="0"/>
        <v>33.44</v>
      </c>
    </row>
    <row r="15" spans="1:6" x14ac:dyDescent="0.15">
      <c r="A15">
        <v>-3.7</v>
      </c>
      <c r="B15">
        <f t="shared" si="0"/>
        <v>32.19</v>
      </c>
    </row>
    <row r="16" spans="1:6" x14ac:dyDescent="0.15">
      <c r="A16">
        <v>-3.5999999999999996</v>
      </c>
      <c r="B16">
        <f t="shared" si="0"/>
        <v>30.959999999999997</v>
      </c>
    </row>
    <row r="17" spans="1:2" x14ac:dyDescent="0.15">
      <c r="A17">
        <v>-3.5</v>
      </c>
      <c r="B17">
        <f t="shared" si="0"/>
        <v>29.75</v>
      </c>
    </row>
    <row r="18" spans="1:2" x14ac:dyDescent="0.15">
      <c r="A18">
        <v>-3.4</v>
      </c>
      <c r="B18">
        <f t="shared" si="0"/>
        <v>28.56</v>
      </c>
    </row>
    <row r="19" spans="1:2" x14ac:dyDescent="0.15">
      <c r="A19">
        <v>-3.3</v>
      </c>
      <c r="B19">
        <f t="shared" si="0"/>
        <v>27.39</v>
      </c>
    </row>
    <row r="20" spans="1:2" x14ac:dyDescent="0.15">
      <c r="A20">
        <v>-3.2</v>
      </c>
      <c r="B20">
        <f t="shared" si="0"/>
        <v>26.240000000000002</v>
      </c>
    </row>
    <row r="21" spans="1:2" x14ac:dyDescent="0.15">
      <c r="A21">
        <v>-3.0999999999999996</v>
      </c>
      <c r="B21">
        <f t="shared" si="0"/>
        <v>25.109999999999996</v>
      </c>
    </row>
    <row r="22" spans="1:2" x14ac:dyDescent="0.15">
      <c r="A22">
        <v>-3</v>
      </c>
      <c r="B22">
        <f t="shared" si="0"/>
        <v>24</v>
      </c>
    </row>
    <row r="23" spans="1:2" x14ac:dyDescent="0.15">
      <c r="A23">
        <v>-2.9</v>
      </c>
      <c r="B23">
        <f t="shared" si="0"/>
        <v>22.91</v>
      </c>
    </row>
    <row r="24" spans="1:2" x14ac:dyDescent="0.15">
      <c r="A24">
        <v>-2.8</v>
      </c>
      <c r="B24">
        <f t="shared" si="0"/>
        <v>21.84</v>
      </c>
    </row>
    <row r="25" spans="1:2" x14ac:dyDescent="0.15">
      <c r="A25">
        <v>-2.6999999999999997</v>
      </c>
      <c r="B25">
        <f t="shared" si="0"/>
        <v>20.789999999999996</v>
      </c>
    </row>
    <row r="26" spans="1:2" x14ac:dyDescent="0.15">
      <c r="A26">
        <v>-2.5999999999999996</v>
      </c>
      <c r="B26">
        <f t="shared" si="0"/>
        <v>19.759999999999998</v>
      </c>
    </row>
    <row r="27" spans="1:2" x14ac:dyDescent="0.15">
      <c r="A27">
        <v>-2.5</v>
      </c>
      <c r="B27">
        <f t="shared" si="0"/>
        <v>18.75</v>
      </c>
    </row>
    <row r="28" spans="1:2" x14ac:dyDescent="0.15">
      <c r="A28">
        <v>-2.4</v>
      </c>
      <c r="B28">
        <f t="shared" si="0"/>
        <v>17.759999999999998</v>
      </c>
    </row>
    <row r="29" spans="1:2" x14ac:dyDescent="0.15">
      <c r="A29">
        <v>-2.2999999999999998</v>
      </c>
      <c r="B29">
        <f t="shared" si="0"/>
        <v>16.79</v>
      </c>
    </row>
    <row r="30" spans="1:2" x14ac:dyDescent="0.15">
      <c r="A30">
        <v>-2.1999999999999997</v>
      </c>
      <c r="B30">
        <f t="shared" si="0"/>
        <v>15.839999999999996</v>
      </c>
    </row>
    <row r="31" spans="1:2" x14ac:dyDescent="0.15">
      <c r="A31">
        <v>-2.0999999999999996</v>
      </c>
      <c r="B31">
        <f t="shared" si="0"/>
        <v>14.909999999999997</v>
      </c>
    </row>
    <row r="32" spans="1:2" x14ac:dyDescent="0.15">
      <c r="A32">
        <v>-2</v>
      </c>
      <c r="B32">
        <f t="shared" si="0"/>
        <v>14</v>
      </c>
    </row>
    <row r="33" spans="1:2" x14ac:dyDescent="0.15">
      <c r="A33">
        <v>-1.9</v>
      </c>
      <c r="B33">
        <f t="shared" si="0"/>
        <v>13.11</v>
      </c>
    </row>
    <row r="34" spans="1:2" x14ac:dyDescent="0.15">
      <c r="A34">
        <v>-1.7999999999999998</v>
      </c>
      <c r="B34">
        <f t="shared" si="0"/>
        <v>12.239999999999998</v>
      </c>
    </row>
    <row r="35" spans="1:2" x14ac:dyDescent="0.15">
      <c r="A35">
        <v>-1.6999999999999997</v>
      </c>
      <c r="B35">
        <f t="shared" si="0"/>
        <v>11.389999999999997</v>
      </c>
    </row>
    <row r="36" spans="1:2" x14ac:dyDescent="0.15">
      <c r="A36">
        <v>-1.5999999999999996</v>
      </c>
      <c r="B36">
        <f t="shared" si="0"/>
        <v>10.559999999999997</v>
      </c>
    </row>
    <row r="37" spans="1:2" x14ac:dyDescent="0.15">
      <c r="A37">
        <v>-1.5</v>
      </c>
      <c r="B37">
        <f t="shared" si="0"/>
        <v>9.75</v>
      </c>
    </row>
    <row r="38" spans="1:2" x14ac:dyDescent="0.15">
      <c r="A38">
        <v>-1.4</v>
      </c>
      <c r="B38">
        <f t="shared" si="0"/>
        <v>8.9599999999999991</v>
      </c>
    </row>
    <row r="39" spans="1:2" x14ac:dyDescent="0.15">
      <c r="A39">
        <v>-1.2999999999999998</v>
      </c>
      <c r="B39">
        <f t="shared" si="0"/>
        <v>8.1899999999999977</v>
      </c>
    </row>
    <row r="40" spans="1:2" x14ac:dyDescent="0.15">
      <c r="A40">
        <v>-1.1999999999999997</v>
      </c>
      <c r="B40">
        <f t="shared" si="0"/>
        <v>7.4399999999999977</v>
      </c>
    </row>
    <row r="41" spans="1:2" x14ac:dyDescent="0.15">
      <c r="A41">
        <v>-1.0999999999999996</v>
      </c>
      <c r="B41">
        <f t="shared" si="0"/>
        <v>6.7099999999999973</v>
      </c>
    </row>
    <row r="42" spans="1:2" x14ac:dyDescent="0.15">
      <c r="A42">
        <v>-1</v>
      </c>
      <c r="B42">
        <f t="shared" si="0"/>
        <v>6</v>
      </c>
    </row>
    <row r="43" spans="1:2" x14ac:dyDescent="0.15">
      <c r="A43">
        <v>-0.89999999999999947</v>
      </c>
      <c r="B43">
        <f t="shared" si="0"/>
        <v>5.3099999999999961</v>
      </c>
    </row>
    <row r="44" spans="1:2" x14ac:dyDescent="0.15">
      <c r="A44">
        <v>-0.79999999999999982</v>
      </c>
      <c r="B44">
        <f t="shared" si="0"/>
        <v>4.6399999999999988</v>
      </c>
    </row>
    <row r="45" spans="1:2" x14ac:dyDescent="0.15">
      <c r="A45">
        <v>-0.70000000000000018</v>
      </c>
      <c r="B45">
        <f t="shared" si="0"/>
        <v>3.9900000000000011</v>
      </c>
    </row>
    <row r="46" spans="1:2" x14ac:dyDescent="0.15">
      <c r="A46">
        <v>-0.59999999999999964</v>
      </c>
      <c r="B46">
        <f t="shared" si="0"/>
        <v>3.3599999999999977</v>
      </c>
    </row>
    <row r="47" spans="1:2" x14ac:dyDescent="0.15">
      <c r="A47">
        <v>-0.5</v>
      </c>
      <c r="B47">
        <f t="shared" si="0"/>
        <v>2.75</v>
      </c>
    </row>
    <row r="48" spans="1:2" x14ac:dyDescent="0.15">
      <c r="A48">
        <v>-0.39999999999999947</v>
      </c>
      <c r="B48">
        <f t="shared" si="0"/>
        <v>2.159999999999997</v>
      </c>
    </row>
    <row r="49" spans="1:2" x14ac:dyDescent="0.15">
      <c r="A49">
        <v>-0.29999999999999982</v>
      </c>
      <c r="B49">
        <f t="shared" si="0"/>
        <v>1.589999999999999</v>
      </c>
    </row>
    <row r="50" spans="1:2" x14ac:dyDescent="0.15">
      <c r="A50">
        <v>-0.19999999999999929</v>
      </c>
      <c r="B50">
        <f t="shared" si="0"/>
        <v>1.0399999999999963</v>
      </c>
    </row>
    <row r="51" spans="1:2" x14ac:dyDescent="0.15">
      <c r="A51">
        <v>-9.9999999999999645E-2</v>
      </c>
      <c r="B51">
        <f t="shared" si="0"/>
        <v>0.50999999999999812</v>
      </c>
    </row>
    <row r="52" spans="1:2" x14ac:dyDescent="0.15">
      <c r="A52">
        <v>0</v>
      </c>
      <c r="B52">
        <f t="shared" si="0"/>
        <v>0</v>
      </c>
    </row>
    <row r="53" spans="1:2" x14ac:dyDescent="0.15">
      <c r="A53">
        <v>0.10000000000000053</v>
      </c>
      <c r="B53">
        <f t="shared" si="0"/>
        <v>-0.49000000000000254</v>
      </c>
    </row>
    <row r="54" spans="1:2" x14ac:dyDescent="0.15">
      <c r="A54">
        <v>0.20000000000000018</v>
      </c>
      <c r="B54">
        <f t="shared" si="0"/>
        <v>-0.96000000000000085</v>
      </c>
    </row>
    <row r="55" spans="1:2" x14ac:dyDescent="0.15">
      <c r="A55">
        <v>0.30000000000000071</v>
      </c>
      <c r="B55">
        <f t="shared" si="0"/>
        <v>-1.410000000000003</v>
      </c>
    </row>
    <row r="56" spans="1:2" x14ac:dyDescent="0.15">
      <c r="A56">
        <v>0.40000000000000036</v>
      </c>
      <c r="B56">
        <f t="shared" si="0"/>
        <v>-1.8400000000000014</v>
      </c>
    </row>
    <row r="57" spans="1:2" x14ac:dyDescent="0.15">
      <c r="A57">
        <v>0.5</v>
      </c>
      <c r="B57">
        <f t="shared" si="0"/>
        <v>-2.25</v>
      </c>
    </row>
    <row r="58" spans="1:2" x14ac:dyDescent="0.15">
      <c r="A58">
        <v>0.60000000000000053</v>
      </c>
      <c r="B58">
        <f t="shared" si="0"/>
        <v>-2.6400000000000019</v>
      </c>
    </row>
    <row r="59" spans="1:2" x14ac:dyDescent="0.15">
      <c r="A59">
        <v>0.70000000000000018</v>
      </c>
      <c r="B59">
        <f t="shared" si="0"/>
        <v>-3.0100000000000007</v>
      </c>
    </row>
    <row r="60" spans="1:2" x14ac:dyDescent="0.15">
      <c r="A60">
        <v>0.80000000000000071</v>
      </c>
      <c r="B60">
        <f t="shared" si="0"/>
        <v>-3.3600000000000025</v>
      </c>
    </row>
    <row r="61" spans="1:2" x14ac:dyDescent="0.15">
      <c r="A61">
        <v>0.90000000000000036</v>
      </c>
      <c r="B61">
        <f t="shared" si="0"/>
        <v>-3.6900000000000013</v>
      </c>
    </row>
    <row r="62" spans="1:2" x14ac:dyDescent="0.15">
      <c r="A62">
        <v>1</v>
      </c>
      <c r="B62">
        <f t="shared" si="0"/>
        <v>-4</v>
      </c>
    </row>
    <row r="63" spans="1:2" x14ac:dyDescent="0.15">
      <c r="A63">
        <v>1.1000000000000005</v>
      </c>
      <c r="B63">
        <f t="shared" si="0"/>
        <v>-4.2900000000000018</v>
      </c>
    </row>
    <row r="64" spans="1:2" x14ac:dyDescent="0.15">
      <c r="A64">
        <v>1.2000000000000002</v>
      </c>
      <c r="B64">
        <f t="shared" si="0"/>
        <v>-4.5600000000000005</v>
      </c>
    </row>
    <row r="65" spans="1:2" x14ac:dyDescent="0.15">
      <c r="A65">
        <v>1.3000000000000007</v>
      </c>
      <c r="B65">
        <f t="shared" si="0"/>
        <v>-4.8100000000000014</v>
      </c>
    </row>
    <row r="66" spans="1:2" x14ac:dyDescent="0.15">
      <c r="A66">
        <v>1.4000000000000004</v>
      </c>
      <c r="B66">
        <f t="shared" si="0"/>
        <v>-5.0400000000000009</v>
      </c>
    </row>
    <row r="67" spans="1:2" x14ac:dyDescent="0.15">
      <c r="A67">
        <v>1.5</v>
      </c>
      <c r="B67">
        <f t="shared" ref="B67:B102" si="1">$D$1*A67^2+$F$1*A67</f>
        <v>-5.25</v>
      </c>
    </row>
    <row r="68" spans="1:2" x14ac:dyDescent="0.15">
      <c r="A68">
        <v>1.6000000000000005</v>
      </c>
      <c r="B68">
        <f t="shared" si="1"/>
        <v>-5.4400000000000013</v>
      </c>
    </row>
    <row r="69" spans="1:2" x14ac:dyDescent="0.15">
      <c r="A69">
        <v>1.7000000000000002</v>
      </c>
      <c r="B69">
        <f t="shared" si="1"/>
        <v>-5.6099999999999994</v>
      </c>
    </row>
    <row r="70" spans="1:2" x14ac:dyDescent="0.15">
      <c r="A70">
        <v>1.8000000000000007</v>
      </c>
      <c r="B70">
        <f t="shared" si="1"/>
        <v>-5.7600000000000016</v>
      </c>
    </row>
    <row r="71" spans="1:2" x14ac:dyDescent="0.15">
      <c r="A71">
        <v>1.9000000000000004</v>
      </c>
      <c r="B71">
        <f t="shared" si="1"/>
        <v>-5.8900000000000006</v>
      </c>
    </row>
    <row r="72" spans="1:2" x14ac:dyDescent="0.15">
      <c r="A72">
        <v>2</v>
      </c>
      <c r="B72">
        <f t="shared" si="1"/>
        <v>-6</v>
      </c>
    </row>
    <row r="73" spans="1:2" x14ac:dyDescent="0.15">
      <c r="A73">
        <v>2.1000000000000005</v>
      </c>
      <c r="B73">
        <f t="shared" si="1"/>
        <v>-6.0900000000000016</v>
      </c>
    </row>
    <row r="74" spans="1:2" x14ac:dyDescent="0.15">
      <c r="A74">
        <v>2.2000000000000002</v>
      </c>
      <c r="B74">
        <f t="shared" si="1"/>
        <v>-6.1599999999999993</v>
      </c>
    </row>
    <row r="75" spans="1:2" x14ac:dyDescent="0.15">
      <c r="A75">
        <v>2.3000000000000007</v>
      </c>
      <c r="B75">
        <f t="shared" si="1"/>
        <v>-6.21</v>
      </c>
    </row>
    <row r="76" spans="1:2" x14ac:dyDescent="0.15">
      <c r="A76">
        <v>2.4000000000000004</v>
      </c>
      <c r="B76">
        <f t="shared" si="1"/>
        <v>-6.24</v>
      </c>
    </row>
    <row r="77" spans="1:2" x14ac:dyDescent="0.15">
      <c r="A77">
        <v>2.5</v>
      </c>
      <c r="B77">
        <f t="shared" si="1"/>
        <v>-6.25</v>
      </c>
    </row>
    <row r="78" spans="1:2" x14ac:dyDescent="0.15">
      <c r="A78">
        <v>2.6000000000000005</v>
      </c>
      <c r="B78">
        <f t="shared" si="1"/>
        <v>-6.2400000000000011</v>
      </c>
    </row>
    <row r="79" spans="1:2" x14ac:dyDescent="0.15">
      <c r="A79">
        <v>2.7</v>
      </c>
      <c r="B79">
        <f t="shared" si="1"/>
        <v>-6.2099999999999991</v>
      </c>
    </row>
    <row r="80" spans="1:2" x14ac:dyDescent="0.15">
      <c r="A80">
        <v>2.8000000000000007</v>
      </c>
      <c r="B80">
        <f t="shared" si="1"/>
        <v>-6.1599999999999993</v>
      </c>
    </row>
    <row r="81" spans="1:2" x14ac:dyDescent="0.15">
      <c r="A81">
        <v>2.9000000000000004</v>
      </c>
      <c r="B81">
        <f t="shared" si="1"/>
        <v>-6.09</v>
      </c>
    </row>
    <row r="82" spans="1:2" x14ac:dyDescent="0.15">
      <c r="A82">
        <v>3</v>
      </c>
      <c r="B82">
        <f t="shared" si="1"/>
        <v>-6</v>
      </c>
    </row>
    <row r="83" spans="1:2" x14ac:dyDescent="0.15">
      <c r="A83">
        <v>3.0999999999999996</v>
      </c>
      <c r="B83">
        <f t="shared" si="1"/>
        <v>-5.8900000000000006</v>
      </c>
    </row>
    <row r="84" spans="1:2" x14ac:dyDescent="0.15">
      <c r="A84">
        <v>3.2000000000000011</v>
      </c>
      <c r="B84">
        <f t="shared" si="1"/>
        <v>-5.76</v>
      </c>
    </row>
    <row r="85" spans="1:2" x14ac:dyDescent="0.15">
      <c r="A85">
        <v>3.3000000000000007</v>
      </c>
      <c r="B85">
        <f t="shared" si="1"/>
        <v>-5.6099999999999994</v>
      </c>
    </row>
    <row r="86" spans="1:2" x14ac:dyDescent="0.15">
      <c r="A86">
        <v>3.4000000000000004</v>
      </c>
      <c r="B86">
        <f t="shared" si="1"/>
        <v>-5.4399999999999977</v>
      </c>
    </row>
    <row r="87" spans="1:2" x14ac:dyDescent="0.15">
      <c r="A87">
        <v>3.5</v>
      </c>
      <c r="B87">
        <f t="shared" si="1"/>
        <v>-5.25</v>
      </c>
    </row>
    <row r="88" spans="1:2" x14ac:dyDescent="0.15">
      <c r="A88">
        <v>3.5999999999999996</v>
      </c>
      <c r="B88">
        <f t="shared" si="1"/>
        <v>-5.0400000000000027</v>
      </c>
    </row>
    <row r="89" spans="1:2" x14ac:dyDescent="0.15">
      <c r="A89">
        <v>3.7000000000000011</v>
      </c>
      <c r="B89">
        <f t="shared" si="1"/>
        <v>-4.8099999999999987</v>
      </c>
    </row>
    <row r="90" spans="1:2" x14ac:dyDescent="0.15">
      <c r="A90">
        <v>3.8000000000000007</v>
      </c>
      <c r="B90">
        <f t="shared" si="1"/>
        <v>-4.5599999999999987</v>
      </c>
    </row>
    <row r="91" spans="1:2" x14ac:dyDescent="0.15">
      <c r="A91">
        <v>3.9000000000000004</v>
      </c>
      <c r="B91">
        <f t="shared" si="1"/>
        <v>-4.2899999999999974</v>
      </c>
    </row>
    <row r="92" spans="1:2" x14ac:dyDescent="0.15">
      <c r="A92">
        <v>4</v>
      </c>
      <c r="B92">
        <f t="shared" si="1"/>
        <v>-4</v>
      </c>
    </row>
    <row r="93" spans="1:2" x14ac:dyDescent="0.15">
      <c r="A93">
        <v>4.0999999999999996</v>
      </c>
      <c r="B93">
        <f t="shared" si="1"/>
        <v>-3.6900000000000013</v>
      </c>
    </row>
    <row r="94" spans="1:2" x14ac:dyDescent="0.15">
      <c r="A94">
        <v>4.2000000000000011</v>
      </c>
      <c r="B94">
        <f t="shared" si="1"/>
        <v>-3.3599999999999994</v>
      </c>
    </row>
    <row r="95" spans="1:2" x14ac:dyDescent="0.15">
      <c r="A95">
        <v>4.3000000000000007</v>
      </c>
      <c r="B95">
        <f t="shared" si="1"/>
        <v>-3.009999999999998</v>
      </c>
    </row>
    <row r="96" spans="1:2" x14ac:dyDescent="0.15">
      <c r="A96">
        <v>4.4000000000000004</v>
      </c>
      <c r="B96">
        <f t="shared" si="1"/>
        <v>-2.639999999999997</v>
      </c>
    </row>
    <row r="97" spans="1:2" x14ac:dyDescent="0.15">
      <c r="A97">
        <v>4.5</v>
      </c>
      <c r="B97">
        <f t="shared" si="1"/>
        <v>-2.25</v>
      </c>
    </row>
    <row r="98" spans="1:2" x14ac:dyDescent="0.15">
      <c r="A98">
        <v>4.6000000000000014</v>
      </c>
      <c r="B98">
        <f t="shared" si="1"/>
        <v>-1.8399999999999928</v>
      </c>
    </row>
    <row r="99" spans="1:2" x14ac:dyDescent="0.15">
      <c r="A99">
        <v>4.7000000000000011</v>
      </c>
      <c r="B99">
        <f t="shared" si="1"/>
        <v>-1.4099999999999966</v>
      </c>
    </row>
    <row r="100" spans="1:2" x14ac:dyDescent="0.15">
      <c r="A100">
        <v>4.8000000000000007</v>
      </c>
      <c r="B100">
        <f t="shared" si="1"/>
        <v>-0.9599999999999973</v>
      </c>
    </row>
    <row r="101" spans="1:2" x14ac:dyDescent="0.15">
      <c r="A101">
        <v>4.9000000000000004</v>
      </c>
      <c r="B101">
        <f t="shared" si="1"/>
        <v>-0.48999999999999488</v>
      </c>
    </row>
    <row r="102" spans="1:2" x14ac:dyDescent="0.15">
      <c r="A102">
        <v>5</v>
      </c>
      <c r="B102">
        <f t="shared" si="1"/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 Bar 1">
              <controlPr defaultSize="0" autoPict="0">
                <anchor moveWithCells="1">
                  <from>
                    <xdr:col>7</xdr:col>
                    <xdr:colOff>600075</xdr:colOff>
                    <xdr:row>19</xdr:row>
                    <xdr:rowOff>114300</xdr:rowOff>
                  </from>
                  <to>
                    <xdr:col>14</xdr:col>
                    <xdr:colOff>257175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Scroll Bar 2">
              <controlPr defaultSize="0" autoPict="0">
                <anchor moveWithCells="1">
                  <from>
                    <xdr:col>7</xdr:col>
                    <xdr:colOff>609600</xdr:colOff>
                    <xdr:row>21</xdr:row>
                    <xdr:rowOff>152400</xdr:rowOff>
                  </from>
                  <to>
                    <xdr:col>14</xdr:col>
                    <xdr:colOff>257175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504"/>
  <sheetViews>
    <sheetView workbookViewId="0">
      <selection activeCell="F35" sqref="F35"/>
    </sheetView>
  </sheetViews>
  <sheetFormatPr defaultRowHeight="13.5" x14ac:dyDescent="0.15"/>
  <cols>
    <col min="7" max="7" width="21.25" customWidth="1"/>
  </cols>
  <sheetData>
    <row r="1" spans="1:8" x14ac:dyDescent="0.15">
      <c r="A1" t="s">
        <v>12</v>
      </c>
      <c r="B1" t="s">
        <v>7</v>
      </c>
      <c r="C1" t="s">
        <v>8</v>
      </c>
      <c r="D1" t="s">
        <v>13</v>
      </c>
      <c r="E1" t="s">
        <v>14</v>
      </c>
      <c r="G1" s="3" t="s">
        <v>15</v>
      </c>
      <c r="H1">
        <v>10</v>
      </c>
    </row>
    <row r="2" spans="1:8" x14ac:dyDescent="0.15">
      <c r="A2">
        <v>1</v>
      </c>
      <c r="B2">
        <f>$H$1/100</f>
        <v>0.1</v>
      </c>
      <c r="C2">
        <f>$H$2/1000</f>
        <v>0.02</v>
      </c>
      <c r="D2">
        <v>1</v>
      </c>
      <c r="E2">
        <v>0.01</v>
      </c>
      <c r="G2" s="3" t="s">
        <v>16</v>
      </c>
      <c r="H2">
        <v>20</v>
      </c>
    </row>
    <row r="3" spans="1:8" x14ac:dyDescent="0.15">
      <c r="A3" t="s">
        <v>11</v>
      </c>
      <c r="B3" t="s">
        <v>9</v>
      </c>
      <c r="C3" t="s">
        <v>10</v>
      </c>
    </row>
    <row r="4" spans="1:8" x14ac:dyDescent="0.15">
      <c r="A4">
        <v>0</v>
      </c>
      <c r="B4">
        <v>3</v>
      </c>
      <c r="C4">
        <v>1</v>
      </c>
    </row>
    <row r="5" spans="1:8" x14ac:dyDescent="0.15">
      <c r="A5">
        <f>A4+$E$2</f>
        <v>0.01</v>
      </c>
      <c r="B5">
        <f>(1+($A$2-$B$2*C4)*$E$2)*B4</f>
        <v>3.0269999999999997</v>
      </c>
      <c r="C5">
        <f>(1+($C$2*B4-$D$2)*$E$2)*C4</f>
        <v>0.99060000000000004</v>
      </c>
    </row>
    <row r="6" spans="1:8" x14ac:dyDescent="0.15">
      <c r="A6">
        <v>0.02</v>
      </c>
      <c r="B6">
        <f t="shared" ref="B6:B69" si="0">(1+($A$2-$B$2*C5)*$E$2)*B5</f>
        <v>3.0542714537999998</v>
      </c>
      <c r="C6">
        <f t="shared" ref="C6:C69" si="1">(1+($C$2*B5-$D$2)*$E$2)*C5</f>
        <v>0.98129370924000003</v>
      </c>
    </row>
    <row r="7" spans="1:8" x14ac:dyDescent="0.15">
      <c r="A7">
        <v>0.03</v>
      </c>
      <c r="B7">
        <f t="shared" si="0"/>
        <v>3.0818170309740749</v>
      </c>
      <c r="C7">
        <f t="shared" si="1"/>
        <v>0.97208019962038505</v>
      </c>
    </row>
    <row r="8" spans="1:8" x14ac:dyDescent="0.15">
      <c r="A8">
        <v>0.04</v>
      </c>
      <c r="B8">
        <f t="shared" si="0"/>
        <v>3.1096394279691526</v>
      </c>
      <c r="C8">
        <f t="shared" si="1"/>
        <v>0.9629585522871138</v>
      </c>
    </row>
    <row r="9" spans="1:8" x14ac:dyDescent="0.15">
      <c r="A9">
        <v>0.05</v>
      </c>
      <c r="B9">
        <f t="shared" si="0"/>
        <v>3.1377413683671516</v>
      </c>
      <c r="C9">
        <f t="shared" si="1"/>
        <v>0.95392785754058107</v>
      </c>
    </row>
    <row r="10" spans="1:8" x14ac:dyDescent="0.15">
      <c r="A10">
        <v>6.0000000000000005E-2</v>
      </c>
      <c r="B10">
        <f t="shared" si="0"/>
        <v>3.1661256031497804</v>
      </c>
      <c r="C10">
        <f t="shared" si="1"/>
        <v>0.94498721474538383</v>
      </c>
    </row>
    <row r="11" spans="1:8" x14ac:dyDescent="0.15">
      <c r="A11">
        <v>6.9999999999999993E-2</v>
      </c>
      <c r="B11">
        <f t="shared" si="0"/>
        <v>3.1947949109660239</v>
      </c>
      <c r="C11">
        <f t="shared" si="1"/>
        <v>0.93613573224098101</v>
      </c>
    </row>
    <row r="12" spans="1:8" x14ac:dyDescent="0.15">
      <c r="A12">
        <v>0.08</v>
      </c>
      <c r="B12">
        <f t="shared" si="0"/>
        <v>3.2237520984023469</v>
      </c>
      <c r="C12">
        <f t="shared" si="1"/>
        <v>0.9273725272532386</v>
      </c>
    </row>
    <row r="13" spans="1:8" x14ac:dyDescent="0.15">
      <c r="A13">
        <v>0.09</v>
      </c>
      <c r="B13">
        <f t="shared" si="0"/>
        <v>3.2530000002556374</v>
      </c>
      <c r="C13">
        <f t="shared" si="1"/>
        <v>0.91869672580685291</v>
      </c>
    </row>
    <row r="14" spans="1:8" x14ac:dyDescent="0.15">
      <c r="A14">
        <v>9.9999999999999992E-2</v>
      </c>
      <c r="B14">
        <f t="shared" si="0"/>
        <v>3.2825414798089096</v>
      </c>
      <c r="C14">
        <f t="shared" si="1"/>
        <v>0.91010746263864128</v>
      </c>
    </row>
    <row r="15" spans="1:8" x14ac:dyDescent="0.15">
      <c r="A15">
        <v>0.11</v>
      </c>
      <c r="B15">
        <f t="shared" si="0"/>
        <v>3.3123794291098032</v>
      </c>
      <c r="C15">
        <f t="shared" si="1"/>
        <v>0.90160388111169387</v>
      </c>
    </row>
    <row r="16" spans="1:8" x14ac:dyDescent="0.15">
      <c r="A16">
        <v>0.12</v>
      </c>
      <c r="B16">
        <f t="shared" si="0"/>
        <v>3.3425167692519016</v>
      </c>
      <c r="C16">
        <f t="shared" si="1"/>
        <v>0.89318513313037695</v>
      </c>
    </row>
    <row r="17" spans="1:3" x14ac:dyDescent="0.15">
      <c r="A17">
        <v>0.13</v>
      </c>
      <c r="B17">
        <f t="shared" si="0"/>
        <v>3.3729564506588856</v>
      </c>
      <c r="C17">
        <f t="shared" si="1"/>
        <v>0.88485037905618014</v>
      </c>
    </row>
    <row r="18" spans="1:3" x14ac:dyDescent="0.15">
      <c r="A18">
        <v>0.14000000000000001</v>
      </c>
      <c r="B18">
        <f t="shared" si="0"/>
        <v>3.403701453371569</v>
      </c>
      <c r="C18">
        <f t="shared" si="1"/>
        <v>0.87659878762439947</v>
      </c>
    </row>
    <row r="19" spans="1:3" x14ac:dyDescent="0.15">
      <c r="A19">
        <v>0.15000000000000002</v>
      </c>
      <c r="B19">
        <f t="shared" si="0"/>
        <v>3.4347547873378237</v>
      </c>
      <c r="C19">
        <f t="shared" si="1"/>
        <v>0.86842953586164762</v>
      </c>
    </row>
    <row r="20" spans="1:3" x14ac:dyDescent="0.15">
      <c r="A20">
        <v>0.16</v>
      </c>
      <c r="B20">
        <f t="shared" si="0"/>
        <v>3.4661194927054355</v>
      </c>
      <c r="C20">
        <f t="shared" si="1"/>
        <v>0.86034180900418444</v>
      </c>
    </row>
    <row r="21" spans="1:3" x14ac:dyDescent="0.15">
      <c r="A21">
        <v>0.17</v>
      </c>
      <c r="B21">
        <f t="shared" si="0"/>
        <v>3.4977986401179106</v>
      </c>
      <c r="C21">
        <f t="shared" si="1"/>
        <v>0.85233480041705834</v>
      </c>
    </row>
    <row r="22" spans="1:3" x14ac:dyDescent="0.15">
      <c r="A22">
        <v>0.18000000000000002</v>
      </c>
      <c r="B22">
        <f t="shared" si="0"/>
        <v>3.5297953310132661</v>
      </c>
      <c r="C22">
        <f t="shared" si="1"/>
        <v>0.84440771151405258</v>
      </c>
    </row>
    <row r="23" spans="1:3" x14ac:dyDescent="0.15">
      <c r="A23">
        <v>0.19</v>
      </c>
      <c r="B23">
        <f t="shared" si="0"/>
        <v>3.5621126979258255</v>
      </c>
      <c r="C23">
        <f t="shared" si="1"/>
        <v>0.83655975167842678</v>
      </c>
    </row>
    <row r="24" spans="1:3" x14ac:dyDescent="0.15">
      <c r="A24">
        <v>0.2</v>
      </c>
      <c r="B24">
        <f t="shared" si="0"/>
        <v>3.5947539047910566</v>
      </c>
      <c r="C24">
        <f t="shared" si="1"/>
        <v>0.82879013818444791</v>
      </c>
    </row>
    <row r="25" spans="1:3" x14ac:dyDescent="0.15">
      <c r="A25">
        <v>0.21000000000000002</v>
      </c>
      <c r="B25">
        <f t="shared" si="0"/>
        <v>3.6277221472534764</v>
      </c>
      <c r="C25">
        <f t="shared" si="1"/>
        <v>0.82109809611970153</v>
      </c>
    </row>
    <row r="26" spans="1:3" x14ac:dyDescent="0.15">
      <c r="A26">
        <v>0.22</v>
      </c>
      <c r="B26">
        <f t="shared" si="0"/>
        <v>3.6610206529776503</v>
      </c>
      <c r="C26">
        <f t="shared" si="1"/>
        <v>0.81348285830817679</v>
      </c>
    </row>
    <row r="27" spans="1:3" x14ac:dyDescent="0.15">
      <c r="A27">
        <v>0.23</v>
      </c>
      <c r="B27">
        <f t="shared" si="0"/>
        <v>3.6946526819623173</v>
      </c>
      <c r="C27">
        <f t="shared" si="1"/>
        <v>0.80594366523411687</v>
      </c>
    </row>
    <row r="28" spans="1:3" x14ac:dyDescent="0.15">
      <c r="A28">
        <v>0.24000000000000002</v>
      </c>
      <c r="B28">
        <f t="shared" si="0"/>
        <v>3.7286215268576726</v>
      </c>
      <c r="C28">
        <f t="shared" si="1"/>
        <v>0.79847976496662931</v>
      </c>
    </row>
    <row r="29" spans="1:3" x14ac:dyDescent="0.15">
      <c r="A29">
        <v>0.25</v>
      </c>
      <c r="B29">
        <f t="shared" si="0"/>
        <v>3.7629305132858342</v>
      </c>
      <c r="C29">
        <f t="shared" si="1"/>
        <v>0.79109041308504602</v>
      </c>
    </row>
    <row r="30" spans="1:3" x14ac:dyDescent="0.15">
      <c r="A30">
        <v>0.26</v>
      </c>
      <c r="B30">
        <f t="shared" si="0"/>
        <v>3.797583000164527</v>
      </c>
      <c r="C30">
        <f t="shared" si="1"/>
        <v>0.78377487260502865</v>
      </c>
    </row>
    <row r="31" spans="1:3" x14ac:dyDescent="0.15">
      <c r="A31">
        <v>0.27</v>
      </c>
      <c r="B31">
        <f t="shared" si="0"/>
        <v>3.8325823800340117</v>
      </c>
      <c r="C31">
        <f t="shared" si="1"/>
        <v>0.77653241390541061</v>
      </c>
    </row>
    <row r="32" spans="1:3" x14ac:dyDescent="0.15">
      <c r="A32">
        <v>0.28000000000000003</v>
      </c>
      <c r="B32">
        <f t="shared" si="0"/>
        <v>3.8679320793872924</v>
      </c>
      <c r="C32">
        <f t="shared" si="1"/>
        <v>0.76936231465576832</v>
      </c>
    </row>
    <row r="33" spans="1:3" x14ac:dyDescent="0.15">
      <c r="A33">
        <v>0.29000000000000004</v>
      </c>
      <c r="B33">
        <f t="shared" si="0"/>
        <v>3.9036355590036362</v>
      </c>
      <c r="C33">
        <f t="shared" si="1"/>
        <v>0.76226385974471633</v>
      </c>
    </row>
    <row r="34" spans="1:3" x14ac:dyDescent="0.15">
      <c r="A34">
        <v>0.3</v>
      </c>
      <c r="B34">
        <f t="shared" si="0"/>
        <v>3.9396963142854302</v>
      </c>
      <c r="C34">
        <f t="shared" si="1"/>
        <v>0.75523634120891781</v>
      </c>
    </row>
    <row r="35" spans="1:3" x14ac:dyDescent="0.15">
      <c r="A35">
        <v>0.31</v>
      </c>
      <c r="B35">
        <f t="shared" si="0"/>
        <v>3.9761178755984097</v>
      </c>
      <c r="C35">
        <f t="shared" si="1"/>
        <v>0.74827905816280371</v>
      </c>
    </row>
    <row r="36" spans="1:3" x14ac:dyDescent="0.15">
      <c r="A36">
        <v>0.32</v>
      </c>
      <c r="B36">
        <f t="shared" si="0"/>
        <v>4.0129038086152971</v>
      </c>
      <c r="C36">
        <f t="shared" si="1"/>
        <v>0.74139131672899516</v>
      </c>
    </row>
    <row r="37" spans="1:3" x14ac:dyDescent="0.15">
      <c r="A37">
        <v>0.33</v>
      </c>
      <c r="B37">
        <f t="shared" si="0"/>
        <v>4.0500577146628745</v>
      </c>
      <c r="C37">
        <f t="shared" si="1"/>
        <v>0.7345724299694204</v>
      </c>
    </row>
    <row r="38" spans="1:3" x14ac:dyDescent="0.15">
      <c r="A38">
        <v>0.34</v>
      </c>
      <c r="B38">
        <f t="shared" si="0"/>
        <v>4.0875832310725269</v>
      </c>
      <c r="C38">
        <f t="shared" si="1"/>
        <v>0.72782171781712146</v>
      </c>
    </row>
    <row r="39" spans="1:3" x14ac:dyDescent="0.15">
      <c r="A39">
        <v>0.35000000000000003</v>
      </c>
      <c r="B39">
        <f t="shared" si="0"/>
        <v>4.1254840315342927</v>
      </c>
      <c r="C39">
        <f t="shared" si="1"/>
        <v>0.72113850700874216</v>
      </c>
    </row>
    <row r="40" spans="1:3" x14ac:dyDescent="0.15">
      <c r="A40">
        <v>0.36000000000000004</v>
      </c>
      <c r="B40">
        <f t="shared" si="0"/>
        <v>4.1637638264544465</v>
      </c>
      <c r="C40">
        <f t="shared" si="1"/>
        <v>0.71452213101769246</v>
      </c>
    </row>
    <row r="41" spans="1:3" x14ac:dyDescent="0.15">
      <c r="A41">
        <v>0.37</v>
      </c>
      <c r="B41">
        <f t="shared" si="0"/>
        <v>4.2024263633166585</v>
      </c>
      <c r="C41">
        <f t="shared" si="1"/>
        <v>0.70797192998798208</v>
      </c>
    </row>
    <row r="42" spans="1:3" x14ac:dyDescent="0.15">
      <c r="A42">
        <v>0.38</v>
      </c>
      <c r="B42">
        <f t="shared" si="0"/>
        <v>4.2414754270467547</v>
      </c>
      <c r="C42">
        <f t="shared" si="1"/>
        <v>0.7014872506687162</v>
      </c>
    </row>
    <row r="43" spans="1:3" x14ac:dyDescent="0.15">
      <c r="A43">
        <v>0.39</v>
      </c>
      <c r="B43">
        <f t="shared" si="0"/>
        <v>4.2809148403811239</v>
      </c>
      <c r="C43">
        <f t="shared" si="1"/>
        <v>0.69506744634924866</v>
      </c>
    </row>
    <row r="44" spans="1:3" x14ac:dyDescent="0.15">
      <c r="A44">
        <v>0.4</v>
      </c>
      <c r="B44">
        <f t="shared" si="0"/>
        <v>4.3207484642387923</v>
      </c>
      <c r="C44">
        <f t="shared" si="1"/>
        <v>0.68871187679498458</v>
      </c>
    </row>
    <row r="45" spans="1:3" x14ac:dyDescent="0.15">
      <c r="A45">
        <v>0.41000000000000003</v>
      </c>
      <c r="B45">
        <f t="shared" si="0"/>
        <v>4.3609801980972147</v>
      </c>
      <c r="C45">
        <f t="shared" si="1"/>
        <v>0.68241990818382769</v>
      </c>
    </row>
    <row r="46" spans="1:3" x14ac:dyDescent="0.15">
      <c r="A46">
        <v>0.42000000000000004</v>
      </c>
      <c r="B46">
        <f t="shared" si="0"/>
        <v>4.4016139803718097</v>
      </c>
      <c r="C46">
        <f t="shared" si="1"/>
        <v>0.67619091304326484</v>
      </c>
    </row>
    <row r="47" spans="1:3" x14ac:dyDescent="0.15">
      <c r="A47">
        <v>0.43</v>
      </c>
      <c r="B47">
        <f t="shared" si="0"/>
        <v>4.4426537887992765</v>
      </c>
      <c r="C47">
        <f t="shared" si="1"/>
        <v>0.67002427018808253</v>
      </c>
    </row>
    <row r="48" spans="1:3" x14ac:dyDescent="0.15">
      <c r="A48">
        <v>0.44</v>
      </c>
      <c r="B48">
        <f t="shared" si="0"/>
        <v>4.4841036408247312</v>
      </c>
      <c r="C48">
        <f t="shared" si="1"/>
        <v>0.66391936465870938</v>
      </c>
    </row>
    <row r="49" spans="1:3" x14ac:dyDescent="0.15">
      <c r="A49">
        <v>0.45</v>
      </c>
      <c r="B49">
        <f t="shared" si="0"/>
        <v>4.5259675939926982</v>
      </c>
      <c r="C49">
        <f t="shared" si="1"/>
        <v>0.6578755876601784</v>
      </c>
    </row>
    <row r="50" spans="1:3" x14ac:dyDescent="0.15">
      <c r="A50">
        <v>0.46</v>
      </c>
      <c r="B50">
        <f t="shared" si="0"/>
        <v>4.568249746341996</v>
      </c>
      <c r="C50">
        <f t="shared" si="1"/>
        <v>0.65189233650170242</v>
      </c>
    </row>
    <row r="51" spans="1:3" x14ac:dyDescent="0.15">
      <c r="A51">
        <v>0.47000000000000003</v>
      </c>
      <c r="B51">
        <f t="shared" si="0"/>
        <v>4.6109542368045497</v>
      </c>
      <c r="C51">
        <f t="shared" si="1"/>
        <v>0.64596901453685862</v>
      </c>
    </row>
    <row r="52" spans="1:3" x14ac:dyDescent="0.15">
      <c r="A52">
        <v>0.48000000000000004</v>
      </c>
      <c r="B52">
        <f t="shared" si="0"/>
        <v>4.6540852456081723</v>
      </c>
      <c r="C52">
        <f t="shared" si="1"/>
        <v>0.64010503110437467</v>
      </c>
    </row>
    <row r="53" spans="1:3" x14ac:dyDescent="0.15">
      <c r="A53">
        <v>0.49</v>
      </c>
      <c r="B53">
        <f t="shared" si="0"/>
        <v>4.6976469946833515</v>
      </c>
      <c r="C53">
        <f t="shared" si="1"/>
        <v>0.63429980146951148</v>
      </c>
    </row>
    <row r="54" spans="1:3" x14ac:dyDescent="0.15">
      <c r="A54">
        <v>0.5</v>
      </c>
      <c r="B54">
        <f t="shared" si="0"/>
        <v>4.7416437480740834</v>
      </c>
      <c r="C54">
        <f t="shared" si="1"/>
        <v>0.62855274676603667</v>
      </c>
    </row>
    <row r="55" spans="1:3" x14ac:dyDescent="0.15">
      <c r="A55">
        <v>0.51</v>
      </c>
      <c r="B55">
        <f t="shared" si="0"/>
        <v>4.7860798123527868</v>
      </c>
      <c r="C55">
        <f t="shared" si="1"/>
        <v>0.62286329393878392</v>
      </c>
    </row>
    <row r="56" spans="1:3" x14ac:dyDescent="0.15">
      <c r="A56">
        <v>0.52</v>
      </c>
      <c r="B56">
        <f t="shared" si="0"/>
        <v>4.8309595370393383</v>
      </c>
      <c r="C56">
        <f t="shared" si="1"/>
        <v>0.61723087568679125</v>
      </c>
    </row>
    <row r="57" spans="1:3" x14ac:dyDescent="0.15">
      <c r="A57">
        <v>0.53</v>
      </c>
      <c r="B57">
        <f t="shared" si="0"/>
        <v>4.8762873150242774</v>
      </c>
      <c r="C57">
        <f t="shared" si="1"/>
        <v>0.61165493040701413</v>
      </c>
    </row>
    <row r="58" spans="1:3" x14ac:dyDescent="0.15">
      <c r="A58">
        <v>0.54</v>
      </c>
      <c r="B58">
        <f t="shared" si="0"/>
        <v>4.9220675829962044</v>
      </c>
      <c r="C58">
        <f t="shared" si="1"/>
        <v>0.6061349021386071</v>
      </c>
    </row>
    <row r="59" spans="1:3" x14ac:dyDescent="0.15">
      <c r="A59">
        <v>0.55000000000000004</v>
      </c>
      <c r="B59">
        <f t="shared" si="0"/>
        <v>4.9683048218734269</v>
      </c>
      <c r="C59">
        <f t="shared" si="1"/>
        <v>0.60067024050776885</v>
      </c>
    </row>
    <row r="60" spans="1:3" x14ac:dyDescent="0.15">
      <c r="A60">
        <v>0.56000000000000005</v>
      </c>
      <c r="B60">
        <f t="shared" si="0"/>
        <v>5.0150035572398908</v>
      </c>
      <c r="C60">
        <f t="shared" si="1"/>
        <v>0.59526040067314534</v>
      </c>
    </row>
    <row r="61" spans="1:3" x14ac:dyDescent="0.15">
      <c r="A61">
        <v>0.57000000000000006</v>
      </c>
      <c r="B61">
        <f t="shared" si="0"/>
        <v>5.0621683597854297</v>
      </c>
      <c r="C61">
        <f t="shared" si="1"/>
        <v>0.58990484327178583</v>
      </c>
    </row>
    <row r="62" spans="1:3" x14ac:dyDescent="0.15">
      <c r="A62">
        <v>0.58000000000000007</v>
      </c>
      <c r="B62">
        <f t="shared" si="0"/>
        <v>5.1098038457503892</v>
      </c>
      <c r="C62">
        <f t="shared" si="1"/>
        <v>0.58460303436564687</v>
      </c>
    </row>
    <row r="63" spans="1:3" x14ac:dyDescent="0.15">
      <c r="A63">
        <v>0.59</v>
      </c>
      <c r="B63">
        <f t="shared" si="0"/>
        <v>5.157914677374654</v>
      </c>
      <c r="C63">
        <f t="shared" si="1"/>
        <v>0.57935444538863812</v>
      </c>
    </row>
    <row r="64" spans="1:3" x14ac:dyDescent="0.15">
      <c r="A64">
        <v>0.6</v>
      </c>
      <c r="B64">
        <f t="shared" si="0"/>
        <v>5.2065055633511284</v>
      </c>
      <c r="C64">
        <f t="shared" si="1"/>
        <v>0.57415855309420616</v>
      </c>
    </row>
    <row r="65" spans="1:3" x14ac:dyDescent="0.15">
      <c r="A65">
        <v>0.61</v>
      </c>
      <c r="B65">
        <f t="shared" si="0"/>
        <v>5.2555812592837086</v>
      </c>
      <c r="C65">
        <f t="shared" si="1"/>
        <v>0.56901483950345022</v>
      </c>
    </row>
    <row r="66" spans="1:3" x14ac:dyDescent="0.15">
      <c r="A66">
        <v>0.62</v>
      </c>
      <c r="B66">
        <f t="shared" si="0"/>
        <v>5.3051465681497971</v>
      </c>
      <c r="C66">
        <f t="shared" si="1"/>
        <v>0.56392279185376548</v>
      </c>
    </row>
    <row r="67" spans="1:3" x14ac:dyDescent="0.15">
      <c r="A67">
        <v>0.63</v>
      </c>
      <c r="B67">
        <f t="shared" si="0"/>
        <v>5.3552063407673911</v>
      </c>
      <c r="C67">
        <f t="shared" si="1"/>
        <v>0.55888190254800874</v>
      </c>
    </row>
    <row r="68" spans="1:3" x14ac:dyDescent="0.15">
      <c r="A68">
        <v>0.64</v>
      </c>
      <c r="B68">
        <f t="shared" si="0"/>
        <v>5.4057654762667999</v>
      </c>
      <c r="C68">
        <f t="shared" si="1"/>
        <v>0.55389166910418175</v>
      </c>
    </row>
    <row r="69" spans="1:3" x14ac:dyDescent="0.15">
      <c r="A69">
        <v>0.65</v>
      </c>
      <c r="B69">
        <f t="shared" si="0"/>
        <v>5.4568289225670332</v>
      </c>
      <c r="C69">
        <f t="shared" si="1"/>
        <v>0.54895159410562699</v>
      </c>
    </row>
    <row r="70" spans="1:3" x14ac:dyDescent="0.15">
      <c r="A70">
        <v>0.66</v>
      </c>
      <c r="B70">
        <f t="shared" ref="B70:B133" si="2">(1+($A$2-$B$2*C69)*$E$2)*B69</f>
        <v>5.5084016768568977</v>
      </c>
      <c r="C70">
        <f t="shared" ref="C70:C133" si="3">(1+($C$2*B69-$D$2)*$E$2)*C69</f>
        <v>0.54406118515173174</v>
      </c>
    </row>
    <row r="71" spans="1:3" x14ac:dyDescent="0.15">
      <c r="A71">
        <v>0.67</v>
      </c>
      <c r="B71">
        <f t="shared" si="2"/>
        <v>5.5604887860808647</v>
      </c>
      <c r="C71">
        <f t="shared" si="3"/>
        <v>0.53921995480913498</v>
      </c>
    </row>
    <row r="72" spans="1:3" x14ac:dyDescent="0.15">
      <c r="A72">
        <v>0.68</v>
      </c>
      <c r="B72">
        <f t="shared" si="2"/>
        <v>5.6130953474297263</v>
      </c>
      <c r="C72">
        <f t="shared" si="3"/>
        <v>0.53442742056343306</v>
      </c>
    </row>
    <row r="73" spans="1:3" x14ac:dyDescent="0.15">
      <c r="A73">
        <v>0.69000000000000006</v>
      </c>
      <c r="B73">
        <f t="shared" si="2"/>
        <v>5.6662265088361199</v>
      </c>
      <c r="C73">
        <f t="shared" si="3"/>
        <v>0.52968310477137948</v>
      </c>
    </row>
    <row r="74" spans="1:3" x14ac:dyDescent="0.15">
      <c r="A74">
        <v>0.70000000000000007</v>
      </c>
      <c r="B74">
        <f t="shared" si="2"/>
        <v>5.7198874694749424</v>
      </c>
      <c r="C74">
        <f t="shared" si="3"/>
        <v>0.52498653461357336</v>
      </c>
    </row>
    <row r="75" spans="1:3" x14ac:dyDescent="0.15">
      <c r="A75">
        <v>0.71000000000000008</v>
      </c>
      <c r="B75">
        <f t="shared" si="2"/>
        <v>5.7740834802687129</v>
      </c>
      <c r="C75">
        <f t="shared" si="3"/>
        <v>0.52033724204763343</v>
      </c>
    </row>
    <row r="76" spans="1:3" x14ac:dyDescent="0.15">
      <c r="A76">
        <v>0.72</v>
      </c>
      <c r="B76">
        <f t="shared" si="2"/>
        <v>5.8288198443979242</v>
      </c>
      <c r="C76">
        <f t="shared" si="3"/>
        <v>0.51573476376185223</v>
      </c>
    </row>
    <row r="77" spans="1:3" x14ac:dyDescent="0.15">
      <c r="A77">
        <v>0.73</v>
      </c>
      <c r="B77">
        <f t="shared" si="2"/>
        <v>5.8841019178164427</v>
      </c>
      <c r="C77">
        <f t="shared" si="3"/>
        <v>0.51117864112932587</v>
      </c>
    </row>
    <row r="78" spans="1:3" x14ac:dyDescent="0.15">
      <c r="A78">
        <v>0.74</v>
      </c>
      <c r="B78">
        <f t="shared" si="2"/>
        <v>5.9399351097719908</v>
      </c>
      <c r="C78">
        <f t="shared" si="3"/>
        <v>0.50666842016255575</v>
      </c>
    </row>
    <row r="79" spans="1:3" x14ac:dyDescent="0.15">
      <c r="A79">
        <v>0.75</v>
      </c>
      <c r="B79">
        <f t="shared" si="2"/>
        <v>5.9963248833317735</v>
      </c>
      <c r="C79">
        <f t="shared" si="3"/>
        <v>0.50220365146851742</v>
      </c>
    </row>
    <row r="80" spans="1:3" x14ac:dyDescent="0.15">
      <c r="A80">
        <v>0.76</v>
      </c>
      <c r="B80">
        <f t="shared" si="2"/>
        <v>6.0532767559132905</v>
      </c>
      <c r="C80">
        <f t="shared" si="3"/>
        <v>0.49778389020419239</v>
      </c>
    </row>
    <row r="81" spans="1:3" x14ac:dyDescent="0.15">
      <c r="A81">
        <v>0.77</v>
      </c>
      <c r="B81">
        <f t="shared" si="2"/>
        <v>6.1107962998203815</v>
      </c>
      <c r="C81">
        <f t="shared" si="3"/>
        <v>0.49340869603255871</v>
      </c>
    </row>
    <row r="82" spans="1:3" x14ac:dyDescent="0.15">
      <c r="A82">
        <v>0.78</v>
      </c>
      <c r="B82">
        <f t="shared" si="2"/>
        <v>6.16888914278457</v>
      </c>
      <c r="C82">
        <f t="shared" si="3"/>
        <v>0.48907763307903612</v>
      </c>
    </row>
    <row r="83" spans="1:3" x14ac:dyDescent="0.15">
      <c r="A83">
        <v>0.79</v>
      </c>
      <c r="B83">
        <f t="shared" si="2"/>
        <v>6.2275609685117361</v>
      </c>
      <c r="C83">
        <f t="shared" si="3"/>
        <v>0.48479026988838175</v>
      </c>
    </row>
    <row r="84" spans="1:3" x14ac:dyDescent="0.15">
      <c r="A84">
        <v>0.8</v>
      </c>
      <c r="B84">
        <f t="shared" si="2"/>
        <v>6.2868175172341827</v>
      </c>
      <c r="C84">
        <f t="shared" si="3"/>
        <v>0.4805461793820322</v>
      </c>
    </row>
    <row r="85" spans="1:3" x14ac:dyDescent="0.15">
      <c r="A85">
        <v>0.81</v>
      </c>
      <c r="B85">
        <f t="shared" si="2"/>
        <v>6.3466645862681457</v>
      </c>
      <c r="C85">
        <f t="shared" si="3"/>
        <v>0.47634493881588769</v>
      </c>
    </row>
    <row r="86" spans="1:3" x14ac:dyDescent="0.15">
      <c r="A86">
        <v>0.82000000000000006</v>
      </c>
      <c r="B86">
        <f t="shared" si="2"/>
        <v>6.4071080305767962</v>
      </c>
      <c r="C86">
        <f t="shared" si="3"/>
        <v>0.47218612973853497</v>
      </c>
    </row>
    <row r="87" spans="1:3" x14ac:dyDescent="0.15">
      <c r="A87">
        <v>0.83000000000000007</v>
      </c>
      <c r="B87">
        <f t="shared" si="2"/>
        <v>6.4681537633387896</v>
      </c>
      <c r="C87">
        <f t="shared" si="3"/>
        <v>0.46806933794990457</v>
      </c>
    </row>
    <row r="88" spans="1:3" x14ac:dyDescent="0.15">
      <c r="A88">
        <v>0.84000000000000008</v>
      </c>
      <c r="B88">
        <f t="shared" si="2"/>
        <v>6.5298077565224126</v>
      </c>
      <c r="C88">
        <f t="shared" si="3"/>
        <v>0.46399415346035833</v>
      </c>
    </row>
    <row r="89" spans="1:3" x14ac:dyDescent="0.15">
      <c r="A89">
        <v>0.85</v>
      </c>
      <c r="B89">
        <f t="shared" si="2"/>
        <v>6.5920760414653907</v>
      </c>
      <c r="C89">
        <f t="shared" si="3"/>
        <v>0.45996017045020404</v>
      </c>
    </row>
    <row r="90" spans="1:3" x14ac:dyDescent="0.15">
      <c r="A90">
        <v>0.86</v>
      </c>
      <c r="B90">
        <f t="shared" si="2"/>
        <v>6.6549647094603914</v>
      </c>
      <c r="C90">
        <f t="shared" si="3"/>
        <v>0.45596698722963264</v>
      </c>
    </row>
    <row r="91" spans="1:3" x14ac:dyDescent="0.15">
      <c r="A91">
        <v>0.87</v>
      </c>
      <c r="B91">
        <f t="shared" si="2"/>
        <v>6.7184799123463028</v>
      </c>
      <c r="C91">
        <f t="shared" si="3"/>
        <v>0.45201420619907473</v>
      </c>
    </row>
    <row r="92" spans="1:3" x14ac:dyDescent="0.15">
      <c r="A92">
        <v>0.88</v>
      </c>
      <c r="B92">
        <f t="shared" si="2"/>
        <v>6.782627863105323</v>
      </c>
      <c r="C92">
        <f t="shared" si="3"/>
        <v>0.44810143380997275</v>
      </c>
    </row>
    <row r="93" spans="1:3" x14ac:dyDescent="0.15">
      <c r="A93">
        <v>0.89</v>
      </c>
      <c r="B93">
        <f t="shared" si="2"/>
        <v>6.8474148364659193</v>
      </c>
      <c r="C93">
        <f t="shared" si="3"/>
        <v>0.44422828052596441</v>
      </c>
    </row>
    <row r="94" spans="1:3" x14ac:dyDescent="0.15">
      <c r="A94">
        <v>0.9</v>
      </c>
      <c r="B94">
        <f t="shared" si="2"/>
        <v>6.9128471695117275</v>
      </c>
      <c r="C94">
        <f t="shared" si="3"/>
        <v>0.44039436078447503</v>
      </c>
    </row>
    <row r="95" spans="1:3" x14ac:dyDescent="0.15">
      <c r="A95">
        <v>0.91</v>
      </c>
      <c r="B95">
        <f t="shared" si="2"/>
        <v>6.9789312622964266</v>
      </c>
      <c r="C95">
        <f t="shared" si="3"/>
        <v>0.43659929295871386</v>
      </c>
    </row>
    <row r="96" spans="1:3" x14ac:dyDescent="0.15">
      <c r="A96">
        <v>0.92</v>
      </c>
      <c r="B96">
        <f t="shared" si="2"/>
        <v>7.0456735784646654</v>
      </c>
      <c r="C96">
        <f t="shared" si="3"/>
        <v>0.43284269932007191</v>
      </c>
    </row>
    <row r="97" spans="1:3" x14ac:dyDescent="0.15">
      <c r="A97">
        <v>0.93</v>
      </c>
      <c r="B97">
        <f t="shared" si="2"/>
        <v>7.113080645879081</v>
      </c>
      <c r="C97">
        <f t="shared" si="3"/>
        <v>0.42912420600091733</v>
      </c>
    </row>
    <row r="98" spans="1:3" x14ac:dyDescent="0.15">
      <c r="A98">
        <v>0.94000000000000006</v>
      </c>
      <c r="B98">
        <f t="shared" si="2"/>
        <v>7.1811590572534891</v>
      </c>
      <c r="C98">
        <f t="shared" si="3"/>
        <v>0.4254434429577848</v>
      </c>
    </row>
    <row r="99" spans="1:3" x14ac:dyDescent="0.15">
      <c r="A99">
        <v>0.95000000000000007</v>
      </c>
      <c r="B99">
        <f t="shared" si="2"/>
        <v>7.2499154707922786</v>
      </c>
      <c r="C99">
        <f t="shared" si="3"/>
        <v>0.42180004393495601</v>
      </c>
    </row>
    <row r="100" spans="1:3" x14ac:dyDescent="0.15">
      <c r="A100">
        <v>0.96000000000000008</v>
      </c>
      <c r="B100">
        <f t="shared" si="2"/>
        <v>7.3193566108360972</v>
      </c>
      <c r="C100">
        <f t="shared" si="3"/>
        <v>0.41819364642842743</v>
      </c>
    </row>
    <row r="101" spans="1:3" x14ac:dyDescent="0.15">
      <c r="A101">
        <v>0.97</v>
      </c>
      <c r="B101">
        <f t="shared" si="2"/>
        <v>7.389489268513862</v>
      </c>
      <c r="C101">
        <f t="shared" si="3"/>
        <v>0.41462389165026226</v>
      </c>
    </row>
    <row r="102" spans="1:3" x14ac:dyDescent="0.15">
      <c r="A102">
        <v>0.98</v>
      </c>
      <c r="B102">
        <f t="shared" si="2"/>
        <v>7.4603203024011817</v>
      </c>
      <c r="C102">
        <f t="shared" si="3"/>
        <v>0.41109042449332345</v>
      </c>
    </row>
    <row r="103" spans="1:3" x14ac:dyDescent="0.15">
      <c r="A103">
        <v>0.99</v>
      </c>
      <c r="B103">
        <f t="shared" si="2"/>
        <v>7.5318566391852224</v>
      </c>
      <c r="C103">
        <f t="shared" si="3"/>
        <v>0.40759289349638422</v>
      </c>
    </row>
    <row r="104" spans="1:3" x14ac:dyDescent="0.15">
      <c r="A104">
        <v>1</v>
      </c>
      <c r="B104">
        <f t="shared" si="2"/>
        <v>7.6041052743361099</v>
      </c>
      <c r="C104">
        <f t="shared" si="3"/>
        <v>0.40413095080961348</v>
      </c>
    </row>
    <row r="105" spans="1:3" x14ac:dyDescent="0.15">
      <c r="A105">
        <v>1.01</v>
      </c>
      <c r="B105">
        <f t="shared" si="2"/>
        <v>7.6770732727848969</v>
      </c>
      <c r="C105">
        <f t="shared" si="3"/>
        <v>0.40070425216043215</v>
      </c>
    </row>
    <row r="106" spans="1:3" x14ac:dyDescent="0.15">
      <c r="A106">
        <v>1.02</v>
      </c>
      <c r="B106">
        <f t="shared" si="2"/>
        <v>7.7507677696081929</v>
      </c>
      <c r="C106">
        <f t="shared" si="3"/>
        <v>0.39731245681973826</v>
      </c>
    </row>
    <row r="107" spans="1:3" x14ac:dyDescent="0.15">
      <c r="A107">
        <v>1.03</v>
      </c>
      <c r="B107">
        <f t="shared" si="2"/>
        <v>7.8251959707194931</v>
      </c>
      <c r="C107">
        <f t="shared" si="3"/>
        <v>0.39395522756849732</v>
      </c>
    </row>
    <row r="108" spans="1:3" x14ac:dyDescent="0.15">
      <c r="A108">
        <v>1.04</v>
      </c>
      <c r="B108">
        <f t="shared" si="2"/>
        <v>7.9003651535672752</v>
      </c>
      <c r="C108">
        <f t="shared" si="3"/>
        <v>0.39063223066469493</v>
      </c>
    </row>
    <row r="109" spans="1:3" x14ac:dyDescent="0.15">
      <c r="A109">
        <v>1.05</v>
      </c>
      <c r="B109">
        <f t="shared" si="2"/>
        <v>7.9762826678399454</v>
      </c>
      <c r="C109">
        <f t="shared" si="3"/>
        <v>0.38734313581064872</v>
      </c>
    </row>
    <row r="110" spans="1:3" x14ac:dyDescent="0.15">
      <c r="A110">
        <v>1.06</v>
      </c>
      <c r="B110">
        <f t="shared" si="2"/>
        <v>8.052955936177673</v>
      </c>
      <c r="C110">
        <f t="shared" si="3"/>
        <v>0.38408761612067688</v>
      </c>
    </row>
    <row r="111" spans="1:3" x14ac:dyDescent="0.15">
      <c r="A111">
        <v>1.07</v>
      </c>
      <c r="B111">
        <f t="shared" si="2"/>
        <v>8.1303924548911972</v>
      </c>
      <c r="C111">
        <f t="shared" si="3"/>
        <v>0.38086534808912037</v>
      </c>
    </row>
    <row r="112" spans="1:3" x14ac:dyDescent="0.15">
      <c r="A112">
        <v>1.08</v>
      </c>
      <c r="B112">
        <f t="shared" si="2"/>
        <v>8.2085997946876752</v>
      </c>
      <c r="C112">
        <f t="shared" si="3"/>
        <v>0.37767601155871583</v>
      </c>
    </row>
    <row r="113" spans="1:3" x14ac:dyDescent="0.15">
      <c r="A113">
        <v>1.0900000000000001</v>
      </c>
      <c r="B113">
        <f t="shared" si="2"/>
        <v>8.2875856014036113</v>
      </c>
      <c r="C113">
        <f t="shared" si="3"/>
        <v>0.37451928968931653</v>
      </c>
    </row>
    <row r="114" spans="1:3" x14ac:dyDescent="0.15">
      <c r="A114">
        <v>1.1000000000000001</v>
      </c>
      <c r="B114">
        <f t="shared" si="2"/>
        <v>8.36735759674497</v>
      </c>
      <c r="C114">
        <f t="shared" si="3"/>
        <v>0.37139486892695878</v>
      </c>
    </row>
    <row r="115" spans="1:3" x14ac:dyDescent="0.15">
      <c r="A115">
        <v>1.1100000000000001</v>
      </c>
      <c r="B115">
        <f t="shared" si="2"/>
        <v>8.4479235790345104</v>
      </c>
      <c r="C115">
        <f t="shared" si="3"/>
        <v>0.36830243897327081</v>
      </c>
    </row>
    <row r="116" spans="1:3" x14ac:dyDescent="0.15">
      <c r="A116">
        <v>1.1200000000000001</v>
      </c>
      <c r="B116">
        <f t="shared" si="2"/>
        <v>8.5292914239664359</v>
      </c>
      <c r="C116">
        <f t="shared" si="3"/>
        <v>0.36524169275522173</v>
      </c>
    </row>
    <row r="117" spans="1:3" x14ac:dyDescent="0.15">
      <c r="A117">
        <v>1.1300000000000001</v>
      </c>
      <c r="B117">
        <f t="shared" si="2"/>
        <v>8.6114690853684071</v>
      </c>
      <c r="C117">
        <f t="shared" si="3"/>
        <v>0.36221232639520795</v>
      </c>
    </row>
    <row r="118" spans="1:3" x14ac:dyDescent="0.15">
      <c r="A118">
        <v>1.1400000000000001</v>
      </c>
      <c r="B118">
        <f t="shared" si="2"/>
        <v>8.6944645959709987</v>
      </c>
      <c r="C118">
        <f t="shared" si="3"/>
        <v>0.35921403918147421</v>
      </c>
    </row>
    <row r="119" spans="1:3" x14ac:dyDescent="0.15">
      <c r="A119">
        <v>1.1500000000000001</v>
      </c>
      <c r="B119">
        <f t="shared" si="2"/>
        <v>8.7782860681846699</v>
      </c>
      <c r="C119">
        <f t="shared" si="3"/>
        <v>0.35624653353886726</v>
      </c>
    </row>
    <row r="120" spans="1:3" x14ac:dyDescent="0.15">
      <c r="A120">
        <v>1.1600000000000001</v>
      </c>
      <c r="B120">
        <f t="shared" si="2"/>
        <v>8.8629416948843129</v>
      </c>
      <c r="C120">
        <f t="shared" si="3"/>
        <v>0.35330951499991925</v>
      </c>
    </row>
    <row r="121" spans="1:3" x14ac:dyDescent="0.15">
      <c r="A121">
        <v>1.17</v>
      </c>
      <c r="B121">
        <f t="shared" si="2"/>
        <v>8.9484397502014641</v>
      </c>
      <c r="C121">
        <f t="shared" si="3"/>
        <v>0.35040269217625847</v>
      </c>
    </row>
    <row r="122" spans="1:3" x14ac:dyDescent="0.15">
      <c r="A122">
        <v>1.18</v>
      </c>
      <c r="B122">
        <f t="shared" si="2"/>
        <v>9.0347885903242311</v>
      </c>
      <c r="C122">
        <f t="shared" si="3"/>
        <v>0.3475257767303454</v>
      </c>
    </row>
    <row r="123" spans="1:3" x14ac:dyDescent="0.15">
      <c r="A123">
        <v>1.19</v>
      </c>
      <c r="B123">
        <f t="shared" si="2"/>
        <v>9.1219966543050273</v>
      </c>
      <c r="C123">
        <f t="shared" si="3"/>
        <v>0.34467848334753132</v>
      </c>
    </row>
    <row r="124" spans="1:3" x14ac:dyDescent="0.15">
      <c r="A124">
        <v>1.2</v>
      </c>
      <c r="B124">
        <f t="shared" si="2"/>
        <v>9.2100724648761698</v>
      </c>
      <c r="C124">
        <f t="shared" si="3"/>
        <v>0.34186052970843739</v>
      </c>
    </row>
    <row r="125" spans="1:3" x14ac:dyDescent="0.15">
      <c r="A125">
        <v>1.21</v>
      </c>
      <c r="B125">
        <f t="shared" si="2"/>
        <v>9.2990246292734344</v>
      </c>
      <c r="C125">
        <f t="shared" si="3"/>
        <v>0.33907163646165217</v>
      </c>
    </row>
    <row r="126" spans="1:3" x14ac:dyDescent="0.15">
      <c r="A126">
        <v>1.22</v>
      </c>
      <c r="B126">
        <f t="shared" si="2"/>
        <v>9.3888618400676229</v>
      </c>
      <c r="C126">
        <f t="shared" si="3"/>
        <v>0.33631152719674462</v>
      </c>
    </row>
    <row r="127" spans="1:3" x14ac:dyDescent="0.15">
      <c r="A127">
        <v>1.23</v>
      </c>
      <c r="B127">
        <f t="shared" si="2"/>
        <v>9.4795928760042258</v>
      </c>
      <c r="C127">
        <f t="shared" si="3"/>
        <v>0.33357992841759165</v>
      </c>
    </row>
    <row r="128" spans="1:3" x14ac:dyDescent="0.15">
      <c r="A128">
        <v>1.24</v>
      </c>
      <c r="B128">
        <f t="shared" si="2"/>
        <v>9.5712266028512616</v>
      </c>
      <c r="C128">
        <f t="shared" si="3"/>
        <v>0.33087656951601685</v>
      </c>
    </row>
    <row r="129" spans="1:3" x14ac:dyDescent="0.15">
      <c r="A129">
        <v>1.25</v>
      </c>
      <c r="B129">
        <f t="shared" si="2"/>
        <v>9.6637719742553632</v>
      </c>
      <c r="C129">
        <f t="shared" si="3"/>
        <v>0.32820118274573906</v>
      </c>
    </row>
    <row r="130" spans="1:3" x14ac:dyDescent="0.15">
      <c r="A130">
        <v>1.26</v>
      </c>
      <c r="B130">
        <f t="shared" si="2"/>
        <v>9.7572380326061818</v>
      </c>
      <c r="C130">
        <f t="shared" si="3"/>
        <v>0.32555350319662879</v>
      </c>
    </row>
    <row r="131" spans="1:3" x14ac:dyDescent="0.15">
      <c r="A131">
        <v>1.27</v>
      </c>
      <c r="B131">
        <f t="shared" si="2"/>
        <v>9.8516339099092036</v>
      </c>
      <c r="C131">
        <f t="shared" si="3"/>
        <v>0.32293326876927014</v>
      </c>
    </row>
    <row r="132" spans="1:3" x14ac:dyDescent="0.15">
      <c r="A132">
        <v>1.28</v>
      </c>
      <c r="B132">
        <f t="shared" si="2"/>
        <v>9.9469688286670497</v>
      </c>
      <c r="C132">
        <f t="shared" si="3"/>
        <v>0.32034022014982649</v>
      </c>
    </row>
    <row r="133" spans="1:3" x14ac:dyDescent="0.15">
      <c r="A133">
        <v>1.29</v>
      </c>
      <c r="B133">
        <f t="shared" si="2"/>
        <v>10.043252102769321</v>
      </c>
      <c r="C133">
        <f t="shared" si="3"/>
        <v>0.31777410078520796</v>
      </c>
    </row>
    <row r="134" spans="1:3" x14ac:dyDescent="0.15">
      <c r="A134">
        <v>1.3</v>
      </c>
      <c r="B134">
        <f t="shared" ref="B134:B197" si="4">(1+($A$2-$B$2*C133)*$E$2)*B133</f>
        <v>10.140493138391099</v>
      </c>
      <c r="C134">
        <f t="shared" ref="C134:C197" si="5">(1+($C$2*B133-$D$2)*$E$2)*C133</f>
        <v>0.31523465685853919</v>
      </c>
    </row>
    <row r="135" spans="1:3" x14ac:dyDescent="0.15">
      <c r="A135">
        <v>1.31</v>
      </c>
      <c r="B135">
        <f t="shared" si="4"/>
        <v>10.238701434900154</v>
      </c>
      <c r="C135">
        <f t="shared" si="5"/>
        <v>0.31272163726492525</v>
      </c>
    </row>
    <row r="136" spans="1:3" x14ac:dyDescent="0.15">
      <c r="A136">
        <v>1.32</v>
      </c>
      <c r="B136">
        <f t="shared" si="4"/>
        <v>10.337886585772967</v>
      </c>
      <c r="C136">
        <f t="shared" si="5"/>
        <v>0.31023479358751377</v>
      </c>
    </row>
    <row r="137" spans="1:3" x14ac:dyDescent="0.15">
      <c r="A137">
        <v>1.33</v>
      </c>
      <c r="B137">
        <f t="shared" si="4"/>
        <v>10.438058279519629</v>
      </c>
      <c r="C137">
        <f t="shared" si="5"/>
        <v>0.30777388007385231</v>
      </c>
    </row>
    <row r="138" spans="1:3" x14ac:dyDescent="0.15">
      <c r="A138">
        <v>1.34</v>
      </c>
      <c r="B138">
        <f t="shared" si="4"/>
        <v>10.539226300617701</v>
      </c>
      <c r="C138">
        <f t="shared" si="5"/>
        <v>0.30533865361253876</v>
      </c>
    </row>
    <row r="139" spans="1:3" x14ac:dyDescent="0.15">
      <c r="A139">
        <v>1.35</v>
      </c>
      <c r="B139">
        <f t="shared" si="4"/>
        <v>10.64140053045513</v>
      </c>
      <c r="C139">
        <f t="shared" si="5"/>
        <v>0.30292887371016308</v>
      </c>
    </row>
    <row r="140" spans="1:3" x14ac:dyDescent="0.15">
      <c r="A140">
        <v>1.36</v>
      </c>
      <c r="B140">
        <f t="shared" si="4"/>
        <v>10.744590948282291</v>
      </c>
      <c r="C140">
        <f t="shared" si="5"/>
        <v>0.30054430246853936</v>
      </c>
    </row>
    <row r="141" spans="1:3" x14ac:dyDescent="0.15">
      <c r="A141">
        <v>1.37</v>
      </c>
      <c r="B141">
        <f t="shared" si="4"/>
        <v>10.848807632173251</v>
      </c>
      <c r="C141">
        <f t="shared" si="5"/>
        <v>0.29818470456222623</v>
      </c>
    </row>
    <row r="142" spans="1:3" x14ac:dyDescent="0.15">
      <c r="A142">
        <v>1.3800000000000001</v>
      </c>
      <c r="B142">
        <f t="shared" si="4"/>
        <v>10.954060759996333</v>
      </c>
      <c r="C142">
        <f t="shared" si="5"/>
        <v>0.29584984721633439</v>
      </c>
    </row>
    <row r="143" spans="1:3" x14ac:dyDescent="0.15">
      <c r="A143">
        <v>1.3900000000000001</v>
      </c>
      <c r="B143">
        <f t="shared" si="4"/>
        <v>11.060360610394053</v>
      </c>
      <c r="C143">
        <f t="shared" si="5"/>
        <v>0.29353950018461972</v>
      </c>
    </row>
    <row r="144" spans="1:3" x14ac:dyDescent="0.15">
      <c r="A144">
        <v>1.4000000000000001</v>
      </c>
      <c r="B144">
        <f t="shared" si="4"/>
        <v>11.167717563772557</v>
      </c>
      <c r="C144">
        <f t="shared" si="5"/>
        <v>0.29125343572786089</v>
      </c>
    </row>
    <row r="145" spans="1:3" x14ac:dyDescent="0.15">
      <c r="A145">
        <v>1.4100000000000001</v>
      </c>
      <c r="B145">
        <f t="shared" si="4"/>
        <v>11.276142103300597</v>
      </c>
      <c r="C145">
        <f t="shared" si="5"/>
        <v>0.28899142859251969</v>
      </c>
    </row>
    <row r="146" spans="1:3" x14ac:dyDescent="0.15">
      <c r="A146">
        <v>1.42</v>
      </c>
      <c r="B146">
        <f t="shared" si="4"/>
        <v>11.385644815918157</v>
      </c>
      <c r="C146">
        <f t="shared" si="5"/>
        <v>0.28675325598968354</v>
      </c>
    </row>
    <row r="147" spans="1:3" x14ac:dyDescent="0.15">
      <c r="A147">
        <v>1.43</v>
      </c>
      <c r="B147">
        <f t="shared" si="4"/>
        <v>11.496236393354833</v>
      </c>
      <c r="C147">
        <f t="shared" si="5"/>
        <v>0.28453869757428801</v>
      </c>
    </row>
    <row r="148" spans="1:3" x14ac:dyDescent="0.15">
      <c r="A148">
        <v>1.44</v>
      </c>
      <c r="B148">
        <f t="shared" si="4"/>
        <v>11.60792763315801</v>
      </c>
      <c r="C148">
        <f t="shared" si="5"/>
        <v>0.28234753542461938</v>
      </c>
    </row>
    <row r="149" spans="1:3" x14ac:dyDescent="0.15">
      <c r="A149">
        <v>1.45</v>
      </c>
      <c r="B149">
        <f t="shared" si="4"/>
        <v>11.720729439730981</v>
      </c>
      <c r="C149">
        <f t="shared" si="5"/>
        <v>0.2801795540220951</v>
      </c>
    </row>
    <row r="150" spans="1:3" x14ac:dyDescent="0.15">
      <c r="A150">
        <v>1.46</v>
      </c>
      <c r="B150">
        <f t="shared" si="4"/>
        <v>11.834652825381053</v>
      </c>
      <c r="C150">
        <f t="shared" si="5"/>
        <v>0.27803454023132163</v>
      </c>
    </row>
    <row r="151" spans="1:3" x14ac:dyDescent="0.15">
      <c r="A151">
        <v>1.47</v>
      </c>
      <c r="B151">
        <f t="shared" si="4"/>
        <v>11.94970891137776</v>
      </c>
      <c r="C151">
        <f t="shared" si="5"/>
        <v>0.27591228328042883</v>
      </c>
    </row>
    <row r="152" spans="1:3" x14ac:dyDescent="0.15">
      <c r="A152">
        <v>1.48</v>
      </c>
      <c r="B152">
        <f t="shared" si="4"/>
        <v>12.065908929021262</v>
      </c>
      <c r="C152">
        <f t="shared" si="5"/>
        <v>0.27381257474167947</v>
      </c>
    </row>
    <row r="153" spans="1:3" x14ac:dyDescent="0.15">
      <c r="A153">
        <v>1.49</v>
      </c>
      <c r="B153">
        <f t="shared" si="4"/>
        <v>12.183264220721021</v>
      </c>
      <c r="C153">
        <f t="shared" si="5"/>
        <v>0.2717352085123535</v>
      </c>
    </row>
    <row r="154" spans="1:3" x14ac:dyDescent="0.15">
      <c r="A154">
        <v>1.5</v>
      </c>
      <c r="B154">
        <f t="shared" si="4"/>
        <v>12.301786241084852</v>
      </c>
      <c r="C154">
        <f t="shared" si="5"/>
        <v>0.26967998079590572</v>
      </c>
    </row>
    <row r="155" spans="1:3" x14ac:dyDescent="0.15">
      <c r="A155">
        <v>1.51</v>
      </c>
      <c r="B155">
        <f t="shared" si="4"/>
        <v>12.421486558018449</v>
      </c>
      <c r="C155">
        <f t="shared" si="5"/>
        <v>0.26764669008339687</v>
      </c>
    </row>
    <row r="156" spans="1:3" x14ac:dyDescent="0.15">
      <c r="A156">
        <v>1.52</v>
      </c>
      <c r="B156">
        <f t="shared" si="4"/>
        <v>12.542376853835464</v>
      </c>
      <c r="C156">
        <f t="shared" si="5"/>
        <v>0.26563513713519671</v>
      </c>
    </row>
    <row r="157" spans="1:3" x14ac:dyDescent="0.15">
      <c r="A157">
        <v>1.53</v>
      </c>
      <c r="B157">
        <f t="shared" si="4"/>
        <v>12.664468926378248</v>
      </c>
      <c r="C157">
        <f t="shared" si="5"/>
        <v>0.26364512496295872</v>
      </c>
    </row>
    <row r="158" spans="1:3" x14ac:dyDescent="0.15">
      <c r="A158">
        <v>1.54</v>
      </c>
      <c r="B158">
        <f t="shared" si="4"/>
        <v>12.787774690149346</v>
      </c>
      <c r="C158">
        <f t="shared" si="5"/>
        <v>0.26167645881186602</v>
      </c>
    </row>
    <row r="159" spans="1:3" x14ac:dyDescent="0.15">
      <c r="A159">
        <v>1.55</v>
      </c>
      <c r="B159">
        <f t="shared" si="4"/>
        <v>12.912306177453837</v>
      </c>
      <c r="C159">
        <f t="shared" si="5"/>
        <v>0.25972894614314784</v>
      </c>
    </row>
    <row r="160" spans="1:3" x14ac:dyDescent="0.15">
      <c r="A160">
        <v>1.56</v>
      </c>
      <c r="B160">
        <f t="shared" si="4"/>
        <v>13.038075539552628</v>
      </c>
      <c r="C160">
        <f t="shared" si="5"/>
        <v>0.25780239661686594</v>
      </c>
    </row>
    <row r="161" spans="1:3" x14ac:dyDescent="0.15">
      <c r="A161">
        <v>1.57</v>
      </c>
      <c r="B161">
        <f t="shared" si="4"/>
        <v>13.165095047826785</v>
      </c>
      <c r="C161">
        <f t="shared" si="5"/>
        <v>0.25589662207497094</v>
      </c>
    </row>
    <row r="162" spans="1:3" x14ac:dyDescent="0.15">
      <c r="A162">
        <v>1.58</v>
      </c>
      <c r="B162">
        <f t="shared" si="4"/>
        <v>13.293377094953019</v>
      </c>
      <c r="C162">
        <f t="shared" si="5"/>
        <v>0.25401143652462821</v>
      </c>
    </row>
    <row r="163" spans="1:3" x14ac:dyDescent="0.15">
      <c r="A163">
        <v>1.59</v>
      </c>
      <c r="B163">
        <f t="shared" si="4"/>
        <v>13.422934196090397</v>
      </c>
      <c r="C163">
        <f t="shared" si="5"/>
        <v>0.25214665612181242</v>
      </c>
    </row>
    <row r="164" spans="1:3" x14ac:dyDescent="0.15">
      <c r="A164">
        <v>1.6</v>
      </c>
      <c r="B164">
        <f t="shared" si="4"/>
        <v>13.553778990078413</v>
      </c>
      <c r="C164">
        <f t="shared" si="5"/>
        <v>0.25030209915517176</v>
      </c>
    </row>
    <row r="165" spans="1:3" x14ac:dyDescent="0.15">
      <c r="A165">
        <v>1.61</v>
      </c>
      <c r="B165">
        <f t="shared" si="4"/>
        <v>13.685924240646496</v>
      </c>
      <c r="C165">
        <f t="shared" si="5"/>
        <v>0.24847758603016043</v>
      </c>
    </row>
    <row r="166" spans="1:3" x14ac:dyDescent="0.15">
      <c r="A166">
        <v>1.62</v>
      </c>
      <c r="B166">
        <f t="shared" si="4"/>
        <v>13.819382837635056</v>
      </c>
      <c r="C166">
        <f t="shared" si="5"/>
        <v>0.24667293925344033</v>
      </c>
    </row>
    <row r="167" spans="1:3" x14ac:dyDescent="0.15">
      <c r="A167">
        <v>1.6300000000000001</v>
      </c>
      <c r="B167">
        <f t="shared" si="4"/>
        <v>13.954167798228179</v>
      </c>
      <c r="C167">
        <f t="shared" si="5"/>
        <v>0.24488798341755152</v>
      </c>
    </row>
    <row r="168" spans="1:3" x14ac:dyDescent="0.15">
      <c r="A168">
        <v>1.6400000000000001</v>
      </c>
      <c r="B168">
        <f t="shared" si="4"/>
        <v>14.090292268198082</v>
      </c>
      <c r="C168">
        <f t="shared" si="5"/>
        <v>0.24312254518585164</v>
      </c>
    </row>
    <row r="169" spans="1:3" x14ac:dyDescent="0.15">
      <c r="A169">
        <v>1.6500000000000001</v>
      </c>
      <c r="B169">
        <f t="shared" si="4"/>
        <v>14.227769523161408</v>
      </c>
      <c r="C169">
        <f t="shared" si="5"/>
        <v>0.24137645327772447</v>
      </c>
    </row>
    <row r="170" spans="1:3" x14ac:dyDescent="0.15">
      <c r="A170">
        <v>1.6600000000000001</v>
      </c>
      <c r="B170">
        <f t="shared" si="4"/>
        <v>14.366612969847466</v>
      </c>
      <c r="C170">
        <f t="shared" si="5"/>
        <v>0.23964953845405795</v>
      </c>
    </row>
    <row r="171" spans="1:3" x14ac:dyDescent="0.15">
      <c r="A171">
        <v>1.6700000000000002</v>
      </c>
      <c r="B171">
        <f t="shared" si="4"/>
        <v>14.50683614737857</v>
      </c>
      <c r="C171">
        <f t="shared" si="5"/>
        <v>0.2379416335029918</v>
      </c>
    </row>
    <row r="172" spans="1:3" x14ac:dyDescent="0.15">
      <c r="A172">
        <v>1.68</v>
      </c>
      <c r="B172">
        <f t="shared" si="4"/>
        <v>14.648452728562487</v>
      </c>
      <c r="C172">
        <f t="shared" si="5"/>
        <v>0.2362525732259354</v>
      </c>
    </row>
    <row r="173" spans="1:3" x14ac:dyDescent="0.15">
      <c r="A173">
        <v>1.69</v>
      </c>
      <c r="B173">
        <f t="shared" si="4"/>
        <v>14.791476521197209</v>
      </c>
      <c r="C173">
        <f t="shared" si="5"/>
        <v>0.23458219442385631</v>
      </c>
    </row>
    <row r="174" spans="1:3" x14ac:dyDescent="0.15">
      <c r="A174">
        <v>1.7</v>
      </c>
      <c r="B174">
        <f t="shared" si="4"/>
        <v>14.93592146938807</v>
      </c>
      <c r="C174">
        <f t="shared" si="5"/>
        <v>0.23293033588384002</v>
      </c>
    </row>
    <row r="175" spans="1:3" x14ac:dyDescent="0.15">
      <c r="A175">
        <v>1.71</v>
      </c>
      <c r="B175">
        <f t="shared" si="4"/>
        <v>15.081801654877351</v>
      </c>
      <c r="C175">
        <f t="shared" si="5"/>
        <v>0.23129683836592146</v>
      </c>
    </row>
    <row r="176" spans="1:3" x14ac:dyDescent="0.15">
      <c r="A176">
        <v>1.72</v>
      </c>
      <c r="B176">
        <f t="shared" si="4"/>
        <v>15.229131298386489</v>
      </c>
      <c r="C176">
        <f t="shared" si="5"/>
        <v>0.22968154459018927</v>
      </c>
    </row>
    <row r="177" spans="1:3" x14ac:dyDescent="0.15">
      <c r="A177">
        <v>1.73</v>
      </c>
      <c r="B177">
        <f t="shared" si="4"/>
        <v>15.377924760970975</v>
      </c>
      <c r="C177">
        <f t="shared" si="5"/>
        <v>0.22808429922416343</v>
      </c>
    </row>
    <row r="178" spans="1:3" x14ac:dyDescent="0.15">
      <c r="A178">
        <v>1.74</v>
      </c>
      <c r="B178">
        <f t="shared" si="4"/>
        <v>15.528196545388058</v>
      </c>
      <c r="C178">
        <f t="shared" si="5"/>
        <v>0.22650494887044739</v>
      </c>
    </row>
    <row r="179" spans="1:3" x14ac:dyDescent="0.15">
      <c r="A179">
        <v>1.75</v>
      </c>
      <c r="B179">
        <f t="shared" si="4"/>
        <v>15.679961297477373</v>
      </c>
      <c r="C179">
        <f t="shared" si="5"/>
        <v>0.22494334205465558</v>
      </c>
    </row>
    <row r="180" spans="1:3" x14ac:dyDescent="0.15">
      <c r="A180">
        <v>1.76</v>
      </c>
      <c r="B180">
        <f t="shared" si="4"/>
        <v>15.833233807554604</v>
      </c>
      <c r="C180">
        <f t="shared" si="5"/>
        <v>0.22339932921361746</v>
      </c>
    </row>
    <row r="181" spans="1:3" x14ac:dyDescent="0.15">
      <c r="A181">
        <v>1.77</v>
      </c>
      <c r="B181">
        <f t="shared" si="4"/>
        <v>15.988029011818261</v>
      </c>
      <c r="C181">
        <f t="shared" si="5"/>
        <v>0.2218727626838593</v>
      </c>
    </row>
    <row r="182" spans="1:3" x14ac:dyDescent="0.15">
      <c r="A182">
        <v>1.78</v>
      </c>
      <c r="B182">
        <f t="shared" si="4"/>
        <v>16.144361993769721</v>
      </c>
      <c r="C182">
        <f t="shared" si="5"/>
        <v>0.22036349669036506</v>
      </c>
    </row>
    <row r="183" spans="1:3" x14ac:dyDescent="0.15">
      <c r="A183">
        <v>1.79</v>
      </c>
      <c r="B183">
        <f t="shared" si="4"/>
        <v>16.302247985646634</v>
      </c>
      <c r="C183">
        <f t="shared" si="5"/>
        <v>0.21887138733561784</v>
      </c>
    </row>
    <row r="184" spans="1:3" x14ac:dyDescent="0.15">
      <c r="A184">
        <v>1.8</v>
      </c>
      <c r="B184">
        <f t="shared" si="4"/>
        <v>16.461702369869791</v>
      </c>
      <c r="C184">
        <f t="shared" si="5"/>
        <v>0.21739629258892321</v>
      </c>
    </row>
    <row r="185" spans="1:3" x14ac:dyDescent="0.15">
      <c r="A185">
        <v>1.81</v>
      </c>
      <c r="B185">
        <f t="shared" si="4"/>
        <v>16.622740680503579</v>
      </c>
      <c r="C185">
        <f t="shared" si="5"/>
        <v>0.21593807227601639</v>
      </c>
    </row>
    <row r="186" spans="1:3" x14ac:dyDescent="0.15">
      <c r="A186">
        <v>1.82</v>
      </c>
      <c r="B186">
        <f t="shared" si="4"/>
        <v>16.785378604730123</v>
      </c>
      <c r="C186">
        <f t="shared" si="5"/>
        <v>0.21449658806895464</v>
      </c>
    </row>
    <row r="187" spans="1:3" x14ac:dyDescent="0.15">
      <c r="A187">
        <v>1.83</v>
      </c>
      <c r="B187">
        <f t="shared" si="4"/>
        <v>16.949631984337262</v>
      </c>
      <c r="C187">
        <f t="shared" si="5"/>
        <v>0.21307170347629714</v>
      </c>
    </row>
    <row r="188" spans="1:3" x14ac:dyDescent="0.15">
      <c r="A188">
        <v>1.84</v>
      </c>
      <c r="B188">
        <f t="shared" si="4"/>
        <v>17.115516817220435</v>
      </c>
      <c r="C188">
        <f t="shared" si="5"/>
        <v>0.21166328383357397</v>
      </c>
    </row>
    <row r="189" spans="1:3" x14ac:dyDescent="0.15">
      <c r="A189">
        <v>1.85</v>
      </c>
      <c r="B189">
        <f t="shared" si="4"/>
        <v>17.283049258898597</v>
      </c>
      <c r="C189">
        <f t="shared" si="5"/>
        <v>0.21027119629404656</v>
      </c>
    </row>
    <row r="190" spans="1:3" x14ac:dyDescent="0.15">
      <c r="A190">
        <v>1.86</v>
      </c>
      <c r="B190">
        <f t="shared" si="4"/>
        <v>17.452245624044306</v>
      </c>
      <c r="C190">
        <f t="shared" si="5"/>
        <v>0.20889530981976162</v>
      </c>
    </row>
    <row r="191" spans="1:3" x14ac:dyDescent="0.15">
      <c r="A191">
        <v>1.87</v>
      </c>
      <c r="B191">
        <f t="shared" si="4"/>
        <v>17.623122388028062</v>
      </c>
      <c r="C191">
        <f t="shared" si="5"/>
        <v>0.20753549517290107</v>
      </c>
    </row>
    <row r="192" spans="1:3" x14ac:dyDescent="0.15">
      <c r="A192">
        <v>1.8800000000000001</v>
      </c>
      <c r="B192">
        <f t="shared" si="4"/>
        <v>17.795696188477049</v>
      </c>
      <c r="C192">
        <f t="shared" si="5"/>
        <v>0.20619162490743045</v>
      </c>
    </row>
    <row r="193" spans="1:3" x14ac:dyDescent="0.15">
      <c r="A193">
        <v>1.8900000000000001</v>
      </c>
      <c r="B193">
        <f t="shared" si="4"/>
        <v>17.96998382684836</v>
      </c>
      <c r="C193">
        <f t="shared" si="5"/>
        <v>0.20486357336104838</v>
      </c>
    </row>
    <row r="194" spans="1:3" x14ac:dyDescent="0.15">
      <c r="A194">
        <v>1.9000000000000001</v>
      </c>
      <c r="B194">
        <f t="shared" si="4"/>
        <v>18.146002270016833</v>
      </c>
      <c r="C194">
        <f t="shared" si="5"/>
        <v>0.20355121664743958</v>
      </c>
    </row>
    <row r="195" spans="1:3" x14ac:dyDescent="0.15">
      <c r="A195">
        <v>1.9100000000000001</v>
      </c>
      <c r="B195">
        <f t="shared" si="4"/>
        <v>18.323768651877653</v>
      </c>
      <c r="C195">
        <f t="shared" si="5"/>
        <v>0.20225443264883503</v>
      </c>
    </row>
    <row r="196" spans="1:3" x14ac:dyDescent="0.15">
      <c r="A196">
        <v>1.9200000000000002</v>
      </c>
      <c r="B196">
        <f t="shared" si="4"/>
        <v>18.503300274963756</v>
      </c>
      <c r="C196">
        <f t="shared" si="5"/>
        <v>0.20097310100888149</v>
      </c>
    </row>
    <row r="197" spans="1:3" x14ac:dyDescent="0.15">
      <c r="A197">
        <v>1.93</v>
      </c>
      <c r="B197">
        <f t="shared" si="4"/>
        <v>18.684614612078235</v>
      </c>
      <c r="C197">
        <f t="shared" si="5"/>
        <v>0.19970710312582429</v>
      </c>
    </row>
    <row r="198" spans="1:3" x14ac:dyDescent="0.15">
      <c r="A198">
        <v>1.94</v>
      </c>
      <c r="B198">
        <f t="shared" ref="B198:B261" si="6">(1+($A$2-$B$2*C197)*$E$2)*B197</f>
        <v>18.867729307941815</v>
      </c>
      <c r="C198">
        <f t="shared" ref="C198:C261" si="7">(1+($C$2*B197-$D$2)*$E$2)*C197</f>
        <v>0.19845632214600617</v>
      </c>
    </row>
    <row r="199" spans="1:3" x14ac:dyDescent="0.15">
      <c r="A199">
        <v>1.95</v>
      </c>
      <c r="B199">
        <f t="shared" si="6"/>
        <v>19.052662180855535</v>
      </c>
      <c r="C199">
        <f t="shared" si="7"/>
        <v>0.19722064295768621</v>
      </c>
    </row>
    <row r="200" spans="1:3" x14ac:dyDescent="0.15">
      <c r="A200">
        <v>1.96</v>
      </c>
      <c r="B200">
        <f t="shared" si="6"/>
        <v>19.239431224378727</v>
      </c>
      <c r="C200">
        <f t="shared" si="7"/>
        <v>0.19599995218518212</v>
      </c>
    </row>
    <row r="201" spans="1:3" x14ac:dyDescent="0.15">
      <c r="A201">
        <v>1.97</v>
      </c>
      <c r="B201">
        <f t="shared" si="6"/>
        <v>19.428054609022464</v>
      </c>
      <c r="C201">
        <f t="shared" si="7"/>
        <v>0.19479413818333996</v>
      </c>
    </row>
    <row r="202" spans="1:3" x14ac:dyDescent="0.15">
      <c r="A202">
        <v>1.98</v>
      </c>
      <c r="B202">
        <f t="shared" si="6"/>
        <v>19.618550683958546</v>
      </c>
      <c r="C202">
        <f t="shared" si="7"/>
        <v>0.19360309103233525</v>
      </c>
    </row>
    <row r="203" spans="1:3" x14ac:dyDescent="0.15">
      <c r="A203">
        <v>1.99</v>
      </c>
      <c r="B203">
        <f t="shared" si="6"/>
        <v>19.810937978744143</v>
      </c>
      <c r="C203">
        <f t="shared" si="7"/>
        <v>0.19242670253280969</v>
      </c>
    </row>
    <row r="204" spans="1:3" x14ac:dyDescent="0.15">
      <c r="A204">
        <v>2</v>
      </c>
      <c r="B204">
        <f t="shared" si="6"/>
        <v>20.005235205062252</v>
      </c>
      <c r="C204">
        <f t="shared" si="7"/>
        <v>0.19126486620134794</v>
      </c>
    </row>
    <row r="205" spans="1:3" x14ac:dyDescent="0.15">
      <c r="A205">
        <v>2.0099999999999998</v>
      </c>
      <c r="B205">
        <f t="shared" si="6"/>
        <v>20.201461258478055</v>
      </c>
      <c r="C205">
        <f t="shared" si="7"/>
        <v>0.19011747726629902</v>
      </c>
    </row>
    <row r="206" spans="1:3" x14ac:dyDescent="0.15">
      <c r="A206">
        <v>2.02</v>
      </c>
      <c r="B206">
        <f t="shared" si="6"/>
        <v>20.39963522021128</v>
      </c>
      <c r="C206">
        <f t="shared" si="7"/>
        <v>0.18898443266394699</v>
      </c>
    </row>
    <row r="207" spans="1:3" x14ac:dyDescent="0.15">
      <c r="A207">
        <v>2.0299999999999998</v>
      </c>
      <c r="B207">
        <f t="shared" si="6"/>
        <v>20.59977635892475</v>
      </c>
      <c r="C207">
        <f t="shared" si="7"/>
        <v>0.18786563103503615</v>
      </c>
    </row>
    <row r="208" spans="1:3" x14ac:dyDescent="0.15">
      <c r="A208">
        <v>2.04</v>
      </c>
      <c r="B208">
        <f t="shared" si="6"/>
        <v>20.801904132529149</v>
      </c>
      <c r="C208">
        <f t="shared" si="7"/>
        <v>0.18676097272165579</v>
      </c>
    </row>
    <row r="209" spans="1:3" x14ac:dyDescent="0.15">
      <c r="A209">
        <v>2.0499999999999998</v>
      </c>
      <c r="B209">
        <f t="shared" si="6"/>
        <v>21.006038190004183</v>
      </c>
      <c r="C209">
        <f t="shared" si="7"/>
        <v>0.18567035976448998</v>
      </c>
    </row>
    <row r="210" spans="1:3" x14ac:dyDescent="0.15">
      <c r="A210">
        <v>2.0599999999999996</v>
      </c>
      <c r="B210">
        <f t="shared" si="6"/>
        <v>21.212198373236262</v>
      </c>
      <c r="C210">
        <f t="shared" si="7"/>
        <v>0.184593695900438</v>
      </c>
    </row>
    <row r="211" spans="1:3" x14ac:dyDescent="0.15">
      <c r="A211">
        <v>2.0699999999999998</v>
      </c>
      <c r="B211">
        <f t="shared" si="6"/>
        <v>21.420404718872735</v>
      </c>
      <c r="C211">
        <f t="shared" si="7"/>
        <v>0.18353088656061139</v>
      </c>
    </row>
    <row r="212" spans="1:3" x14ac:dyDescent="0.15">
      <c r="A212">
        <v>2.0799999999999996</v>
      </c>
      <c r="B212">
        <f t="shared" si="6"/>
        <v>21.630677460192924</v>
      </c>
      <c r="C212">
        <f t="shared" si="7"/>
        <v>0.18248183886871364</v>
      </c>
    </row>
    <row r="213" spans="1:3" x14ac:dyDescent="0.15">
      <c r="A213">
        <v>2.09</v>
      </c>
      <c r="B213">
        <f t="shared" si="6"/>
        <v>21.843037028995941</v>
      </c>
      <c r="C213">
        <f t="shared" si="7"/>
        <v>0.1814464616398089</v>
      </c>
    </row>
    <row r="214" spans="1:3" x14ac:dyDescent="0.15">
      <c r="A214">
        <v>2.0999999999999996</v>
      </c>
      <c r="B214">
        <f t="shared" si="6"/>
        <v>22.057504057505522</v>
      </c>
      <c r="C214">
        <f t="shared" si="7"/>
        <v>0.18042466537948654</v>
      </c>
    </row>
    <row r="215" spans="1:3" x14ac:dyDescent="0.15">
      <c r="A215">
        <v>2.11</v>
      </c>
      <c r="B215">
        <f t="shared" si="6"/>
        <v>22.274099380291894</v>
      </c>
      <c r="C215">
        <f t="shared" si="7"/>
        <v>0.17941636228342808</v>
      </c>
    </row>
    <row r="216" spans="1:3" x14ac:dyDescent="0.15">
      <c r="A216">
        <v>2.1199999999999997</v>
      </c>
      <c r="B216">
        <f t="shared" si="6"/>
        <v>22.492844036210862</v>
      </c>
      <c r="C216">
        <f t="shared" si="7"/>
        <v>0.17842146623738409</v>
      </c>
    </row>
    <row r="217" spans="1:3" x14ac:dyDescent="0.15">
      <c r="A217">
        <v>2.13</v>
      </c>
      <c r="B217">
        <f t="shared" si="6"/>
        <v>22.713759270360178</v>
      </c>
      <c r="C217">
        <f t="shared" si="7"/>
        <v>0.17743989281756817</v>
      </c>
    </row>
    <row r="218" spans="1:3" x14ac:dyDescent="0.15">
      <c r="A218">
        <v>2.1399999999999997</v>
      </c>
      <c r="B218">
        <f t="shared" si="6"/>
        <v>22.936866536053362</v>
      </c>
      <c r="C218">
        <f t="shared" si="7"/>
        <v>0.17647155929147584</v>
      </c>
    </row>
    <row r="219" spans="1:3" x14ac:dyDescent="0.15">
      <c r="A219">
        <v>2.15</v>
      </c>
      <c r="B219">
        <f t="shared" si="6"/>
        <v>23.162187496811015</v>
      </c>
      <c r="C219">
        <f t="shared" si="7"/>
        <v>0.17551638461913666</v>
      </c>
    </row>
    <row r="220" spans="1:3" x14ac:dyDescent="0.15">
      <c r="A220">
        <v>2.1599999999999997</v>
      </c>
      <c r="B220">
        <f t="shared" si="6"/>
        <v>23.389744028369815</v>
      </c>
      <c r="C220">
        <f t="shared" si="7"/>
        <v>0.17457428945480746</v>
      </c>
    </row>
    <row r="221" spans="1:3" x14ac:dyDescent="0.15">
      <c r="A221">
        <v>2.17</v>
      </c>
      <c r="B221">
        <f t="shared" si="6"/>
        <v>23.619558220709234</v>
      </c>
      <c r="C221">
        <f t="shared" si="7"/>
        <v>0.17364519614911589</v>
      </c>
    </row>
    <row r="222" spans="1:3" x14ac:dyDescent="0.15">
      <c r="A222">
        <v>2.1799999999999997</v>
      </c>
      <c r="B222">
        <f t="shared" si="6"/>
        <v>23.851652380096134</v>
      </c>
      <c r="C222">
        <f t="shared" si="7"/>
        <v>0.17272902875166285</v>
      </c>
    </row>
    <row r="223" spans="1:3" x14ac:dyDescent="0.15">
      <c r="A223">
        <v>2.19</v>
      </c>
      <c r="B223">
        <f t="shared" si="6"/>
        <v>24.086049031147358</v>
      </c>
      <c r="C223">
        <f t="shared" si="7"/>
        <v>0.1718257130140935</v>
      </c>
    </row>
    <row r="224" spans="1:3" x14ac:dyDescent="0.15">
      <c r="A224">
        <v>2.1999999999999997</v>
      </c>
      <c r="B224">
        <f t="shared" si="6"/>
        <v>24.322770918910361</v>
      </c>
      <c r="C224">
        <f t="shared" si="7"/>
        <v>0.17093517639364642</v>
      </c>
    </row>
    <row r="225" spans="1:3" x14ac:dyDescent="0.15">
      <c r="A225">
        <v>2.21</v>
      </c>
      <c r="B225">
        <f t="shared" si="6"/>
        <v>24.561841010962059</v>
      </c>
      <c r="C225">
        <f t="shared" si="7"/>
        <v>0.17005734805719119</v>
      </c>
    </row>
    <row r="226" spans="1:3" x14ac:dyDescent="0.15">
      <c r="A226">
        <v>2.2199999999999998</v>
      </c>
      <c r="B226">
        <f t="shared" si="6"/>
        <v>24.803282499525952</v>
      </c>
      <c r="C226">
        <f t="shared" si="7"/>
        <v>0.16919215888576461</v>
      </c>
    </row>
    <row r="227" spans="1:3" x14ac:dyDescent="0.15">
      <c r="A227">
        <v>2.23</v>
      </c>
      <c r="B227">
        <f t="shared" si="6"/>
        <v>25.047118803607663</v>
      </c>
      <c r="C227">
        <f t="shared" si="7"/>
        <v>0.16833954147961663</v>
      </c>
    </row>
    <row r="228" spans="1:3" x14ac:dyDescent="0.15">
      <c r="A228">
        <v>2.2399999999999998</v>
      </c>
      <c r="B228">
        <f t="shared" si="6"/>
        <v>25.293373571148958</v>
      </c>
      <c r="C228">
        <f t="shared" si="7"/>
        <v>0.16749943016377744</v>
      </c>
    </row>
    <row r="229" spans="1:3" x14ac:dyDescent="0.15">
      <c r="A229">
        <v>2.25</v>
      </c>
      <c r="B229">
        <f t="shared" si="6"/>
        <v>25.542070681200364</v>
      </c>
      <c r="C229">
        <f t="shared" si="7"/>
        <v>0.16667176099415706</v>
      </c>
    </row>
    <row r="230" spans="1:3" x14ac:dyDescent="0.15">
      <c r="A230">
        <v>2.2599999999999998</v>
      </c>
      <c r="B230">
        <f t="shared" si="6"/>
        <v>25.793234246112494</v>
      </c>
      <c r="C230">
        <f t="shared" si="7"/>
        <v>0.16585647176419008</v>
      </c>
    </row>
    <row r="231" spans="1:3" x14ac:dyDescent="0.15">
      <c r="A231">
        <v>2.27</v>
      </c>
      <c r="B231">
        <f t="shared" si="6"/>
        <v>26.046888613746173</v>
      </c>
      <c r="C231">
        <f t="shared" si="7"/>
        <v>0.16505350201203767</v>
      </c>
    </row>
    <row r="232" spans="1:3" x14ac:dyDescent="0.15">
      <c r="A232">
        <v>2.2799999999999998</v>
      </c>
      <c r="B232">
        <f t="shared" si="6"/>
        <v>26.303058369701418</v>
      </c>
      <c r="C232">
        <f t="shared" si="7"/>
        <v>0.16426279302836053</v>
      </c>
    </row>
    <row r="233" spans="1:3" x14ac:dyDescent="0.15">
      <c r="A233">
        <v>2.29</v>
      </c>
      <c r="B233">
        <f t="shared" si="6"/>
        <v>26.56176833956544</v>
      </c>
      <c r="C233">
        <f t="shared" si="7"/>
        <v>0.16348428786467595</v>
      </c>
    </row>
    <row r="234" spans="1:3" x14ac:dyDescent="0.15">
      <c r="A234">
        <v>2.2999999999999998</v>
      </c>
      <c r="B234">
        <f t="shared" si="6"/>
        <v>26.823043591179676</v>
      </c>
      <c r="C234">
        <f t="shared" si="7"/>
        <v>0.16271793134231324</v>
      </c>
    </row>
    <row r="235" spans="1:3" x14ac:dyDescent="0.15">
      <c r="A235">
        <v>2.31</v>
      </c>
      <c r="B235">
        <f t="shared" si="6"/>
        <v>27.08690943692601</v>
      </c>
      <c r="C235">
        <f t="shared" si="7"/>
        <v>0.1619636700619824</v>
      </c>
    </row>
    <row r="236" spans="1:3" x14ac:dyDescent="0.15">
      <c r="A236">
        <v>2.3199999999999998</v>
      </c>
      <c r="B236">
        <f t="shared" si="6"/>
        <v>27.353391436032229</v>
      </c>
      <c r="C236">
        <f t="shared" si="7"/>
        <v>0.16122145241397079</v>
      </c>
    </row>
    <row r="237" spans="1:3" x14ac:dyDescent="0.15">
      <c r="A237">
        <v>2.3299999999999996</v>
      </c>
      <c r="B237">
        <f t="shared" si="6"/>
        <v>27.622515396896784</v>
      </c>
      <c r="C237">
        <f t="shared" si="7"/>
        <v>0.1604912285889841</v>
      </c>
    </row>
    <row r="238" spans="1:3" x14ac:dyDescent="0.15">
      <c r="A238">
        <v>2.34</v>
      </c>
      <c r="B238">
        <f t="shared" si="6"/>
        <v>27.894307379432984</v>
      </c>
      <c r="C238">
        <f t="shared" si="7"/>
        <v>0.15977295058964747</v>
      </c>
    </row>
    <row r="239" spans="1:3" x14ac:dyDescent="0.15">
      <c r="A239">
        <v>2.3499999999999996</v>
      </c>
      <c r="B239">
        <f t="shared" si="6"/>
        <v>28.168793697432651</v>
      </c>
      <c r="C239">
        <f t="shared" si="7"/>
        <v>0.15906657224268431</v>
      </c>
    </row>
    <row r="240" spans="1:3" x14ac:dyDescent="0.15">
      <c r="A240">
        <v>2.36</v>
      </c>
      <c r="B240">
        <f t="shared" si="6"/>
        <v>28.446000920949317</v>
      </c>
      <c r="C240">
        <f t="shared" si="7"/>
        <v>0.15837204921178985</v>
      </c>
    </row>
    <row r="241" spans="1:3" x14ac:dyDescent="0.15">
      <c r="A241">
        <v>2.3699999999999997</v>
      </c>
      <c r="B241">
        <f t="shared" si="6"/>
        <v>28.725955878701079</v>
      </c>
      <c r="C241">
        <f t="shared" si="7"/>
        <v>0.15768933901121818</v>
      </c>
    </row>
    <row r="242" spans="1:3" x14ac:dyDescent="0.15">
      <c r="A242">
        <v>2.38</v>
      </c>
      <c r="B242">
        <f t="shared" si="6"/>
        <v>29.008685660493114</v>
      </c>
      <c r="C242">
        <f t="shared" si="7"/>
        <v>0.15701840102010156</v>
      </c>
    </row>
    <row r="243" spans="1:3" x14ac:dyDescent="0.15">
      <c r="A243">
        <v>2.3899999999999997</v>
      </c>
      <c r="B243">
        <f t="shared" si="6"/>
        <v>29.294217619659943</v>
      </c>
      <c r="C243">
        <f t="shared" si="7"/>
        <v>0.15635919649752161</v>
      </c>
    </row>
    <row r="244" spans="1:3" x14ac:dyDescent="0.15">
      <c r="A244">
        <v>2.4</v>
      </c>
      <c r="B244">
        <f t="shared" si="6"/>
        <v>29.582579375527509</v>
      </c>
      <c r="C244">
        <f t="shared" si="7"/>
        <v>0.1557116885983531</v>
      </c>
    </row>
    <row r="245" spans="1:3" x14ac:dyDescent="0.15">
      <c r="A245">
        <v>2.4099999999999997</v>
      </c>
      <c r="B245">
        <f t="shared" si="6"/>
        <v>29.873798815895125</v>
      </c>
      <c r="C245">
        <f t="shared" si="7"/>
        <v>0.15507584238990121</v>
      </c>
    </row>
    <row r="246" spans="1:3" x14ac:dyDescent="0.15">
      <c r="A246">
        <v>2.42</v>
      </c>
      <c r="B246">
        <f t="shared" si="6"/>
        <v>30.167904099537317</v>
      </c>
      <c r="C246">
        <f t="shared" si="7"/>
        <v>0.15445162486935449</v>
      </c>
    </row>
    <row r="247" spans="1:3" x14ac:dyDescent="0.15">
      <c r="A247">
        <v>2.4299999999999997</v>
      </c>
      <c r="B247">
        <f t="shared" si="6"/>
        <v>30.464923658725617</v>
      </c>
      <c r="C247">
        <f t="shared" si="7"/>
        <v>0.15383900498207623</v>
      </c>
    </row>
    <row r="248" spans="1:3" x14ac:dyDescent="0.15">
      <c r="A248">
        <v>2.44</v>
      </c>
      <c r="B248">
        <f t="shared" si="6"/>
        <v>30.764886201770363</v>
      </c>
      <c r="C248">
        <f t="shared" si="7"/>
        <v>0.15323795364075812</v>
      </c>
    </row>
    <row r="249" spans="1:3" x14ac:dyDescent="0.15">
      <c r="A249">
        <v>2.4499999999999997</v>
      </c>
      <c r="B249">
        <f t="shared" si="6"/>
        <v>31.067820715582513</v>
      </c>
      <c r="C249">
        <f t="shared" si="7"/>
        <v>0.15264844374546058</v>
      </c>
    </row>
    <row r="250" spans="1:3" x14ac:dyDescent="0.15">
      <c r="A250">
        <v>2.46</v>
      </c>
      <c r="B250">
        <f t="shared" si="6"/>
        <v>31.373756468255539</v>
      </c>
      <c r="C250">
        <f t="shared" si="7"/>
        <v>0.15207045020456531</v>
      </c>
    </row>
    <row r="251" spans="1:3" x14ac:dyDescent="0.15">
      <c r="A251">
        <v>2.4699999999999998</v>
      </c>
      <c r="B251">
        <f t="shared" si="6"/>
        <v>31.68272301166736</v>
      </c>
      <c r="C251">
        <f t="shared" si="7"/>
        <v>0.15150394995666686</v>
      </c>
    </row>
    <row r="252" spans="1:3" x14ac:dyDescent="0.15">
      <c r="A252">
        <v>2.48</v>
      </c>
      <c r="B252">
        <f t="shared" si="6"/>
        <v>31.994750184102383</v>
      </c>
      <c r="C252">
        <f t="shared" si="7"/>
        <v>0.1509489219934303</v>
      </c>
    </row>
    <row r="253" spans="1:3" x14ac:dyDescent="0.15">
      <c r="A253">
        <v>2.4899999999999998</v>
      </c>
      <c r="B253">
        <f t="shared" si="6"/>
        <v>32.309868112893668</v>
      </c>
      <c r="C253">
        <f t="shared" si="7"/>
        <v>0.15040534738344385</v>
      </c>
    </row>
    <row r="254" spans="1:3" x14ac:dyDescent="0.15">
      <c r="A254">
        <v>2.5</v>
      </c>
      <c r="B254">
        <f t="shared" si="6"/>
        <v>32.628107217085166</v>
      </c>
      <c r="C254">
        <f t="shared" si="7"/>
        <v>0.14987320929709602</v>
      </c>
    </row>
    <row r="255" spans="1:3" x14ac:dyDescent="0.15">
      <c r="A255">
        <v>2.5099999999999998</v>
      </c>
      <c r="B255">
        <f t="shared" si="6"/>
        <v>32.949498210114108</v>
      </c>
      <c r="C255">
        <f t="shared" si="7"/>
        <v>0.14935249303250792</v>
      </c>
    </row>
    <row r="256" spans="1:3" x14ac:dyDescent="0.15">
      <c r="A256">
        <v>2.52</v>
      </c>
      <c r="B256">
        <f t="shared" si="6"/>
        <v>33.274072102513401</v>
      </c>
      <c r="C256">
        <f t="shared" si="7"/>
        <v>0.14884318604255298</v>
      </c>
    </row>
    <row r="257" spans="1:3" x14ac:dyDescent="0.15">
      <c r="A257">
        <v>2.5299999999999998</v>
      </c>
      <c r="B257">
        <f t="shared" si="6"/>
        <v>33.601860204634185</v>
      </c>
      <c r="C257">
        <f t="shared" si="7"/>
        <v>0.14834527796299699</v>
      </c>
    </row>
    <row r="258" spans="1:3" x14ac:dyDescent="0.15">
      <c r="A258">
        <v>2.54</v>
      </c>
      <c r="B258">
        <f t="shared" si="6"/>
        <v>33.932894129388401</v>
      </c>
      <c r="C258">
        <f t="shared" si="7"/>
        <v>0.14785876064179304</v>
      </c>
    </row>
    <row r="259" spans="1:3" x14ac:dyDescent="0.15">
      <c r="A259">
        <v>2.5499999999999998</v>
      </c>
      <c r="B259">
        <f t="shared" si="6"/>
        <v>34.267205795011321</v>
      </c>
      <c r="C259">
        <f t="shared" si="7"/>
        <v>0.14738362816956724</v>
      </c>
    </row>
    <row r="260" spans="1:3" x14ac:dyDescent="0.15">
      <c r="A260">
        <v>2.56</v>
      </c>
      <c r="B260">
        <f t="shared" si="6"/>
        <v>34.604827427844135</v>
      </c>
      <c r="C260">
        <f t="shared" si="7"/>
        <v>0.14691987691133196</v>
      </c>
    </row>
    <row r="261" spans="1:3" x14ac:dyDescent="0.15">
      <c r="A261">
        <v>2.57</v>
      </c>
      <c r="B261">
        <f t="shared" si="6"/>
        <v>34.945791565136339</v>
      </c>
      <c r="C261">
        <f t="shared" si="7"/>
        <v>0.146467505539466</v>
      </c>
    </row>
    <row r="262" spans="1:3" x14ac:dyDescent="0.15">
      <c r="A262">
        <v>2.5799999999999996</v>
      </c>
      <c r="B262">
        <f t="shared" ref="B262:B325" si="8">(1+($A$2-$B$2*C261)*$E$2)*B261</f>
        <v>35.290131057868059</v>
      </c>
      <c r="C262">
        <f t="shared" ref="C262:C325" si="9">(1+($C$2*B261-$D$2)*$E$2)*C261</f>
        <v>0.14602651506800085</v>
      </c>
    </row>
    <row r="263" spans="1:3" x14ac:dyDescent="0.15">
      <c r="A263">
        <v>2.59</v>
      </c>
      <c r="B263">
        <f t="shared" si="8"/>
        <v>35.63787907359206</v>
      </c>
      <c r="C263">
        <f t="shared" si="9"/>
        <v>0.14559690888825555</v>
      </c>
    </row>
    <row r="264" spans="1:3" x14ac:dyDescent="0.15">
      <c r="A264">
        <v>2.5999999999999996</v>
      </c>
      <c r="B264">
        <f t="shared" si="8"/>
        <v>35.989069099295534</v>
      </c>
      <c r="C264">
        <f t="shared" si="9"/>
        <v>0.14517869280586268</v>
      </c>
    </row>
    <row r="265" spans="1:3" x14ac:dyDescent="0.15">
      <c r="A265">
        <v>2.61</v>
      </c>
      <c r="B265">
        <f t="shared" si="8"/>
        <v>36.343734944281351</v>
      </c>
      <c r="C265">
        <f t="shared" si="9"/>
        <v>0.14477187507923117</v>
      </c>
    </row>
    <row r="266" spans="1:3" x14ac:dyDescent="0.15">
      <c r="A266">
        <v>2.6199999999999997</v>
      </c>
      <c r="B266">
        <f t="shared" si="8"/>
        <v>36.701910743068893</v>
      </c>
      <c r="C266">
        <f t="shared" si="9"/>
        <v>0.14437646645949209</v>
      </c>
    </row>
    <row r="267" spans="1:3" x14ac:dyDescent="0.15">
      <c r="A267">
        <v>2.63</v>
      </c>
      <c r="B267">
        <f t="shared" si="8"/>
        <v>37.063630958314185</v>
      </c>
      <c r="C267">
        <f t="shared" si="9"/>
        <v>0.14399248023197636</v>
      </c>
    </row>
    <row r="268" spans="1:3" x14ac:dyDescent="0.15">
      <c r="A268">
        <v>2.6399999999999997</v>
      </c>
      <c r="B268">
        <f t="shared" si="8"/>
        <v>37.428930383749233</v>
      </c>
      <c r="C268">
        <f t="shared" si="9"/>
        <v>0.14361993225927466</v>
      </c>
    </row>
    <row r="269" spans="1:3" x14ac:dyDescent="0.15">
      <c r="A269">
        <v>2.65</v>
      </c>
      <c r="B269">
        <f t="shared" si="8"/>
        <v>37.797844147140474</v>
      </c>
      <c r="C269">
        <f t="shared" si="9"/>
        <v>0.14325884102593214</v>
      </c>
    </row>
    <row r="270" spans="1:3" x14ac:dyDescent="0.15">
      <c r="A270">
        <v>2.6599999999999997</v>
      </c>
      <c r="B270">
        <f t="shared" si="8"/>
        <v>38.17040771326608</v>
      </c>
      <c r="C270">
        <f t="shared" si="9"/>
        <v>0.14290922768483244</v>
      </c>
    </row>
    <row r="271" spans="1:3" x14ac:dyDescent="0.15">
      <c r="A271">
        <v>2.67</v>
      </c>
      <c r="B271">
        <f t="shared" si="8"/>
        <v>38.546656886912025</v>
      </c>
      <c r="C271">
        <f t="shared" si="9"/>
        <v>0.14257111610532772</v>
      </c>
    </row>
    <row r="272" spans="1:3" x14ac:dyDescent="0.15">
      <c r="A272">
        <v>2.6799999999999997</v>
      </c>
      <c r="B272">
        <f t="shared" si="8"/>
        <v>38.926627815886647</v>
      </c>
      <c r="C272">
        <f t="shared" si="9"/>
        <v>0.14224453292317366</v>
      </c>
    </row>
    <row r="273" spans="1:3" x14ac:dyDescent="0.15">
      <c r="A273">
        <v>2.69</v>
      </c>
      <c r="B273">
        <f t="shared" si="8"/>
        <v>39.310356994053571</v>
      </c>
      <c r="C273">
        <f t="shared" si="9"/>
        <v>0.14192950759233092</v>
      </c>
    </row>
    <row r="274" spans="1:3" x14ac:dyDescent="0.15">
      <c r="A274">
        <v>2.6999999999999997</v>
      </c>
      <c r="B274">
        <f t="shared" si="8"/>
        <v>39.697881264382659</v>
      </c>
      <c r="C274">
        <f t="shared" si="9"/>
        <v>0.14162607243869654</v>
      </c>
    </row>
    <row r="275" spans="1:3" x14ac:dyDescent="0.15">
      <c r="A275">
        <v>2.71</v>
      </c>
      <c r="B275">
        <f t="shared" si="8"/>
        <v>40.089237822018873</v>
      </c>
      <c r="C275">
        <f t="shared" si="9"/>
        <v>0.14133426271583202</v>
      </c>
    </row>
    <row r="276" spans="1:3" x14ac:dyDescent="0.15">
      <c r="A276">
        <v>2.7199999999999998</v>
      </c>
      <c r="B276">
        <f t="shared" si="8"/>
        <v>40.484464217368647</v>
      </c>
      <c r="C276">
        <f t="shared" si="9"/>
        <v>0.14105411666275663</v>
      </c>
    </row>
    <row r="277" spans="1:3" x14ac:dyDescent="0.15">
      <c r="A277">
        <v>2.73</v>
      </c>
      <c r="B277">
        <f t="shared" si="8"/>
        <v>40.883598359203582</v>
      </c>
      <c r="C277">
        <f t="shared" si="9"/>
        <v>0.14078567556387825</v>
      </c>
    </row>
    <row r="278" spans="1:3" x14ac:dyDescent="0.15">
      <c r="A278">
        <v>2.7399999999999998</v>
      </c>
      <c r="B278">
        <f t="shared" si="8"/>
        <v>41.286678517781134</v>
      </c>
      <c r="C278">
        <f t="shared" si="9"/>
        <v>0.14052898381113602</v>
      </c>
    </row>
    <row r="279" spans="1:3" x14ac:dyDescent="0.15">
      <c r="A279">
        <v>2.75</v>
      </c>
      <c r="B279">
        <f t="shared" si="8"/>
        <v>41.693743327981899</v>
      </c>
      <c r="C279">
        <f t="shared" si="9"/>
        <v>0.14028408896843284</v>
      </c>
    </row>
    <row r="280" spans="1:3" x14ac:dyDescent="0.15">
      <c r="A280">
        <v>2.76</v>
      </c>
      <c r="B280">
        <f t="shared" si="8"/>
        <v>42.104831792463273</v>
      </c>
      <c r="C280">
        <f t="shared" si="9"/>
        <v>0.14005104183843842</v>
      </c>
    </row>
    <row r="281" spans="1:3" x14ac:dyDescent="0.15">
      <c r="A281">
        <v>2.77</v>
      </c>
      <c r="B281">
        <f t="shared" si="8"/>
        <v>42.519983284828946</v>
      </c>
      <c r="C281">
        <f t="shared" si="9"/>
        <v>0.13982989653184738</v>
      </c>
    </row>
    <row r="282" spans="1:3" x14ac:dyDescent="0.15">
      <c r="A282">
        <v>2.78</v>
      </c>
      <c r="B282">
        <f t="shared" si="8"/>
        <v>42.939237552813985</v>
      </c>
      <c r="C282">
        <f t="shared" si="9"/>
        <v>0.1396207105391796</v>
      </c>
    </row>
    <row r="283" spans="1:3" x14ac:dyDescent="0.15">
      <c r="A283">
        <v>2.79</v>
      </c>
      <c r="B283">
        <f t="shared" si="8"/>
        <v>43.362634721484994</v>
      </c>
      <c r="C283">
        <f t="shared" si="9"/>
        <v>0.13942354480521471</v>
      </c>
    </row>
    <row r="284" spans="1:3" x14ac:dyDescent="0.15">
      <c r="A284">
        <v>2.8</v>
      </c>
      <c r="B284">
        <f t="shared" si="8"/>
        <v>43.790215296454889</v>
      </c>
      <c r="C284">
        <f t="shared" si="9"/>
        <v>0.13923846380615518</v>
      </c>
    </row>
    <row r="285" spans="1:3" x14ac:dyDescent="0.15">
      <c r="A285">
        <v>2.81</v>
      </c>
      <c r="B285">
        <f t="shared" si="8"/>
        <v>44.222020167111822</v>
      </c>
      <c r="C285">
        <f t="shared" si="9"/>
        <v>0.13906553562961746</v>
      </c>
    </row>
    <row r="286" spans="1:3" x14ac:dyDescent="0.15">
      <c r="A286">
        <v>2.82</v>
      </c>
      <c r="B286">
        <f t="shared" si="8"/>
        <v>44.658090609861773</v>
      </c>
      <c r="C286">
        <f t="shared" si="9"/>
        <v>0.13890483205755391</v>
      </c>
    </row>
    <row r="287" spans="1:3" x14ac:dyDescent="0.15">
      <c r="A287">
        <v>2.8299999999999996</v>
      </c>
      <c r="B287">
        <f t="shared" si="8"/>
        <v>45.098468291384222</v>
      </c>
      <c r="C287">
        <f t="shared" si="9"/>
        <v>0.13875642865221316</v>
      </c>
    </row>
    <row r="288" spans="1:3" x14ac:dyDescent="0.15">
      <c r="A288">
        <v>2.84</v>
      </c>
      <c r="B288">
        <f t="shared" si="8"/>
        <v>45.543195271900274</v>
      </c>
      <c r="C288">
        <f t="shared" si="9"/>
        <v>0.13862040484525054</v>
      </c>
    </row>
    <row r="289" spans="1:3" x14ac:dyDescent="0.15">
      <c r="A289">
        <v>2.8499999999999996</v>
      </c>
      <c r="B289">
        <f t="shared" si="8"/>
        <v>45.992314008452738</v>
      </c>
      <c r="C289">
        <f t="shared" si="9"/>
        <v>0.13849684403010545</v>
      </c>
    </row>
    <row r="290" spans="1:3" x14ac:dyDescent="0.15">
      <c r="A290">
        <v>2.86</v>
      </c>
      <c r="B290">
        <f t="shared" si="8"/>
        <v>46.445867358197454</v>
      </c>
      <c r="C290">
        <f t="shared" si="9"/>
        <v>0.13838583365776685</v>
      </c>
    </row>
    <row r="291" spans="1:3" x14ac:dyDescent="0.15">
      <c r="A291">
        <v>2.8699999999999997</v>
      </c>
      <c r="B291">
        <f t="shared" si="8"/>
        <v>46.9038985817051</v>
      </c>
      <c r="C291">
        <f t="shared" si="9"/>
        <v>0.13828746533605363</v>
      </c>
    </row>
    <row r="292" spans="1:3" x14ac:dyDescent="0.15">
      <c r="A292">
        <v>2.88</v>
      </c>
      <c r="B292">
        <f t="shared" si="8"/>
        <v>47.36645134627291</v>
      </c>
      <c r="C292">
        <f t="shared" si="9"/>
        <v>0.13820183493254176</v>
      </c>
    </row>
    <row r="293" spans="1:3" x14ac:dyDescent="0.15">
      <c r="A293">
        <v>2.8899999999999997</v>
      </c>
      <c r="B293">
        <f t="shared" si="8"/>
        <v>47.83356972924534</v>
      </c>
      <c r="C293">
        <f t="shared" si="9"/>
        <v>0.13812904268127593</v>
      </c>
    </row>
    <row r="294" spans="1:3" x14ac:dyDescent="0.15">
      <c r="A294">
        <v>2.9</v>
      </c>
      <c r="B294">
        <f t="shared" si="8"/>
        <v>48.305298221343072</v>
      </c>
      <c r="C294">
        <f t="shared" si="9"/>
        <v>0.13806919329340892</v>
      </c>
    </row>
    <row r="295" spans="1:3" x14ac:dyDescent="0.15">
      <c r="A295">
        <v>2.9099999999999997</v>
      </c>
      <c r="B295">
        <f t="shared" si="8"/>
        <v>48.781681729999278</v>
      </c>
      <c r="C295">
        <f t="shared" si="9"/>
        <v>0.13802239607191852</v>
      </c>
    </row>
    <row r="296" spans="1:3" x14ac:dyDescent="0.15">
      <c r="A296">
        <v>2.92</v>
      </c>
      <c r="B296">
        <f t="shared" si="8"/>
        <v>49.262765582702478</v>
      </c>
      <c r="C296">
        <f t="shared" si="9"/>
        <v>0.13798876503055776</v>
      </c>
    </row>
    <row r="297" spans="1:3" x14ac:dyDescent="0.15">
      <c r="A297">
        <v>2.9299999999999997</v>
      </c>
      <c r="B297">
        <f t="shared" si="8"/>
        <v>49.748595530344758</v>
      </c>
      <c r="C297">
        <f t="shared" si="9"/>
        <v>0.13796841901720158</v>
      </c>
    </row>
    <row r="298" spans="1:3" x14ac:dyDescent="0.15">
      <c r="A298">
        <v>2.94</v>
      </c>
      <c r="B298">
        <f t="shared" si="8"/>
        <v>50.239217750574554</v>
      </c>
      <c r="C298">
        <f t="shared" si="9"/>
        <v>0.13796148184175916</v>
      </c>
    </row>
    <row r="299" spans="1:3" x14ac:dyDescent="0.15">
      <c r="A299">
        <v>2.9499999999999997</v>
      </c>
      <c r="B299">
        <f t="shared" si="8"/>
        <v>50.734678851152857</v>
      </c>
      <c r="C299">
        <f t="shared" si="9"/>
        <v>0.1379680824088296</v>
      </c>
    </row>
    <row r="300" spans="1:3" x14ac:dyDescent="0.15">
      <c r="A300">
        <v>2.96</v>
      </c>
      <c r="B300">
        <f t="shared" si="8"/>
        <v>51.23502587331167</v>
      </c>
      <c r="C300">
        <f t="shared" si="9"/>
        <v>0.13798835485528557</v>
      </c>
    </row>
    <row r="301" spans="1:3" x14ac:dyDescent="0.15">
      <c r="A301">
        <v>2.9699999999999998</v>
      </c>
      <c r="B301">
        <f t="shared" si="8"/>
        <v>51.740306295113555</v>
      </c>
      <c r="C301">
        <f t="shared" si="9"/>
        <v>0.13802243869297798</v>
      </c>
    </row>
    <row r="302" spans="1:3" x14ac:dyDescent="0.15">
      <c r="A302">
        <v>2.98</v>
      </c>
      <c r="B302">
        <f t="shared" si="8"/>
        <v>52.25056803481111</v>
      </c>
      <c r="C302">
        <f t="shared" si="9"/>
        <v>0.13807047895676286</v>
      </c>
    </row>
    <row r="303" spans="1:3" x14ac:dyDescent="0.15">
      <c r="A303">
        <v>2.9899999999999998</v>
      </c>
      <c r="B303">
        <f t="shared" si="8"/>
        <v>52.765859454204886</v>
      </c>
      <c r="C303">
        <f t="shared" si="9"/>
        <v>0.13813262635806109</v>
      </c>
    </row>
    <row r="304" spans="1:3" x14ac:dyDescent="0.15">
      <c r="A304">
        <v>3</v>
      </c>
      <c r="B304">
        <f t="shared" si="8"/>
        <v>53.286229361998487</v>
      </c>
      <c r="C304">
        <f t="shared" si="9"/>
        <v>0.1382090374441704</v>
      </c>
    </row>
    <row r="305" spans="1:3" x14ac:dyDescent="0.15">
      <c r="A305">
        <v>3.01</v>
      </c>
      <c r="B305">
        <f t="shared" si="8"/>
        <v>53.811727017149316</v>
      </c>
      <c r="C305">
        <f t="shared" si="9"/>
        <v>0.13829987476355893</v>
      </c>
    </row>
    <row r="306" spans="1:3" x14ac:dyDescent="0.15">
      <c r="A306">
        <v>3.02</v>
      </c>
      <c r="B306">
        <f t="shared" si="8"/>
        <v>54.342402132213522</v>
      </c>
      <c r="C306">
        <f t="shared" si="9"/>
        <v>0.13840530703737985</v>
      </c>
    </row>
    <row r="307" spans="1:3" x14ac:dyDescent="0.15">
      <c r="A307">
        <v>3.03</v>
      </c>
      <c r="B307">
        <f t="shared" si="8"/>
        <v>54.878304876683394</v>
      </c>
      <c r="C307">
        <f t="shared" si="9"/>
        <v>0.13852550933745761</v>
      </c>
    </row>
    <row r="308" spans="1:3" x14ac:dyDescent="0.15">
      <c r="A308">
        <v>3.04</v>
      </c>
      <c r="B308">
        <f t="shared" si="8"/>
        <v>55.419485880315605</v>
      </c>
      <c r="C308">
        <f t="shared" si="9"/>
        <v>0.13866066327100679</v>
      </c>
    </row>
    <row r="309" spans="1:3" x14ac:dyDescent="0.15">
      <c r="A309">
        <v>3.05</v>
      </c>
      <c r="B309">
        <f t="shared" si="8"/>
        <v>55.965996236448461</v>
      </c>
      <c r="C309">
        <f t="shared" si="9"/>
        <v>0.13881095717235728</v>
      </c>
    </row>
    <row r="310" spans="1:3" x14ac:dyDescent="0.15">
      <c r="A310">
        <v>3.06</v>
      </c>
      <c r="B310">
        <f t="shared" si="8"/>
        <v>56.517887505306263</v>
      </c>
      <c r="C310">
        <f t="shared" si="9"/>
        <v>0.13897658630197091</v>
      </c>
    </row>
    <row r="311" spans="1:3" x14ac:dyDescent="0.15">
      <c r="A311">
        <v>3.07</v>
      </c>
      <c r="B311">
        <f t="shared" si="8"/>
        <v>57.075211717288838</v>
      </c>
      <c r="C311">
        <f t="shared" si="9"/>
        <v>0.13915775305304845</v>
      </c>
    </row>
    <row r="312" spans="1:3" x14ac:dyDescent="0.15">
      <c r="A312">
        <v>3.08</v>
      </c>
      <c r="B312">
        <f t="shared" si="8"/>
        <v>57.638021376244126</v>
      </c>
      <c r="C312">
        <f t="shared" si="9"/>
        <v>0.13935466716603895</v>
      </c>
    </row>
    <row r="313" spans="1:3" x14ac:dyDescent="0.15">
      <c r="A313">
        <v>3.09</v>
      </c>
      <c r="B313">
        <f t="shared" si="8"/>
        <v>58.206369462721575</v>
      </c>
      <c r="C313">
        <f t="shared" si="9"/>
        <v>0.13956754595137766</v>
      </c>
    </row>
    <row r="314" spans="1:3" x14ac:dyDescent="0.15">
      <c r="A314">
        <v>3.0999999999999996</v>
      </c>
      <c r="B314">
        <f t="shared" si="8"/>
        <v>58.780309437204139</v>
      </c>
      <c r="C314">
        <f t="shared" si="9"/>
        <v>0.13979661452079414</v>
      </c>
    </row>
    <row r="315" spans="1:3" x14ac:dyDescent="0.15">
      <c r="A315">
        <v>3.11</v>
      </c>
      <c r="B315">
        <f t="shared" si="8"/>
        <v>59.359895243316366</v>
      </c>
      <c r="C315">
        <f t="shared" si="9"/>
        <v>0.14004210602754735</v>
      </c>
    </row>
    <row r="316" spans="1:3" x14ac:dyDescent="0.15">
      <c r="A316">
        <v>3.1199999999999997</v>
      </c>
      <c r="B316">
        <f t="shared" si="8"/>
        <v>59.945181311006081</v>
      </c>
      <c r="C316">
        <f t="shared" si="9"/>
        <v>0.1403042619159616</v>
      </c>
    </row>
    <row r="317" spans="1:3" x14ac:dyDescent="0.15">
      <c r="A317">
        <v>3.13</v>
      </c>
      <c r="B317">
        <f t="shared" si="8"/>
        <v>60.536222559696888</v>
      </c>
      <c r="C317">
        <f t="shared" si="9"/>
        <v>0.14058333218065383</v>
      </c>
    </row>
    <row r="318" spans="1:3" x14ac:dyDescent="0.15">
      <c r="A318">
        <v>3.1399999999999997</v>
      </c>
      <c r="B318">
        <f t="shared" si="8"/>
        <v>61.133074401408791</v>
      </c>
      <c r="C318">
        <f t="shared" si="9"/>
        <v>0.14087957563586168</v>
      </c>
    </row>
    <row r="319" spans="1:3" x14ac:dyDescent="0.15">
      <c r="A319">
        <v>3.15</v>
      </c>
      <c r="B319">
        <f t="shared" si="8"/>
        <v>61.735792743843888</v>
      </c>
      <c r="C319">
        <f t="shared" si="9"/>
        <v>0.14119326019530029</v>
      </c>
    </row>
    <row r="320" spans="1:3" x14ac:dyDescent="0.15">
      <c r="A320">
        <v>3.1599999999999997</v>
      </c>
      <c r="B320">
        <f t="shared" si="8"/>
        <v>62.34443399343408</v>
      </c>
      <c r="C320">
        <f t="shared" si="9"/>
        <v>0.14152466316299625</v>
      </c>
    </row>
    <row r="321" spans="1:3" x14ac:dyDescent="0.15">
      <c r="A321">
        <v>3.17</v>
      </c>
      <c r="B321">
        <f t="shared" si="8"/>
        <v>62.95905505834741</v>
      </c>
      <c r="C321">
        <f t="shared" si="9"/>
        <v>0.14187407153556797</v>
      </c>
    </row>
    <row r="322" spans="1:3" x14ac:dyDescent="0.15">
      <c r="A322">
        <v>3.1799999999999997</v>
      </c>
      <c r="B322">
        <f t="shared" si="8"/>
        <v>63.579713351449726</v>
      </c>
      <c r="C322">
        <f t="shared" si="9"/>
        <v>0.14224178231644422</v>
      </c>
    </row>
    <row r="323" spans="1:3" x14ac:dyDescent="0.15">
      <c r="A323">
        <v>3.19</v>
      </c>
      <c r="B323">
        <f t="shared" si="8"/>
        <v>64.206466793217942</v>
      </c>
      <c r="C323">
        <f t="shared" si="9"/>
        <v>0.14262810284253552</v>
      </c>
    </row>
    <row r="324" spans="1:3" x14ac:dyDescent="0.15">
      <c r="A324">
        <v>3.1999999999999997</v>
      </c>
      <c r="B324">
        <f t="shared" si="8"/>
        <v>64.839373814601188</v>
      </c>
      <c r="C324">
        <f t="shared" si="9"/>
        <v>0.14303335112389798</v>
      </c>
    </row>
    <row r="325" spans="1:3" x14ac:dyDescent="0.15">
      <c r="A325">
        <v>3.21</v>
      </c>
      <c r="B325">
        <f t="shared" si="8"/>
        <v>65.47849335982572</v>
      </c>
      <c r="C325">
        <f t="shared" si="9"/>
        <v>0.1434578561969545</v>
      </c>
    </row>
    <row r="326" spans="1:3" x14ac:dyDescent="0.15">
      <c r="A326">
        <v>3.2199999999999998</v>
      </c>
      <c r="B326">
        <f t="shared" ref="B326:B389" si="10">(1+($A$2-$B$2*C325)*$E$2)*B325</f>
        <v>66.123884889139575</v>
      </c>
      <c r="C326">
        <f t="shared" ref="C326:C389" si="11">(1+($C$2*B325-$D$2)*$E$2)*C325</f>
        <v>0.14390195849186641</v>
      </c>
    </row>
    <row r="327" spans="1:3" x14ac:dyDescent="0.15">
      <c r="A327">
        <v>3.23</v>
      </c>
      <c r="B327">
        <f t="shared" si="10"/>
        <v>66.775608381492333</v>
      </c>
      <c r="C327">
        <f t="shared" si="11"/>
        <v>0.14436601021467532</v>
      </c>
    </row>
    <row r="328" spans="1:3" x14ac:dyDescent="0.15">
      <c r="A328">
        <v>3.2399999999999998</v>
      </c>
      <c r="B328">
        <f t="shared" si="10"/>
        <v>67.433724337145563</v>
      </c>
      <c r="C328">
        <f t="shared" si="11"/>
        <v>0.14485037574486728</v>
      </c>
    </row>
    <row r="329" spans="1:3" x14ac:dyDescent="0.15">
      <c r="A329">
        <v>3.25</v>
      </c>
      <c r="B329">
        <f t="shared" si="10"/>
        <v>68.098293780208905</v>
      </c>
      <c r="C329">
        <f t="shared" si="11"/>
        <v>0.14535543204904089</v>
      </c>
    </row>
    <row r="330" spans="1:3" x14ac:dyDescent="0.15">
      <c r="A330">
        <v>3.26</v>
      </c>
      <c r="B330">
        <f t="shared" si="10"/>
        <v>68.769378261096776</v>
      </c>
      <c r="C330">
        <f t="shared" si="11"/>
        <v>0.14588156911139544</v>
      </c>
    </row>
    <row r="331" spans="1:3" x14ac:dyDescent="0.15">
      <c r="A331">
        <v>3.27</v>
      </c>
      <c r="B331">
        <f t="shared" si="10"/>
        <v>69.447039858900212</v>
      </c>
      <c r="C331">
        <f t="shared" si="11"/>
        <v>0.14642919038179025</v>
      </c>
    </row>
    <row r="332" spans="1:3" x14ac:dyDescent="0.15">
      <c r="A332">
        <v>3.28</v>
      </c>
      <c r="B332">
        <f t="shared" si="10"/>
        <v>70.131341183668255</v>
      </c>
      <c r="C332">
        <f t="shared" si="11"/>
        <v>0.14699871324216246</v>
      </c>
    </row>
    <row r="333" spans="1:3" x14ac:dyDescent="0.15">
      <c r="A333">
        <v>3.29</v>
      </c>
      <c r="B333">
        <f t="shared" si="10"/>
        <v>70.822345378592999</v>
      </c>
      <c r="C333">
        <f t="shared" si="11"/>
        <v>0.14759056949213009</v>
      </c>
    </row>
    <row r="334" spans="1:3" x14ac:dyDescent="0.15">
      <c r="A334">
        <v>3.3</v>
      </c>
      <c r="B334">
        <f t="shared" si="10"/>
        <v>71.520116122091736</v>
      </c>
      <c r="C334">
        <f t="shared" si="11"/>
        <v>0.14820520585464775</v>
      </c>
    </row>
    <row r="335" spans="1:3" x14ac:dyDescent="0.15">
      <c r="A335">
        <v>3.31</v>
      </c>
      <c r="B335">
        <f t="shared" si="10"/>
        <v>72.224717629780031</v>
      </c>
      <c r="C335">
        <f t="shared" si="11"/>
        <v>0.14884308450262584</v>
      </c>
    </row>
    <row r="336" spans="1:3" x14ac:dyDescent="0.15">
      <c r="A336">
        <v>3.32</v>
      </c>
      <c r="B336">
        <f t="shared" si="10"/>
        <v>72.936214656328474</v>
      </c>
      <c r="C336">
        <f t="shared" si="11"/>
        <v>0.1495046836074691</v>
      </c>
    </row>
    <row r="337" spans="1:3" x14ac:dyDescent="0.15">
      <c r="A337">
        <v>3.33</v>
      </c>
      <c r="B337">
        <f t="shared" si="10"/>
        <v>73.654672497196032</v>
      </c>
      <c r="C337">
        <f t="shared" si="11"/>
        <v>0.15019049791053857</v>
      </c>
    </row>
    <row r="338" spans="1:3" x14ac:dyDescent="0.15">
      <c r="A338">
        <v>3.34</v>
      </c>
      <c r="B338">
        <f t="shared" si="10"/>
        <v>74.380156990232194</v>
      </c>
      <c r="C338">
        <f t="shared" si="11"/>
        <v>0.1509010393185915</v>
      </c>
    </row>
    <row r="339" spans="1:3" x14ac:dyDescent="0.15">
      <c r="A339">
        <v>3.3499999999999996</v>
      </c>
      <c r="B339">
        <f t="shared" si="10"/>
        <v>75.112734517140012</v>
      </c>
      <c r="C339">
        <f t="shared" si="11"/>
        <v>0.15163683752430679</v>
      </c>
    </row>
    <row r="340" spans="1:3" x14ac:dyDescent="0.15">
      <c r="A340">
        <v>3.36</v>
      </c>
      <c r="B340">
        <f t="shared" si="10"/>
        <v>75.852472004791437</v>
      </c>
      <c r="C340">
        <f t="shared" si="11"/>
        <v>0.1523984406530601</v>
      </c>
    </row>
    <row r="341" spans="1:3" x14ac:dyDescent="0.15">
      <c r="A341">
        <v>3.3699999999999997</v>
      </c>
      <c r="B341">
        <f t="shared" si="10"/>
        <v>76.599436926386147</v>
      </c>
      <c r="C341">
        <f t="shared" si="11"/>
        <v>0.15318641593717153</v>
      </c>
    </row>
    <row r="342" spans="1:3" x14ac:dyDescent="0.15">
      <c r="A342">
        <v>3.38</v>
      </c>
      <c r="B342">
        <f t="shared" si="10"/>
        <v>77.353697302444445</v>
      </c>
      <c r="C342">
        <f t="shared" si="11"/>
        <v>0.15400135041891153</v>
      </c>
    </row>
    <row r="343" spans="1:3" x14ac:dyDescent="0.15">
      <c r="A343">
        <v>3.3899999999999997</v>
      </c>
      <c r="B343">
        <f t="shared" si="10"/>
        <v>78.115321701624424</v>
      </c>
      <c r="C343">
        <f t="shared" si="11"/>
        <v>0.15484385168361683</v>
      </c>
    </row>
    <row r="344" spans="1:3" x14ac:dyDescent="0.15">
      <c r="A344">
        <v>3.4</v>
      </c>
      <c r="B344">
        <f t="shared" si="10"/>
        <v>78.884379241352889</v>
      </c>
      <c r="C344">
        <f t="shared" si="11"/>
        <v>0.15571454862433751</v>
      </c>
    </row>
    <row r="345" spans="1:3" x14ac:dyDescent="0.15">
      <c r="A345">
        <v>3.4099999999999997</v>
      </c>
      <c r="B345">
        <f t="shared" si="10"/>
        <v>79.660939588259339</v>
      </c>
      <c r="C345">
        <f t="shared" si="11"/>
        <v>0.15661409223950978</v>
      </c>
    </row>
    <row r="346" spans="1:3" x14ac:dyDescent="0.15">
      <c r="A346">
        <v>3.42</v>
      </c>
      <c r="B346">
        <f t="shared" si="10"/>
        <v>80.445072958401369</v>
      </c>
      <c r="C346">
        <f t="shared" si="11"/>
        <v>0.15754315646522704</v>
      </c>
    </row>
    <row r="347" spans="1:3" x14ac:dyDescent="0.15">
      <c r="A347">
        <v>3.4299999999999997</v>
      </c>
      <c r="B347">
        <f t="shared" si="10"/>
        <v>81.236850117269427</v>
      </c>
      <c r="C347">
        <f t="shared" si="11"/>
        <v>0.15850243904376318</v>
      </c>
    </row>
    <row r="348" spans="1:3" x14ac:dyDescent="0.15">
      <c r="A348">
        <v>3.44</v>
      </c>
      <c r="B348">
        <f t="shared" si="10"/>
        <v>82.036342379558292</v>
      </c>
      <c r="C348">
        <f t="shared" si="11"/>
        <v>0.15949266243008953</v>
      </c>
    </row>
    <row r="349" spans="1:3" x14ac:dyDescent="0.15">
      <c r="A349">
        <v>3.4499999999999997</v>
      </c>
      <c r="B349">
        <f t="shared" si="10"/>
        <v>82.84362160869172</v>
      </c>
      <c r="C349">
        <f t="shared" si="11"/>
        <v>0.16051457473821704</v>
      </c>
    </row>
    <row r="350" spans="1:3" x14ac:dyDescent="0.15">
      <c r="A350">
        <v>3.46</v>
      </c>
      <c r="B350">
        <f t="shared" si="10"/>
        <v>83.658760216086336</v>
      </c>
      <c r="C350">
        <f t="shared" si="11"/>
        <v>0.16156895072929345</v>
      </c>
    </row>
    <row r="351" spans="1:3" x14ac:dyDescent="0.15">
      <c r="A351">
        <v>3.4699999999999998</v>
      </c>
      <c r="B351">
        <f t="shared" si="10"/>
        <v>84.481831160139777</v>
      </c>
      <c r="C351">
        <f t="shared" si="11"/>
        <v>0.16265659284348585</v>
      </c>
    </row>
    <row r="352" spans="1:3" x14ac:dyDescent="0.15">
      <c r="A352">
        <v>3.48</v>
      </c>
      <c r="B352">
        <f t="shared" si="10"/>
        <v>85.312907944927488</v>
      </c>
      <c r="C352">
        <f t="shared" si="11"/>
        <v>0.1637783322777884</v>
      </c>
    </row>
    <row r="353" spans="1:3" x14ac:dyDescent="0.15">
      <c r="A353">
        <v>3.4899999999999998</v>
      </c>
      <c r="B353">
        <f t="shared" si="10"/>
        <v>86.152064618591766</v>
      </c>
      <c r="C353">
        <f t="shared" si="11"/>
        <v>0.16493503011200827</v>
      </c>
    </row>
    <row r="354" spans="1:3" x14ac:dyDescent="0.15">
      <c r="A354">
        <v>3.5</v>
      </c>
      <c r="B354">
        <f t="shared" si="10"/>
        <v>86.999375771405596</v>
      </c>
      <c r="C354">
        <f t="shared" si="11"/>
        <v>0.16612757848530402</v>
      </c>
    </row>
    <row r="355" spans="1:3" x14ac:dyDescent="0.15">
      <c r="A355">
        <v>3.51</v>
      </c>
      <c r="B355">
        <f t="shared" si="10"/>
        <v>87.854916533493025</v>
      </c>
      <c r="C355">
        <f t="shared" si="11"/>
        <v>0.16735690182577831</v>
      </c>
    </row>
    <row r="356" spans="1:3" x14ac:dyDescent="0.15">
      <c r="A356">
        <v>3.52</v>
      </c>
      <c r="B356">
        <f t="shared" si="10"/>
        <v>88.718762572186762</v>
      </c>
      <c r="C356">
        <f t="shared" si="11"/>
        <v>0.16862395813576206</v>
      </c>
    </row>
    <row r="357" spans="1:3" x14ac:dyDescent="0.15">
      <c r="A357">
        <v>3.53</v>
      </c>
      <c r="B357">
        <f t="shared" si="10"/>
        <v>89.590990089002801</v>
      </c>
      <c r="C357">
        <f t="shared" si="11"/>
        <v>0.16992974033557023</v>
      </c>
    </row>
    <row r="358" spans="1:3" x14ac:dyDescent="0.15">
      <c r="A358">
        <v>3.54</v>
      </c>
      <c r="B358">
        <f t="shared" si="10"/>
        <v>90.471675816210606</v>
      </c>
      <c r="C358">
        <f t="shared" si="11"/>
        <v>0.17127527766866069</v>
      </c>
    </row>
    <row r="359" spans="1:3" x14ac:dyDescent="0.15">
      <c r="A359">
        <v>3.55</v>
      </c>
      <c r="B359">
        <f t="shared" si="10"/>
        <v>91.360897012976153</v>
      </c>
      <c r="C359">
        <f t="shared" si="11"/>
        <v>0.17266163717128818</v>
      </c>
    </row>
    <row r="360" spans="1:3" x14ac:dyDescent="0.15">
      <c r="A360">
        <v>3.56</v>
      </c>
      <c r="B360">
        <f t="shared" si="10"/>
        <v>92.258731461054211</v>
      </c>
      <c r="C360">
        <f t="shared" si="11"/>
        <v>0.1740899252099149</v>
      </c>
    </row>
    <row r="361" spans="1:3" x14ac:dyDescent="0.15">
      <c r="A361">
        <v>3.57</v>
      </c>
      <c r="B361">
        <f t="shared" si="10"/>
        <v>93.165257460004739</v>
      </c>
      <c r="C361">
        <f t="shared" si="11"/>
        <v>0.17556128908981908</v>
      </c>
    </row>
    <row r="362" spans="1:3" x14ac:dyDescent="0.15">
      <c r="A362">
        <v>3.58</v>
      </c>
      <c r="B362">
        <f t="shared" si="10"/>
        <v>94.080553821906719</v>
      </c>
      <c r="C362">
        <f t="shared" si="11"/>
        <v>0.17707691873853357</v>
      </c>
    </row>
    <row r="363" spans="1:3" x14ac:dyDescent="0.15">
      <c r="A363">
        <v>3.59</v>
      </c>
      <c r="B363">
        <f t="shared" si="10"/>
        <v>95.004699865541781</v>
      </c>
      <c r="C363">
        <f t="shared" si="11"/>
        <v>0.17863804846794784</v>
      </c>
    </row>
    <row r="364" spans="1:3" x14ac:dyDescent="0.15">
      <c r="A364">
        <v>3.5999999999999996</v>
      </c>
      <c r="B364">
        <f t="shared" si="10"/>
        <v>95.937775410017949</v>
      </c>
      <c r="C364">
        <f t="shared" si="11"/>
        <v>0.18024595881912106</v>
      </c>
    </row>
    <row r="365" spans="1:3" x14ac:dyDescent="0.15">
      <c r="A365">
        <v>3.61</v>
      </c>
      <c r="B365">
        <f t="shared" si="10"/>
        <v>96.87986076780237</v>
      </c>
      <c r="C365">
        <f t="shared" si="11"/>
        <v>0.18190197849408027</v>
      </c>
    </row>
    <row r="366" spans="1:3" x14ac:dyDescent="0.15">
      <c r="A366">
        <v>3.6199999999999997</v>
      </c>
      <c r="B366">
        <f t="shared" si="10"/>
        <v>97.831036737130503</v>
      </c>
      <c r="C366">
        <f t="shared" si="11"/>
        <v>0.18360748637911831</v>
      </c>
    </row>
    <row r="367" spans="1:3" x14ac:dyDescent="0.15">
      <c r="A367">
        <v>3.63</v>
      </c>
      <c r="B367">
        <f t="shared" si="10"/>
        <v>98.791384593756646</v>
      </c>
      <c r="C367">
        <f t="shared" si="11"/>
        <v>0.18536391366436067</v>
      </c>
    </row>
    <row r="368" spans="1:3" x14ac:dyDescent="0.15">
      <c r="A368">
        <v>3.6399999999999997</v>
      </c>
      <c r="B368">
        <f t="shared" si="10"/>
        <v>99.760986082009595</v>
      </c>
      <c r="C368">
        <f t="shared" si="11"/>
        <v>0.18717274606464104</v>
      </c>
    </row>
    <row r="369" spans="1:3" x14ac:dyDescent="0.15">
      <c r="A369">
        <v>3.65</v>
      </c>
      <c r="B369">
        <f t="shared" si="10"/>
        <v>100.7399234051146</v>
      </c>
      <c r="C369">
        <f t="shared" si="11"/>
        <v>0.18903552614701186</v>
      </c>
    </row>
    <row r="370" spans="1:3" x14ac:dyDescent="0.15">
      <c r="A370">
        <v>3.6599999999999997</v>
      </c>
      <c r="B370">
        <f t="shared" si="10"/>
        <v>101.72827921474084</v>
      </c>
      <c r="C370">
        <f t="shared" si="11"/>
        <v>0.19095385577052082</v>
      </c>
    </row>
    <row r="371" spans="1:3" x14ac:dyDescent="0.15">
      <c r="A371">
        <v>3.67</v>
      </c>
      <c r="B371">
        <f t="shared" si="10"/>
        <v>102.72613659973129</v>
      </c>
      <c r="C371">
        <f t="shared" si="11"/>
        <v>0.19292939864420661</v>
      </c>
    </row>
    <row r="372" spans="1:3" x14ac:dyDescent="0.15">
      <c r="A372">
        <v>3.6799999999999997</v>
      </c>
      <c r="B372">
        <f t="shared" si="10"/>
        <v>103.73357907396937</v>
      </c>
      <c r="C372">
        <f t="shared" si="11"/>
        <v>0.19496388300961029</v>
      </c>
    </row>
    <row r="373" spans="1:3" x14ac:dyDescent="0.15">
      <c r="A373">
        <v>3.69</v>
      </c>
      <c r="B373">
        <f t="shared" si="10"/>
        <v>104.75069056333432</v>
      </c>
      <c r="C373">
        <f t="shared" si="11"/>
        <v>0.19705910445446329</v>
      </c>
    </row>
    <row r="374" spans="1:3" x14ac:dyDescent="0.15">
      <c r="A374">
        <v>3.6999999999999997</v>
      </c>
      <c r="B374">
        <f t="shared" si="10"/>
        <v>105.77755539169426</v>
      </c>
      <c r="C374">
        <f t="shared" si="11"/>
        <v>0.1992169288645981</v>
      </c>
    </row>
    <row r="375" spans="1:3" x14ac:dyDescent="0.15">
      <c r="A375">
        <v>3.71</v>
      </c>
      <c r="B375">
        <f t="shared" si="10"/>
        <v>106.81425826588325</v>
      </c>
      <c r="C375">
        <f t="shared" si="11"/>
        <v>0.20143929552153975</v>
      </c>
    </row>
    <row r="376" spans="1:3" x14ac:dyDescent="0.15">
      <c r="A376">
        <v>3.7199999999999998</v>
      </c>
      <c r="B376">
        <f t="shared" si="10"/>
        <v>107.86088425960534</v>
      </c>
      <c r="C376">
        <f t="shared" si="11"/>
        <v>0.20372822035367144</v>
      </c>
    </row>
    <row r="377" spans="1:3" x14ac:dyDescent="0.15">
      <c r="A377">
        <v>3.73</v>
      </c>
      <c r="B377">
        <f t="shared" si="10"/>
        <v>108.9175187962054</v>
      </c>
      <c r="C377">
        <f t="shared" si="11"/>
        <v>0.20608579934933127</v>
      </c>
    </row>
    <row r="378" spans="1:3" x14ac:dyDescent="0.15">
      <c r="A378">
        <v>3.7399999999999998</v>
      </c>
      <c r="B378">
        <f t="shared" si="10"/>
        <v>109.98424763024319</v>
      </c>
      <c r="C378">
        <f t="shared" si="11"/>
        <v>0.20851421214069032</v>
      </c>
    </row>
    <row r="379" spans="1:3" x14ac:dyDescent="0.15">
      <c r="A379">
        <v>3.75</v>
      </c>
      <c r="B379">
        <f t="shared" si="10"/>
        <v>111.06115682780312</v>
      </c>
      <c r="C379">
        <f t="shared" si="11"/>
        <v>0.2110157257677848</v>
      </c>
    </row>
    <row r="380" spans="1:3" x14ac:dyDescent="0.15">
      <c r="A380">
        <v>3.76</v>
      </c>
      <c r="B380">
        <f t="shared" si="10"/>
        <v>112.14833274546852</v>
      </c>
      <c r="C380">
        <f t="shared" si="11"/>
        <v>0.21359269863263267</v>
      </c>
    </row>
    <row r="381" spans="1:3" x14ac:dyDescent="0.15">
      <c r="A381">
        <v>3.77</v>
      </c>
      <c r="B381">
        <f t="shared" si="10"/>
        <v>113.24586200788495</v>
      </c>
      <c r="C381">
        <f t="shared" si="11"/>
        <v>0.21624758465395735</v>
      </c>
    </row>
    <row r="382" spans="1:3" x14ac:dyDescent="0.15">
      <c r="A382">
        <v>3.78</v>
      </c>
      <c r="B382">
        <f t="shared" si="10"/>
        <v>114.35383148383255</v>
      </c>
      <c r="C382">
        <f t="shared" si="11"/>
        <v>0.21898293763366986</v>
      </c>
    </row>
    <row r="383" spans="1:3" x14ac:dyDescent="0.15">
      <c r="A383">
        <v>3.79</v>
      </c>
      <c r="B383">
        <f t="shared" si="10"/>
        <v>115.47232826072288</v>
      </c>
      <c r="C383">
        <f t="shared" si="11"/>
        <v>0.22180141584693219</v>
      </c>
    </row>
    <row r="384" spans="1:3" x14ac:dyDescent="0.15">
      <c r="A384">
        <v>3.8</v>
      </c>
      <c r="B384">
        <f t="shared" si="10"/>
        <v>116.60143961743073</v>
      </c>
      <c r="C384">
        <f t="shared" si="11"/>
        <v>0.22470578686833687</v>
      </c>
    </row>
    <row r="385" spans="1:3" x14ac:dyDescent="0.15">
      <c r="A385">
        <v>3.81</v>
      </c>
      <c r="B385">
        <f t="shared" si="10"/>
        <v>117.74125299536583</v>
      </c>
      <c r="C385">
        <f t="shared" si="11"/>
        <v>0.22769893264749663</v>
      </c>
    </row>
    <row r="386" spans="1:3" x14ac:dyDescent="0.15">
      <c r="A386">
        <v>3.82</v>
      </c>
      <c r="B386">
        <f t="shared" si="10"/>
        <v>118.89185596768387</v>
      </c>
      <c r="C386">
        <f t="shared" si="11"/>
        <v>0.2307838548481464</v>
      </c>
    </row>
    <row r="387" spans="1:3" x14ac:dyDescent="0.15">
      <c r="A387">
        <v>3.83</v>
      </c>
      <c r="B387">
        <f t="shared" si="10"/>
        <v>120.05333620653045</v>
      </c>
      <c r="C387">
        <f t="shared" si="11"/>
        <v>0.2339636804657195</v>
      </c>
    </row>
    <row r="388" spans="1:3" x14ac:dyDescent="0.15">
      <c r="A388">
        <v>3.84</v>
      </c>
      <c r="B388">
        <f t="shared" si="10"/>
        <v>121.22578144820467</v>
      </c>
      <c r="C388">
        <f t="shared" si="11"/>
        <v>0.23724166773927596</v>
      </c>
    </row>
    <row r="389" spans="1:3" x14ac:dyDescent="0.15">
      <c r="A389">
        <v>3.8499999999999996</v>
      </c>
      <c r="B389">
        <f t="shared" si="10"/>
        <v>122.40927945612296</v>
      </c>
      <c r="C389">
        <f t="shared" si="11"/>
        <v>0.24062121237463699</v>
      </c>
    </row>
    <row r="390" spans="1:3" x14ac:dyDescent="0.15">
      <c r="A390">
        <v>3.86</v>
      </c>
      <c r="B390">
        <f t="shared" ref="B390:B453" si="12">(1+($A$2-$B$2*C389)*$E$2)*B389</f>
        <v>123.60391798145555</v>
      </c>
      <c r="C390">
        <f t="shared" ref="C390:C453" si="13">(1+($C$2*B389-$D$2)*$E$2)*C389</f>
        <v>0.24410585409661822</v>
      </c>
    </row>
    <row r="391" spans="1:3" x14ac:dyDescent="0.15">
      <c r="A391">
        <v>3.8699999999999997</v>
      </c>
      <c r="B391">
        <f t="shared" si="12"/>
        <v>124.80978472130154</v>
      </c>
      <c r="C391">
        <f t="shared" si="13"/>
        <v>0.24769928354936233</v>
      </c>
    </row>
    <row r="392" spans="1:3" x14ac:dyDescent="0.15">
      <c r="A392">
        <v>3.88</v>
      </c>
      <c r="B392">
        <f t="shared" si="12"/>
        <v>126.02696727425914</v>
      </c>
      <c r="C392">
        <f t="shared" si="13"/>
        <v>0.25140534956495203</v>
      </c>
    </row>
    <row r="393" spans="1:3" x14ac:dyDescent="0.15">
      <c r="A393">
        <v>3.8899999999999997</v>
      </c>
      <c r="B393">
        <f t="shared" si="12"/>
        <v>127.25555309323953</v>
      </c>
      <c r="C393">
        <f t="shared" si="13"/>
        <v>0.25522806682174165</v>
      </c>
    </row>
    <row r="394" spans="1:3" x14ac:dyDescent="0.15">
      <c r="A394">
        <v>3.9</v>
      </c>
      <c r="B394">
        <f t="shared" si="12"/>
        <v>128.49562943536361</v>
      </c>
      <c r="C394">
        <f t="shared" si="13"/>
        <v>0.25917162391518805</v>
      </c>
    </row>
    <row r="395" spans="1:3" x14ac:dyDescent="0.15">
      <c r="A395">
        <v>3.9099999999999997</v>
      </c>
      <c r="B395">
        <f t="shared" si="12"/>
        <v>129.74728330877051</v>
      </c>
      <c r="C395">
        <f t="shared" si="13"/>
        <v>0.26324039186538967</v>
      </c>
    </row>
    <row r="396" spans="1:3" x14ac:dyDescent="0.15">
      <c r="A396">
        <v>3.92</v>
      </c>
      <c r="B396">
        <f t="shared" si="12"/>
        <v>131.01060141615653</v>
      </c>
      <c r="C396">
        <f t="shared" si="13"/>
        <v>0.2674389330870699</v>
      </c>
    </row>
    <row r="397" spans="1:3" x14ac:dyDescent="0.15">
      <c r="A397">
        <v>3.9299999999999997</v>
      </c>
      <c r="B397">
        <f t="shared" si="12"/>
        <v>132.28567009485226</v>
      </c>
      <c r="C397">
        <f t="shared" si="13"/>
        <v>0.27177201084936564</v>
      </c>
    </row>
    <row r="398" spans="1:3" x14ac:dyDescent="0.15">
      <c r="A398">
        <v>3.94</v>
      </c>
      <c r="B398">
        <f t="shared" si="12"/>
        <v>133.57257525323254</v>
      </c>
      <c r="C398">
        <f t="shared" si="13"/>
        <v>0.27624459925451877</v>
      </c>
    </row>
    <row r="399" spans="1:3" x14ac:dyDescent="0.15">
      <c r="A399">
        <v>3.9499999999999997</v>
      </c>
      <c r="B399">
        <f t="shared" si="12"/>
        <v>134.87140230324263</v>
      </c>
      <c r="C399">
        <f t="shared" si="13"/>
        <v>0.28086189376641824</v>
      </c>
    </row>
    <row r="400" spans="1:3" x14ac:dyDescent="0.15">
      <c r="A400">
        <v>3.96</v>
      </c>
      <c r="B400">
        <f t="shared" si="12"/>
        <v>136.18223608880925</v>
      </c>
      <c r="C400">
        <f t="shared" si="13"/>
        <v>0.28562932232191829</v>
      </c>
    </row>
    <row r="401" spans="1:3" x14ac:dyDescent="0.15">
      <c r="A401">
        <v>3.9699999999999998</v>
      </c>
      <c r="B401">
        <f t="shared" si="12"/>
        <v>137.50516080989101</v>
      </c>
      <c r="C401">
        <f t="shared" si="13"/>
        <v>0.29055255705996513</v>
      </c>
    </row>
    <row r="402" spans="1:3" x14ac:dyDescent="0.15">
      <c r="A402">
        <v>3.98</v>
      </c>
      <c r="B402">
        <f t="shared" si="12"/>
        <v>138.84025994190765</v>
      </c>
      <c r="C402">
        <f t="shared" si="13"/>
        <v>0.29563752670581656</v>
      </c>
    </row>
    <row r="403" spans="1:3" x14ac:dyDescent="0.15">
      <c r="A403">
        <v>3.9899999999999998</v>
      </c>
      <c r="B403">
        <f t="shared" si="12"/>
        <v>140.18761615027032</v>
      </c>
      <c r="C403">
        <f t="shared" si="13"/>
        <v>0.30089042965004204</v>
      </c>
    </row>
    <row r="404" spans="1:3" x14ac:dyDescent="0.15">
      <c r="A404">
        <v>4</v>
      </c>
      <c r="B404">
        <f t="shared" si="12"/>
        <v>141.54731119971797</v>
      </c>
      <c r="C404">
        <f t="shared" si="13"/>
        <v>0.30631774776455561</v>
      </c>
    </row>
    <row r="405" spans="1:3" x14ac:dyDescent="0.15">
      <c r="A405">
        <v>4.01</v>
      </c>
      <c r="B405">
        <f t="shared" si="12"/>
        <v>142.91942585814633</v>
      </c>
      <c r="C405">
        <f t="shared" si="13"/>
        <v>0.31192626100067528</v>
      </c>
    </row>
    <row r="406" spans="1:3" x14ac:dyDescent="0.15">
      <c r="A406">
        <v>4.0199999999999996</v>
      </c>
      <c r="B406">
        <f t="shared" si="12"/>
        <v>144.3040397945955</v>
      </c>
      <c r="C406">
        <f t="shared" si="13"/>
        <v>0.31772306281712753</v>
      </c>
    </row>
    <row r="407" spans="1:3" x14ac:dyDescent="0.15">
      <c r="A407">
        <v>4.03</v>
      </c>
      <c r="B407">
        <f t="shared" si="12"/>
        <v>145.70123147104104</v>
      </c>
      <c r="C407">
        <f t="shared" si="13"/>
        <v>0.32371557648904098</v>
      </c>
    </row>
    <row r="408" spans="1:3" x14ac:dyDescent="0.15">
      <c r="A408">
        <v>4.04</v>
      </c>
      <c r="B408">
        <f t="shared" si="12"/>
        <v>147.11107802761063</v>
      </c>
      <c r="C408">
        <f t="shared" si="13"/>
        <v>0.32991157235231283</v>
      </c>
    </row>
    <row r="409" spans="1:3" x14ac:dyDescent="0.15">
      <c r="A409">
        <v>4.05</v>
      </c>
      <c r="B409">
        <f t="shared" si="12"/>
        <v>148.5336551608242</v>
      </c>
      <c r="C409">
        <f t="shared" si="13"/>
        <v>0.33631918604129629</v>
      </c>
    </row>
    <row r="410" spans="1:3" x14ac:dyDescent="0.15">
      <c r="A410">
        <v>4.0599999999999996</v>
      </c>
      <c r="B410">
        <f t="shared" si="12"/>
        <v>149.96903699442902</v>
      </c>
      <c r="C410">
        <f t="shared" si="13"/>
        <v>0.34294693778156871</v>
      </c>
    </row>
    <row r="411" spans="1:3" x14ac:dyDescent="0.15">
      <c r="A411">
        <v>4.07</v>
      </c>
      <c r="B411">
        <f t="shared" si="12"/>
        <v>151.41729594237401</v>
      </c>
      <c r="C411">
        <f t="shared" si="13"/>
        <v>0.34980375280361109</v>
      </c>
    </row>
    <row r="412" spans="1:3" x14ac:dyDescent="0.15">
      <c r="A412">
        <v>4.08</v>
      </c>
      <c r="B412">
        <f t="shared" si="12"/>
        <v>152.87850256343773</v>
      </c>
      <c r="C412">
        <f t="shared" si="13"/>
        <v>0.35689898294757849</v>
      </c>
    </row>
    <row r="413" spans="1:3" x14ac:dyDescent="0.15">
      <c r="A413">
        <v>4.09</v>
      </c>
      <c r="B413">
        <f t="shared" si="12"/>
        <v>154.35272540699265</v>
      </c>
      <c r="C413">
        <f t="shared" si="13"/>
        <v>0.36424242953399066</v>
      </c>
    </row>
    <row r="414" spans="1:3" x14ac:dyDescent="0.15">
      <c r="A414">
        <v>4.0999999999999996</v>
      </c>
      <c r="B414">
        <f t="shared" si="12"/>
        <v>155.84003084935514</v>
      </c>
      <c r="C414">
        <f t="shared" si="13"/>
        <v>0.371844367580138</v>
      </c>
    </row>
    <row r="415" spans="1:3" x14ac:dyDescent="0.15">
      <c r="A415">
        <v>4.1099999999999994</v>
      </c>
      <c r="B415">
        <f t="shared" si="12"/>
        <v>157.34048292013384</v>
      </c>
      <c r="C415">
        <f t="shared" si="13"/>
        <v>0.37971557144730617</v>
      </c>
    </row>
    <row r="416" spans="1:3" x14ac:dyDescent="0.15">
      <c r="A416">
        <v>4.12</v>
      </c>
      <c r="B416">
        <f t="shared" si="12"/>
        <v>158.85414311795137</v>
      </c>
      <c r="C416">
        <f t="shared" si="13"/>
        <v>0.38786734200959588</v>
      </c>
    </row>
    <row r="417" spans="1:3" x14ac:dyDescent="0.15">
      <c r="A417">
        <v>4.13</v>
      </c>
      <c r="B417">
        <f t="shared" si="12"/>
        <v>160.38107021487249</v>
      </c>
      <c r="C417">
        <f t="shared" si="13"/>
        <v>0.39631153544117426</v>
      </c>
    </row>
    <row r="418" spans="1:3" x14ac:dyDescent="0.15">
      <c r="A418">
        <v>4.1399999999999997</v>
      </c>
      <c r="B418">
        <f t="shared" si="12"/>
        <v>161.92132004882865</v>
      </c>
      <c r="C418">
        <f t="shared" si="13"/>
        <v>0.40506059372527348</v>
      </c>
    </row>
    <row r="419" spans="1:3" x14ac:dyDescent="0.15">
      <c r="A419">
        <v>4.1499999999999995</v>
      </c>
      <c r="B419">
        <f t="shared" si="12"/>
        <v>163.47494530328117</v>
      </c>
      <c r="C419">
        <f t="shared" si="13"/>
        <v>0.4141275769951725</v>
      </c>
    </row>
    <row r="420" spans="1:3" x14ac:dyDescent="0.15">
      <c r="A420">
        <v>4.16</v>
      </c>
      <c r="B420">
        <f t="shared" si="12"/>
        <v>165.04199527331613</v>
      </c>
      <c r="C420">
        <f t="shared" si="13"/>
        <v>0.423526197824794</v>
      </c>
    </row>
    <row r="421" spans="1:3" x14ac:dyDescent="0.15">
      <c r="A421">
        <v>4.17</v>
      </c>
      <c r="B421">
        <f t="shared" si="12"/>
        <v>166.62251561730977</v>
      </c>
      <c r="C421">
        <f t="shared" si="13"/>
        <v>0.43327085759445111</v>
      </c>
    </row>
    <row r="422" spans="1:3" x14ac:dyDescent="0.15">
      <c r="A422">
        <v>4.18</v>
      </c>
      <c r="B422">
        <f t="shared" si="12"/>
        <v>168.21654809324681</v>
      </c>
      <c r="C422">
        <f t="shared" si="13"/>
        <v>0.44337668506571792</v>
      </c>
    </row>
    <row r="423" spans="1:3" x14ac:dyDescent="0.15">
      <c r="A423">
        <v>4.1899999999999995</v>
      </c>
      <c r="B423">
        <f t="shared" si="12"/>
        <v>169.82413027871249</v>
      </c>
      <c r="C423">
        <f t="shared" si="13"/>
        <v>0.45385957730841714</v>
      </c>
    </row>
    <row r="424" spans="1:3" x14ac:dyDescent="0.15">
      <c r="A424">
        <v>4.2</v>
      </c>
      <c r="B424">
        <f t="shared" si="12"/>
        <v>171.44529527351455</v>
      </c>
      <c r="C424">
        <f t="shared" si="13"/>
        <v>0.46473624313234618</v>
      </c>
    </row>
    <row r="425" spans="1:3" x14ac:dyDescent="0.15">
      <c r="A425">
        <v>4.21</v>
      </c>
      <c r="B425">
        <f t="shared" si="12"/>
        <v>173.08007138382158</v>
      </c>
      <c r="C425">
        <f t="shared" si="13"/>
        <v>0.47602424918664848</v>
      </c>
    </row>
    <row r="426" spans="1:3" x14ac:dyDescent="0.15">
      <c r="A426">
        <v>4.22</v>
      </c>
      <c r="B426">
        <f t="shared" si="12"/>
        <v>174.72848178663014</v>
      </c>
      <c r="C426">
        <f t="shared" si="13"/>
        <v>0.48774206890071309</v>
      </c>
    </row>
    <row r="427" spans="1:3" x14ac:dyDescent="0.15">
      <c r="A427">
        <v>4.2299999999999995</v>
      </c>
      <c r="B427">
        <f t="shared" si="12"/>
        <v>176.39054417329396</v>
      </c>
      <c r="C427">
        <f t="shared" si="13"/>
        <v>0.49990913445220425</v>
      </c>
    </row>
    <row r="428" spans="1:3" x14ac:dyDescent="0.15">
      <c r="A428">
        <v>4.24</v>
      </c>
      <c r="B428">
        <f t="shared" si="12"/>
        <v>178.06627037076368</v>
      </c>
      <c r="C428">
        <f t="shared" si="13"/>
        <v>0.51254589196032707</v>
      </c>
    </row>
    <row r="429" spans="1:3" x14ac:dyDescent="0.15">
      <c r="A429">
        <v>4.25</v>
      </c>
      <c r="B429">
        <f t="shared" si="12"/>
        <v>179.75566593909608</v>
      </c>
      <c r="C429">
        <f t="shared" si="13"/>
        <v>0.52567386011577011</v>
      </c>
    </row>
    <row r="430" spans="1:3" x14ac:dyDescent="0.15">
      <c r="A430">
        <v>4.26</v>
      </c>
      <c r="B430">
        <f t="shared" si="12"/>
        <v>181.45872974369516</v>
      </c>
      <c r="C430">
        <f t="shared" si="13"/>
        <v>0.53931569247298949</v>
      </c>
    </row>
    <row r="431" spans="1:3" x14ac:dyDescent="0.15">
      <c r="A431">
        <v>4.2699999999999996</v>
      </c>
      <c r="B431">
        <f t="shared" si="12"/>
        <v>183.17545350064515</v>
      </c>
      <c r="C431">
        <f t="shared" si="13"/>
        <v>0.55349524364565761</v>
      </c>
    </row>
    <row r="432" spans="1:3" x14ac:dyDescent="0.15">
      <c r="A432">
        <v>4.28</v>
      </c>
      <c r="B432">
        <f t="shared" si="12"/>
        <v>184.90582129338637</v>
      </c>
      <c r="C432">
        <f t="shared" si="13"/>
        <v>0.56823763966224961</v>
      </c>
    </row>
    <row r="433" spans="1:3" x14ac:dyDescent="0.15">
      <c r="A433">
        <v>4.29</v>
      </c>
      <c r="B433">
        <f t="shared" si="12"/>
        <v>186.64980905886867</v>
      </c>
      <c r="C433">
        <f t="shared" si="13"/>
        <v>0.5835693527559398</v>
      </c>
    </row>
    <row r="434" spans="1:3" x14ac:dyDescent="0.15">
      <c r="A434">
        <v>4.3</v>
      </c>
      <c r="B434">
        <f t="shared" si="12"/>
        <v>188.40738404119284</v>
      </c>
      <c r="C434">
        <f t="shared" si="13"/>
        <v>0.59951828088128112</v>
      </c>
    </row>
    <row r="435" spans="1:3" x14ac:dyDescent="0.15">
      <c r="A435">
        <v>4.3099999999999996</v>
      </c>
      <c r="B435">
        <f t="shared" si="12"/>
        <v>190.17850421061905</v>
      </c>
      <c r="C435">
        <f t="shared" si="13"/>
        <v>0.61611383226961136</v>
      </c>
    </row>
    <row r="436" spans="1:3" x14ac:dyDescent="0.15">
      <c r="A436">
        <v>4.32</v>
      </c>
      <c r="B436">
        <f t="shared" si="12"/>
        <v>191.96311764568074</v>
      </c>
      <c r="C436">
        <f t="shared" si="13"/>
        <v>0.63338701535581665</v>
      </c>
    </row>
    <row r="437" spans="1:3" x14ac:dyDescent="0.15">
      <c r="A437">
        <v>4.33</v>
      </c>
      <c r="B437">
        <f t="shared" si="12"/>
        <v>193.76116187599354</v>
      </c>
      <c r="C437">
        <f t="shared" si="13"/>
        <v>0.65137053443105752</v>
      </c>
    </row>
    <row r="438" spans="1:3" x14ac:dyDescent="0.15">
      <c r="A438">
        <v>4.34</v>
      </c>
      <c r="B438">
        <f t="shared" si="12"/>
        <v>195.57256318319031</v>
      </c>
      <c r="C438">
        <f t="shared" si="13"/>
        <v>0.67009889139937673</v>
      </c>
    </row>
    <row r="439" spans="1:3" x14ac:dyDescent="0.15">
      <c r="A439">
        <v>4.3499999999999996</v>
      </c>
      <c r="B439">
        <f t="shared" si="12"/>
        <v>197.39723585724502</v>
      </c>
      <c r="C439">
        <f t="shared" si="13"/>
        <v>0.68960849404082103</v>
      </c>
    </row>
    <row r="440" spans="1:3" x14ac:dyDescent="0.15">
      <c r="A440">
        <v>4.3600000000000003</v>
      </c>
      <c r="B440">
        <f t="shared" si="12"/>
        <v>199.23508140527014</v>
      </c>
      <c r="C440">
        <f t="shared" si="13"/>
        <v>0.70993777120987989</v>
      </c>
    </row>
    <row r="441" spans="1:3" x14ac:dyDescent="0.15">
      <c r="A441">
        <v>4.37</v>
      </c>
      <c r="B441">
        <f t="shared" si="12"/>
        <v>201.08598770968317</v>
      </c>
      <c r="C441">
        <f t="shared" si="13"/>
        <v>0.73112729542571642</v>
      </c>
    </row>
    <row r="442" spans="1:3" x14ac:dyDescent="0.15">
      <c r="A442">
        <v>4.38</v>
      </c>
      <c r="B442">
        <f t="shared" si="12"/>
        <v>202.9498281324378</v>
      </c>
      <c r="C442">
        <f t="shared" si="13"/>
        <v>0.75321991333989713</v>
      </c>
    </row>
    <row r="443" spans="1:3" x14ac:dyDescent="0.15">
      <c r="A443">
        <v>4.3899999999999997</v>
      </c>
      <c r="B443">
        <f t="shared" si="12"/>
        <v>204.82646056180391</v>
      </c>
      <c r="C443">
        <f t="shared" si="13"/>
        <v>0.77626088459815057</v>
      </c>
    </row>
    <row r="444" spans="1:3" x14ac:dyDescent="0.15">
      <c r="A444">
        <v>4.3999999999999995</v>
      </c>
      <c r="B444">
        <f t="shared" si="12"/>
        <v>206.71572639795713</v>
      </c>
      <c r="C444">
        <f t="shared" si="13"/>
        <v>0.80029802964513197</v>
      </c>
    </row>
    <row r="445" spans="1:3" x14ac:dyDescent="0.15">
      <c r="A445">
        <v>4.41</v>
      </c>
      <c r="B445">
        <f t="shared" si="12"/>
        <v>208.61744947340375</v>
      </c>
      <c r="C445">
        <f t="shared" si="13"/>
        <v>0.82538188705527005</v>
      </c>
    </row>
    <row r="446" spans="1:3" x14ac:dyDescent="0.15">
      <c r="A446">
        <v>4.42</v>
      </c>
      <c r="B446">
        <f t="shared" si="12"/>
        <v>210.53143490401874</v>
      </c>
      <c r="C446">
        <f t="shared" si="13"/>
        <v>0.85156588100852049</v>
      </c>
    </row>
    <row r="447" spans="1:3" x14ac:dyDescent="0.15">
      <c r="A447">
        <v>4.43</v>
      </c>
      <c r="B447">
        <f t="shared" si="12"/>
        <v>212.45746786621493</v>
      </c>
      <c r="C447">
        <f t="shared" si="13"/>
        <v>0.87890649956724098</v>
      </c>
    </row>
    <row r="448" spans="1:3" x14ac:dyDescent="0.15">
      <c r="A448">
        <v>4.4399999999999995</v>
      </c>
      <c r="B448">
        <f t="shared" si="12"/>
        <v>214.39531229548786</v>
      </c>
      <c r="C448">
        <f t="shared" si="13"/>
        <v>0.90746348444941149</v>
      </c>
    </row>
    <row r="449" spans="1:3" x14ac:dyDescent="0.15">
      <c r="A449">
        <v>4.45</v>
      </c>
      <c r="B449">
        <f t="shared" si="12"/>
        <v>216.34470950129744</v>
      </c>
      <c r="C449">
        <f t="shared" si="13"/>
        <v>0.93730003303397402</v>
      </c>
    </row>
    <row r="450" spans="1:3" x14ac:dyDescent="0.15">
      <c r="A450">
        <v>4.46</v>
      </c>
      <c r="B450">
        <f t="shared" si="12"/>
        <v>218.30537669294813</v>
      </c>
      <c r="C450">
        <f t="shared" si="13"/>
        <v>0.96848301337609255</v>
      </c>
    </row>
    <row r="451" spans="1:3" x14ac:dyDescent="0.15">
      <c r="A451">
        <v>4.47</v>
      </c>
      <c r="B451">
        <f t="shared" si="12"/>
        <v>220.27700541082183</v>
      </c>
      <c r="C451">
        <f t="shared" si="13"/>
        <v>1.0010831930534894</v>
      </c>
    </row>
    <row r="452" spans="1:3" x14ac:dyDescent="0.15">
      <c r="A452">
        <v>4.4799999999999995</v>
      </c>
      <c r="B452">
        <f t="shared" si="12"/>
        <v>222.25925985699709</v>
      </c>
      <c r="C452">
        <f t="shared" si="13"/>
        <v>1.0351754827095396</v>
      </c>
    </row>
    <row r="453" spans="1:3" x14ac:dyDescent="0.15">
      <c r="A453">
        <v>4.49</v>
      </c>
      <c r="B453">
        <f t="shared" si="12"/>
        <v>224.25177511895791</v>
      </c>
      <c r="C453">
        <f t="shared" si="13"/>
        <v>1.0708391952042706</v>
      </c>
    </row>
    <row r="454" spans="1:3" x14ac:dyDescent="0.15">
      <c r="A454">
        <v>4.5</v>
      </c>
      <c r="B454">
        <f t="shared" ref="B454:B517" si="14">(1+($A$2-$B$2*C453)*$E$2)*B453</f>
        <v>226.25415527975596</v>
      </c>
      <c r="C454">
        <f t="shared" ref="C454:C517" si="15">(1+($C$2*B453-$D$2)*$E$2)*C453</f>
        <v>1.1081583213305306</v>
      </c>
    </row>
    <row r="455" spans="1:3" x14ac:dyDescent="0.15">
      <c r="A455">
        <v>4.51</v>
      </c>
      <c r="B455">
        <f t="shared" si="14"/>
        <v>228.26597140764463</v>
      </c>
      <c r="C455">
        <f t="shared" si="15"/>
        <v>1.1472218230989997</v>
      </c>
    </row>
    <row r="456" spans="1:3" x14ac:dyDescent="0.15">
      <c r="A456">
        <v>4.5199999999999996</v>
      </c>
      <c r="B456">
        <f t="shared" si="14"/>
        <v>230.28675941785133</v>
      </c>
      <c r="C456">
        <f t="shared" si="15"/>
        <v>1.1881239456419583</v>
      </c>
    </row>
    <row r="457" spans="1:3" x14ac:dyDescent="0.15">
      <c r="A457">
        <v>4.53</v>
      </c>
      <c r="B457">
        <f t="shared" si="14"/>
        <v>232.3160177988012</v>
      </c>
      <c r="C457">
        <f t="shared" si="15"/>
        <v>1.2309645488312664</v>
      </c>
    </row>
    <row r="458" spans="1:3" x14ac:dyDescent="0.15">
      <c r="A458">
        <v>4.54</v>
      </c>
      <c r="B458">
        <f t="shared" si="14"/>
        <v>234.35320519475323</v>
      </c>
      <c r="C458">
        <f t="shared" si="15"/>
        <v>1.2758494597501493</v>
      </c>
    </row>
    <row r="459" spans="1:3" x14ac:dyDescent="0.15">
      <c r="A459">
        <v>4.55</v>
      </c>
      <c r="B459">
        <f t="shared" si="14"/>
        <v>236.39773783646231</v>
      </c>
      <c r="C459">
        <f t="shared" si="15"/>
        <v>1.322890847200336</v>
      </c>
    </row>
    <row r="460" spans="1:3" x14ac:dyDescent="0.15">
      <c r="A460">
        <v>4.5599999999999996</v>
      </c>
      <c r="B460">
        <f t="shared" si="14"/>
        <v>238.44898681114424</v>
      </c>
      <c r="C460">
        <f t="shared" si="15"/>
        <v>1.3722076194648767</v>
      </c>
    </row>
    <row r="461" spans="1:3" x14ac:dyDescent="0.15">
      <c r="A461">
        <v>4.57</v>
      </c>
      <c r="B461">
        <f t="shared" si="14"/>
        <v>240.50627516269975</v>
      </c>
      <c r="C461">
        <f t="shared" si="15"/>
        <v>1.4239258465814142</v>
      </c>
    </row>
    <row r="462" spans="1:3" x14ac:dyDescent="0.15">
      <c r="A462">
        <v>4.58</v>
      </c>
      <c r="B462">
        <f t="shared" si="14"/>
        <v>242.56887481285759</v>
      </c>
      <c r="C462">
        <f t="shared" si="15"/>
        <v>1.4781792084094381</v>
      </c>
    </row>
    <row r="463" spans="1:3" x14ac:dyDescent="0.15">
      <c r="A463">
        <v>4.59</v>
      </c>
      <c r="B463">
        <f t="shared" si="14"/>
        <v>244.63600329363049</v>
      </c>
      <c r="C463">
        <f t="shared" si="15"/>
        <v>1.5351094697964711</v>
      </c>
    </row>
    <row r="464" spans="1:3" x14ac:dyDescent="0.15">
      <c r="A464">
        <v>4.5999999999999996</v>
      </c>
      <c r="B464">
        <f t="shared" si="14"/>
        <v>246.70682028125759</v>
      </c>
      <c r="C464">
        <f t="shared" si="15"/>
        <v>1.5948669841603489</v>
      </c>
    </row>
    <row r="465" spans="1:3" x14ac:dyDescent="0.15">
      <c r="A465">
        <v>4.6100000000000003</v>
      </c>
      <c r="B465">
        <f t="shared" si="14"/>
        <v>248.78042392163641</v>
      </c>
      <c r="C465">
        <f t="shared" si="15"/>
        <v>1.657611226805497</v>
      </c>
    </row>
    <row r="466" spans="1:3" x14ac:dyDescent="0.15">
      <c r="A466">
        <v>4.62</v>
      </c>
      <c r="B466">
        <f t="shared" si="14"/>
        <v>250.85584693715086</v>
      </c>
      <c r="C466">
        <f t="shared" si="15"/>
        <v>1.7235113592778291</v>
      </c>
    </row>
    <row r="467" spans="1:3" x14ac:dyDescent="0.15">
      <c r="A467">
        <v>4.63</v>
      </c>
      <c r="B467">
        <f t="shared" si="14"/>
        <v>252.93205250478496</v>
      </c>
      <c r="C467">
        <f t="shared" si="15"/>
        <v>1.792746826032539</v>
      </c>
    </row>
    <row r="468" spans="1:3" x14ac:dyDescent="0.15">
      <c r="A468">
        <v>4.6399999999999997</v>
      </c>
      <c r="B468">
        <f t="shared" si="14"/>
        <v>255.00792989550294</v>
      </c>
      <c r="C468">
        <f t="shared" si="15"/>
        <v>1.8655079846381835</v>
      </c>
    </row>
    <row r="469" spans="1:3" x14ac:dyDescent="0.15">
      <c r="A469">
        <v>4.6499999999999995</v>
      </c>
      <c r="B469">
        <f t="shared" si="14"/>
        <v>257.08228986509187</v>
      </c>
      <c r="C469">
        <f t="shared" si="15"/>
        <v>1.9419967706650247</v>
      </c>
    </row>
    <row r="470" spans="1:3" x14ac:dyDescent="0.15">
      <c r="A470">
        <v>4.66</v>
      </c>
      <c r="B470">
        <f t="shared" si="14"/>
        <v>259.1538597870296</v>
      </c>
      <c r="C470">
        <f t="shared" si="15"/>
        <v>2.0224273983010099</v>
      </c>
    </row>
    <row r="471" spans="1:3" x14ac:dyDescent="0.15">
      <c r="A471">
        <v>4.67</v>
      </c>
      <c r="B471">
        <f t="shared" si="14"/>
        <v>261.22127851849115</v>
      </c>
      <c r="C471">
        <f t="shared" si="15"/>
        <v>2.1070270975997496</v>
      </c>
    </row>
    <row r="472" spans="1:3" x14ac:dyDescent="0.15">
      <c r="A472">
        <v>4.68</v>
      </c>
      <c r="B472">
        <f t="shared" si="14"/>
        <v>263.28309099136794</v>
      </c>
      <c r="C472">
        <f t="shared" si="15"/>
        <v>2.1960368890853745</v>
      </c>
    </row>
    <row r="473" spans="1:3" x14ac:dyDescent="0.15">
      <c r="A473">
        <v>4.6899999999999995</v>
      </c>
      <c r="B473">
        <f t="shared" si="14"/>
        <v>265.33774252119213</v>
      </c>
      <c r="C473">
        <f t="shared" si="15"/>
        <v>2.2897123962124137</v>
      </c>
    </row>
    <row r="474" spans="1:3" x14ac:dyDescent="0.15">
      <c r="A474">
        <v>4.7</v>
      </c>
      <c r="B474">
        <f t="shared" si="14"/>
        <v>267.38357282817026</v>
      </c>
      <c r="C474">
        <f t="shared" si="15"/>
        <v>2.3883246958970479</v>
      </c>
    </row>
    <row r="475" spans="1:3" x14ac:dyDescent="0.15">
      <c r="A475">
        <v>4.71</v>
      </c>
      <c r="B475">
        <f t="shared" si="14"/>
        <v>269.41880976618921</v>
      </c>
      <c r="C475">
        <f t="shared" si="15"/>
        <v>2.4921612069906187</v>
      </c>
    </row>
    <row r="476" spans="1:3" x14ac:dyDescent="0.15">
      <c r="A476">
        <v>4.72</v>
      </c>
      <c r="B476">
        <f t="shared" si="14"/>
        <v>271.44156275771826</v>
      </c>
      <c r="C476">
        <f t="shared" si="15"/>
        <v>2.6015266161472894</v>
      </c>
    </row>
    <row r="477" spans="1:3" x14ac:dyDescent="0.15">
      <c r="A477">
        <v>4.7299999999999995</v>
      </c>
      <c r="B477">
        <f t="shared" si="14"/>
        <v>273.44981593505264</v>
      </c>
      <c r="C477">
        <f t="shared" si="15"/>
        <v>2.7167438400343804</v>
      </c>
    </row>
    <row r="478" spans="1:3" x14ac:dyDescent="0.15">
      <c r="A478">
        <v>4.74</v>
      </c>
      <c r="B478">
        <f t="shared" si="14"/>
        <v>275.44142099140305</v>
      </c>
      <c r="C478">
        <f t="shared" si="15"/>
        <v>2.8381550222340546</v>
      </c>
    </row>
    <row r="479" spans="1:3" x14ac:dyDescent="0.15">
      <c r="A479">
        <v>4.75</v>
      </c>
      <c r="B479">
        <f t="shared" si="14"/>
        <v>277.41408974899906</v>
      </c>
      <c r="C479">
        <f t="shared" si="15"/>
        <v>2.9661225624753214</v>
      </c>
    </row>
    <row r="480" spans="1:3" x14ac:dyDescent="0.15">
      <c r="A480">
        <v>4.76</v>
      </c>
      <c r="B480">
        <f t="shared" si="14"/>
        <v>279.36538645573597</v>
      </c>
      <c r="C480">
        <f t="shared" si="15"/>
        <v>3.1010301750011804</v>
      </c>
    </row>
    <row r="481" spans="1:3" x14ac:dyDescent="0.15">
      <c r="A481">
        <v>4.7699999999999996</v>
      </c>
      <c r="B481">
        <f t="shared" si="14"/>
        <v>281.29271982704324</v>
      </c>
      <c r="C481">
        <f t="shared" si="15"/>
        <v>3.2432839719011888</v>
      </c>
    </row>
    <row r="482" spans="1:3" x14ac:dyDescent="0.15">
      <c r="A482">
        <v>4.78</v>
      </c>
      <c r="B482">
        <f t="shared" si="14"/>
        <v>283.19333485568615</v>
      </c>
      <c r="C482">
        <f t="shared" si="15"/>
        <v>3.3933135661076852</v>
      </c>
    </row>
    <row r="483" spans="1:3" x14ac:dyDescent="0.15">
      <c r="A483">
        <v>4.79</v>
      </c>
      <c r="B483">
        <f t="shared" si="14"/>
        <v>285.0643044192459</v>
      </c>
      <c r="C483">
        <f t="shared" si="15"/>
        <v>3.5515731874460235</v>
      </c>
    </row>
    <row r="484" spans="1:3" x14ac:dyDescent="0.15">
      <c r="A484">
        <v>4.8</v>
      </c>
      <c r="B484">
        <f t="shared" si="14"/>
        <v>286.90252072316503</v>
      </c>
      <c r="C484">
        <f t="shared" si="15"/>
        <v>3.718542803626232</v>
      </c>
    </row>
    <row r="485" spans="1:3" x14ac:dyDescent="0.15">
      <c r="A485">
        <v>4.8099999999999996</v>
      </c>
      <c r="B485">
        <f t="shared" si="14"/>
        <v>288.70468662661932</v>
      </c>
      <c r="C485">
        <f t="shared" si="15"/>
        <v>3.8947292363454395</v>
      </c>
    </row>
    <row r="486" spans="1:3" x14ac:dyDescent="0.15">
      <c r="A486">
        <v>4.82</v>
      </c>
      <c r="B486">
        <f t="shared" si="14"/>
        <v>290.46730690921089</v>
      </c>
      <c r="C486">
        <f t="shared" si="15"/>
        <v>4.0806672607169139</v>
      </c>
    </row>
    <row r="487" spans="1:3" x14ac:dyDescent="0.15">
      <c r="A487">
        <v>4.83</v>
      </c>
      <c r="B487">
        <f t="shared" si="14"/>
        <v>292.18667954868994</v>
      </c>
      <c r="C487">
        <f t="shared" si="15"/>
        <v>4.2769206740323504</v>
      </c>
    </row>
    <row r="488" spans="1:3" x14ac:dyDescent="0.15">
      <c r="A488">
        <v>4.84</v>
      </c>
      <c r="B488">
        <f t="shared" si="14"/>
        <v>293.85888709373819</v>
      </c>
      <c r="C488">
        <f t="shared" si="15"/>
        <v>4.484083317379759</v>
      </c>
    </row>
    <row r="489" spans="1:3" x14ac:dyDescent="0.15">
      <c r="A489">
        <v>4.8499999999999996</v>
      </c>
      <c r="B489">
        <f t="shared" si="14"/>
        <v>295.47978823139476</v>
      </c>
      <c r="C489">
        <f t="shared" si="15"/>
        <v>4.7027800308621241</v>
      </c>
    </row>
    <row r="490" spans="1:3" x14ac:dyDescent="0.15">
      <c r="A490">
        <v>4.8600000000000003</v>
      </c>
      <c r="B490">
        <f t="shared" si="14"/>
        <v>297.04500966609072</v>
      </c>
      <c r="C490">
        <f t="shared" si="15"/>
        <v>4.9336675200770976</v>
      </c>
    </row>
    <row r="491" spans="1:3" x14ac:dyDescent="0.15">
      <c r="A491">
        <v>4.87</v>
      </c>
      <c r="B491">
        <f t="shared" si="14"/>
        <v>298.54993844656104</v>
      </c>
      <c r="C491">
        <f t="shared" si="15"/>
        <v>5.1774351081144419</v>
      </c>
    </row>
    <row r="492" spans="1:3" x14ac:dyDescent="0.15">
      <c r="A492">
        <v>4.88</v>
      </c>
      <c r="B492">
        <f t="shared" si="14"/>
        <v>299.98971489818803</v>
      </c>
      <c r="C492">
        <f t="shared" si="15"/>
        <v>5.4348053436010231</v>
      </c>
    </row>
    <row r="493" spans="1:3" x14ac:dyDescent="0.15">
      <c r="A493">
        <v>4.8899999999999997</v>
      </c>
      <c r="B493">
        <f t="shared" si="14"/>
        <v>301.35922634161585</v>
      </c>
      <c r="C493">
        <f t="shared" si="15"/>
        <v>5.7065344312758164</v>
      </c>
    </row>
    <row r="494" spans="1:3" x14ac:dyDescent="0.15">
      <c r="A494">
        <v>4.8999999999999995</v>
      </c>
      <c r="B494">
        <f t="shared" si="14"/>
        <v>302.65310180373092</v>
      </c>
      <c r="C494">
        <f t="shared" si="15"/>
        <v>5.9934124472232737</v>
      </c>
    </row>
    <row r="495" spans="1:3" x14ac:dyDescent="0.15">
      <c r="A495">
        <v>4.91</v>
      </c>
      <c r="B495">
        <f t="shared" si="14"/>
        <v>303.86570795422705</v>
      </c>
      <c r="C495">
        <f t="shared" si="15"/>
        <v>6.2962632962592844</v>
      </c>
    </row>
    <row r="496" spans="1:3" x14ac:dyDescent="0.15">
      <c r="A496">
        <v>4.92</v>
      </c>
      <c r="B496">
        <f t="shared" si="14"/>
        <v>304.99114652978528</v>
      </c>
      <c r="C496">
        <f t="shared" si="15"/>
        <v>6.6159443640935001</v>
      </c>
    </row>
    <row r="497" spans="1:3" x14ac:dyDescent="0.15">
      <c r="A497">
        <v>4.93</v>
      </c>
      <c r="B497">
        <f t="shared" si="14"/>
        <v>306.02325353810102</v>
      </c>
      <c r="C497">
        <f t="shared" si="15"/>
        <v>6.9533458118489939</v>
      </c>
    </row>
    <row r="498" spans="1:3" x14ac:dyDescent="0.15">
      <c r="A498">
        <v>4.9399999999999995</v>
      </c>
      <c r="B498">
        <f t="shared" si="14"/>
        <v>306.9556005651645</v>
      </c>
      <c r="C498">
        <f t="shared" si="15"/>
        <v>7.3093894553940162</v>
      </c>
    </row>
    <row r="499" spans="1:3" x14ac:dyDescent="0.15">
      <c r="A499">
        <v>4.95</v>
      </c>
      <c r="B499">
        <f t="shared" si="14"/>
        <v>307.781498540771</v>
      </c>
      <c r="C499">
        <f t="shared" si="15"/>
        <v>7.6850271668491059</v>
      </c>
    </row>
    <row r="500" spans="1:3" x14ac:dyDescent="0.15">
      <c r="A500">
        <v>4.96</v>
      </c>
      <c r="B500">
        <f t="shared" si="14"/>
        <v>308.49400434843932</v>
      </c>
      <c r="C500">
        <f t="shared" si="15"/>
        <v>8.0812387307284865</v>
      </c>
    </row>
    <row r="501" spans="1:3" x14ac:dyDescent="0.15">
      <c r="A501">
        <v>4.97</v>
      </c>
      <c r="B501">
        <f t="shared" si="14"/>
        <v>309.08593069578558</v>
      </c>
      <c r="C501">
        <f t="shared" si="15"/>
        <v>8.4990290826488284</v>
      </c>
    </row>
    <row r="502" spans="1:3" x14ac:dyDescent="0.15">
      <c r="A502">
        <v>4.9799999999999995</v>
      </c>
      <c r="B502">
        <f t="shared" si="14"/>
        <v>309.54985968872239</v>
      </c>
      <c r="C502">
        <f t="shared" si="15"/>
        <v>8.9394248546265533</v>
      </c>
    </row>
    <row r="503" spans="1:3" x14ac:dyDescent="0.15">
      <c r="A503">
        <v>4.99</v>
      </c>
      <c r="B503">
        <f t="shared" si="14"/>
        <v>309.87816057616209</v>
      </c>
      <c r="C503">
        <f t="shared" si="15"/>
        <v>9.4034701479697933</v>
      </c>
    </row>
    <row r="504" spans="1:3" x14ac:dyDescent="0.15">
      <c r="A504">
        <v>5</v>
      </c>
      <c r="B504">
        <f t="shared" si="14"/>
        <v>310.06301214943801</v>
      </c>
      <c r="C504">
        <f t="shared" si="15"/>
        <v>9.8922214529872416</v>
      </c>
    </row>
    <row r="505" spans="1:3" x14ac:dyDescent="0.15">
      <c r="A505">
        <v>5.01</v>
      </c>
      <c r="B505">
        <f t="shared" si="14"/>
        <v>310.09643029036988</v>
      </c>
      <c r="C505">
        <f t="shared" si="15"/>
        <v>10.406741634569872</v>
      </c>
    </row>
    <row r="506" spans="1:3" x14ac:dyDescent="0.15">
      <c r="A506">
        <v>5.0199999999999996</v>
      </c>
      <c r="B506">
        <f t="shared" si="14"/>
        <v>309.97030116143929</v>
      </c>
      <c r="C506">
        <f t="shared" si="15"/>
        <v>10.94809290459103</v>
      </c>
    </row>
    <row r="507" spans="1:3" x14ac:dyDescent="0.15">
      <c r="A507">
        <v>5.03</v>
      </c>
      <c r="B507">
        <f t="shared" si="14"/>
        <v>309.6764205182742</v>
      </c>
      <c r="C507">
        <f t="shared" si="15"/>
        <v>11.51732870650102</v>
      </c>
    </row>
    <row r="508" spans="1:3" x14ac:dyDescent="0.15">
      <c r="A508">
        <v>5.04</v>
      </c>
      <c r="B508">
        <f t="shared" si="14"/>
        <v>309.20653959569535</v>
      </c>
      <c r="C508">
        <f t="shared" si="15"/>
        <v>12.115484444988331</v>
      </c>
    </row>
    <row r="509" spans="1:3" x14ac:dyDescent="0.15">
      <c r="A509">
        <v>5.05</v>
      </c>
      <c r="B509">
        <f t="shared" si="14"/>
        <v>308.55241797089201</v>
      </c>
      <c r="C509">
        <f t="shared" si="15"/>
        <v>12.743567004690512</v>
      </c>
    </row>
    <row r="510" spans="1:3" x14ac:dyDescent="0.15">
      <c r="A510">
        <v>5.0599999999999996</v>
      </c>
      <c r="B510">
        <f t="shared" si="14"/>
        <v>307.70588373772961</v>
      </c>
      <c r="C510">
        <f t="shared" si="15"/>
        <v>13.402543017217873</v>
      </c>
    </row>
    <row r="511" spans="1:3" x14ac:dyDescent="0.15">
      <c r="A511">
        <v>5.07</v>
      </c>
      <c r="B511">
        <f t="shared" si="14"/>
        <v>306.65890123166093</v>
      </c>
      <c r="C511">
        <f t="shared" si="15"/>
        <v>14.093325855734887</v>
      </c>
    </row>
    <row r="512" spans="1:3" x14ac:dyDescent="0.15">
      <c r="A512">
        <v>5.08</v>
      </c>
      <c r="B512">
        <f t="shared" si="14"/>
        <v>305.40364642235812</v>
      </c>
      <c r="C512">
        <f t="shared" si="15"/>
        <v>14.816761361501422</v>
      </c>
    </row>
    <row r="513" spans="1:3" x14ac:dyDescent="0.15">
      <c r="A513">
        <v>5.09</v>
      </c>
      <c r="B513">
        <f t="shared" si="14"/>
        <v>303.93258993860928</v>
      </c>
      <c r="C513">
        <f t="shared" si="15"/>
        <v>15.573612337480897</v>
      </c>
    </row>
    <row r="514" spans="1:3" x14ac:dyDescent="0.15">
      <c r="A514">
        <v>5.0999999999999996</v>
      </c>
      <c r="B514">
        <f t="shared" si="14"/>
        <v>302.23858750556491</v>
      </c>
      <c r="C514">
        <f t="shared" si="15"/>
        <v>16.364541880592178</v>
      </c>
    </row>
    <row r="515" spans="1:3" x14ac:dyDescent="0.15">
      <c r="A515">
        <v>5.1100000000000003</v>
      </c>
      <c r="B515">
        <f t="shared" si="14"/>
        <v>300.31497735745472</v>
      </c>
      <c r="C515">
        <f t="shared" si="15"/>
        <v>17.190095666419424</v>
      </c>
    </row>
    <row r="516" spans="1:3" x14ac:dyDescent="0.15">
      <c r="A516">
        <v>5.12</v>
      </c>
      <c r="B516">
        <f t="shared" si="14"/>
        <v>298.15568394019607</v>
      </c>
      <c r="C516">
        <f t="shared" si="15"/>
        <v>18.050683347921876</v>
      </c>
    </row>
    <row r="517" spans="1:3" x14ac:dyDescent="0.15">
      <c r="A517">
        <v>5.13</v>
      </c>
      <c r="B517">
        <f t="shared" si="14"/>
        <v>295.75532694041044</v>
      </c>
      <c r="C517">
        <f t="shared" si="15"/>
        <v>18.94655928228017</v>
      </c>
    </row>
    <row r="518" spans="1:3" x14ac:dyDescent="0.15">
      <c r="A518">
        <v>5.14</v>
      </c>
      <c r="B518">
        <f t="shared" ref="B518:B581" si="16">(1+($A$2-$B$2*C517)*$E$2)*B517</f>
        <v>293.10933437488791</v>
      </c>
      <c r="C518">
        <f t="shared" ref="C518:C581" si="17">(1+($C$2*B517-$D$2)*$E$2)*C517</f>
        <v>19.877802856442695</v>
      </c>
    </row>
    <row r="519" spans="1:3" x14ac:dyDescent="0.15">
      <c r="A519">
        <v>5.1499999999999995</v>
      </c>
      <c r="B519">
        <f t="shared" si="16"/>
        <v>290.2140581545496</v>
      </c>
      <c r="C519">
        <f t="shared" si="17"/>
        <v>20.844298740695702</v>
      </c>
    </row>
    <row r="520" spans="1:3" x14ac:dyDescent="0.15">
      <c r="A520">
        <v>5.16</v>
      </c>
      <c r="B520">
        <f t="shared" si="16"/>
        <v>287.06689020917202</v>
      </c>
      <c r="C520">
        <f t="shared" si="17"/>
        <v>21.845717458673359</v>
      </c>
    </row>
    <row r="521" spans="1:3" x14ac:dyDescent="0.15">
      <c r="A521">
        <v>5.17</v>
      </c>
      <c r="B521">
        <f t="shared" si="16"/>
        <v>283.66637693601416</v>
      </c>
      <c r="C521">
        <f t="shared" si="17"/>
        <v>22.881496719136543</v>
      </c>
    </row>
    <row r="522" spans="1:3" x14ac:dyDescent="0.15">
      <c r="A522">
        <v>5.18</v>
      </c>
      <c r="B522">
        <f t="shared" si="16"/>
        <v>280.01232943218355</v>
      </c>
      <c r="C522">
        <f t="shared" si="17"/>
        <v>23.950824006583325</v>
      </c>
    </row>
    <row r="523" spans="1:3" x14ac:dyDescent="0.15">
      <c r="A523">
        <v>5.1899999999999995</v>
      </c>
      <c r="B523">
        <f t="shared" si="16"/>
        <v>276.1059267046017</v>
      </c>
      <c r="C523">
        <f t="shared" si="17"/>
        <v>25.052620970898221</v>
      </c>
    </row>
    <row r="524" spans="1:3" x14ac:dyDescent="0.15">
      <c r="A524">
        <v>5.2</v>
      </c>
      <c r="B524">
        <f t="shared" si="16"/>
        <v>271.94980884209872</v>
      </c>
      <c r="C524">
        <f t="shared" si="17"/>
        <v>26.185530187099037</v>
      </c>
    </row>
    <row r="525" spans="1:3" x14ac:dyDescent="0.15">
      <c r="A525">
        <v>5.21</v>
      </c>
      <c r="B525">
        <f t="shared" si="16"/>
        <v>267.54815700170911</v>
      </c>
      <c r="C525">
        <f t="shared" si="17"/>
        <v>27.347904870990167</v>
      </c>
    </row>
    <row r="526" spans="1:3" x14ac:dyDescent="0.15">
      <c r="A526">
        <v>5.22</v>
      </c>
      <c r="B526">
        <f t="shared" si="16"/>
        <v>262.9067570256347</v>
      </c>
      <c r="C526">
        <f t="shared" si="17"/>
        <v>28.537802131498562</v>
      </c>
    </row>
    <row r="527" spans="1:3" x14ac:dyDescent="0.15">
      <c r="A527">
        <v>5.2299999999999995</v>
      </c>
      <c r="B527">
        <f t="shared" si="16"/>
        <v>258.03304358485951</v>
      </c>
      <c r="C527">
        <f t="shared" si="17"/>
        <v>29.752980312389884</v>
      </c>
    </row>
    <row r="528" spans="1:3" x14ac:dyDescent="0.15">
      <c r="A528">
        <v>5.24</v>
      </c>
      <c r="B528">
        <f t="shared" si="16"/>
        <v>252.93612195498173</v>
      </c>
      <c r="C528">
        <f t="shared" si="17"/>
        <v>30.99090092241126</v>
      </c>
    </row>
    <row r="529" spans="1:3" x14ac:dyDescent="0.15">
      <c r="A529">
        <v>5.25</v>
      </c>
      <c r="B529">
        <f t="shared" si="16"/>
        <v>247.62676487932578</v>
      </c>
      <c r="C529">
        <f t="shared" si="17"/>
        <v>32.248735572228306</v>
      </c>
    </row>
    <row r="530" spans="1:3" x14ac:dyDescent="0.15">
      <c r="A530">
        <v>5.26</v>
      </c>
      <c r="B530">
        <f t="shared" si="16"/>
        <v>242.11738246691931</v>
      </c>
      <c r="C530">
        <f t="shared" si="17"/>
        <v>33.523378228745969</v>
      </c>
    </row>
    <row r="531" spans="1:3" x14ac:dyDescent="0.15">
      <c r="A531">
        <v>5.27</v>
      </c>
      <c r="B531">
        <f t="shared" si="16"/>
        <v>236.42196370339602</v>
      </c>
      <c r="C531">
        <f t="shared" si="17"/>
        <v>34.811462964097011</v>
      </c>
    </row>
    <row r="532" spans="1:3" x14ac:dyDescent="0.15">
      <c r="A532">
        <v>5.28</v>
      </c>
      <c r="B532">
        <f t="shared" si="16"/>
        <v>230.55598890707012</v>
      </c>
      <c r="C532">
        <f t="shared" si="17"/>
        <v>36.10938722112801</v>
      </c>
    </row>
    <row r="533" spans="1:3" x14ac:dyDescent="0.15">
      <c r="A533">
        <v>5.29</v>
      </c>
      <c r="B533">
        <f t="shared" si="16"/>
        <v>224.53631331654535</v>
      </c>
      <c r="C533">
        <f t="shared" si="17"/>
        <v>37.413340444835825</v>
      </c>
    </row>
    <row r="534" spans="1:3" x14ac:dyDescent="0.15">
      <c r="A534">
        <v>5.3</v>
      </c>
      <c r="B534">
        <f t="shared" si="16"/>
        <v>218.38102291737059</v>
      </c>
      <c r="C534">
        <f t="shared" si="17"/>
        <v>38.719337746855516</v>
      </c>
    </row>
    <row r="535" spans="1:3" x14ac:dyDescent="0.15">
      <c r="A535">
        <v>5.31</v>
      </c>
      <c r="B535">
        <f t="shared" si="16"/>
        <v>212.10926456270283</v>
      </c>
      <c r="C535">
        <f t="shared" si="17"/>
        <v>40.023258086155259</v>
      </c>
    </row>
    <row r="536" spans="1:3" x14ac:dyDescent="0.15">
      <c r="A536">
        <v>5.32</v>
      </c>
      <c r="B536">
        <f t="shared" si="16"/>
        <v>205.74105337027223</v>
      </c>
      <c r="C536">
        <f t="shared" si="17"/>
        <v>41.320886272905234</v>
      </c>
    </row>
    <row r="537" spans="1:3" x14ac:dyDescent="0.15">
      <c r="A537">
        <v>5.33</v>
      </c>
      <c r="B537">
        <f t="shared" si="16"/>
        <v>199.29706123599422</v>
      </c>
      <c r="C537">
        <f t="shared" si="17"/>
        <v>42.607957943772327</v>
      </c>
    </row>
    <row r="538" spans="1:3" x14ac:dyDescent="0.15">
      <c r="A538">
        <v>5.34</v>
      </c>
      <c r="B538">
        <f t="shared" si="16"/>
        <v>192.79839104489349</v>
      </c>
      <c r="C538">
        <f t="shared" si="17"/>
        <v>43.880206525026736</v>
      </c>
    </row>
    <row r="539" spans="1:3" x14ac:dyDescent="0.15">
      <c r="A539">
        <v>5.35</v>
      </c>
      <c r="B539">
        <f t="shared" si="16"/>
        <v>186.26634173859964</v>
      </c>
      <c r="C539">
        <f t="shared" si="17"/>
        <v>45.133411103125027</v>
      </c>
    </row>
    <row r="540" spans="1:3" x14ac:dyDescent="0.15">
      <c r="A540">
        <v>5.36</v>
      </c>
      <c r="B540">
        <f t="shared" si="16"/>
        <v>179.72216977962222</v>
      </c>
      <c r="C540">
        <f t="shared" si="17"/>
        <v>46.363444067366459</v>
      </c>
    </row>
    <row r="541" spans="1:3" x14ac:dyDescent="0.15">
      <c r="A541">
        <v>5.37</v>
      </c>
      <c r="B541">
        <f t="shared" si="16"/>
        <v>173.18685271117519</v>
      </c>
      <c r="C541">
        <f t="shared" si="17"/>
        <v>47.566317379941445</v>
      </c>
    </row>
    <row r="542" spans="1:3" x14ac:dyDescent="0.15">
      <c r="A542">
        <v>5.38</v>
      </c>
      <c r="B542">
        <f t="shared" si="16"/>
        <v>166.68086043619402</v>
      </c>
      <c r="C542">
        <f t="shared" si="17"/>
        <v>48.738226366560625</v>
      </c>
    </row>
    <row r="543" spans="1:3" x14ac:dyDescent="0.15">
      <c r="A543">
        <v>5.39</v>
      </c>
      <c r="B543">
        <f t="shared" si="16"/>
        <v>160.22393953364363</v>
      </c>
      <c r="C543">
        <f t="shared" si="17"/>
        <v>49.875590004277477</v>
      </c>
    </row>
    <row r="544" spans="1:3" x14ac:dyDescent="0.15">
      <c r="A544">
        <v>5.3999999999999995</v>
      </c>
      <c r="B544">
        <f t="shared" si="16"/>
        <v>153.83491541192993</v>
      </c>
      <c r="C544">
        <f t="shared" si="17"/>
        <v>50.975086807644729</v>
      </c>
    </row>
    <row r="545" spans="1:3" x14ac:dyDescent="0.15">
      <c r="A545">
        <v>5.41</v>
      </c>
      <c r="B545">
        <f t="shared" si="16"/>
        <v>147.5315163988794</v>
      </c>
      <c r="C545">
        <f t="shared" si="17"/>
        <v>52.033685573002245</v>
      </c>
    </row>
    <row r="546" spans="1:3" x14ac:dyDescent="0.15">
      <c r="A546">
        <v>5.42</v>
      </c>
      <c r="B546">
        <f t="shared" si="16"/>
        <v>141.33022302646069</v>
      </c>
      <c r="C546">
        <f t="shared" si="17"/>
        <v>53.048670424553734</v>
      </c>
    </row>
    <row r="547" spans="1:3" x14ac:dyDescent="0.15">
      <c r="A547">
        <v>5.43</v>
      </c>
      <c r="B547">
        <f t="shared" si="16"/>
        <v>135.24614483436591</v>
      </c>
      <c r="C547">
        <f t="shared" si="17"/>
        <v>54.017659804780081</v>
      </c>
    </row>
    <row r="548" spans="1:3" x14ac:dyDescent="0.15">
      <c r="A548">
        <v>5.4399999999999995</v>
      </c>
      <c r="B548">
        <f t="shared" si="16"/>
        <v>129.29292604113877</v>
      </c>
      <c r="C548">
        <f t="shared" si="17"/>
        <v>54.938619255046433</v>
      </c>
    </row>
    <row r="549" spans="1:3" x14ac:dyDescent="0.15">
      <c r="A549">
        <v>5.45</v>
      </c>
      <c r="B549">
        <f t="shared" si="16"/>
        <v>123.48268046540517</v>
      </c>
      <c r="C549">
        <f t="shared" si="17"/>
        <v>55.809868029724974</v>
      </c>
    </row>
    <row r="550" spans="1:3" x14ac:dyDescent="0.15">
      <c r="A550">
        <v>5.46</v>
      </c>
      <c r="B550">
        <f t="shared" si="16"/>
        <v>117.82595516932825</v>
      </c>
      <c r="C550">
        <f t="shared" si="17"/>
        <v>56.630079769573918</v>
      </c>
    </row>
    <row r="551" spans="1:3" x14ac:dyDescent="0.15">
      <c r="A551">
        <v>5.47</v>
      </c>
      <c r="B551">
        <f t="shared" si="16"/>
        <v>112.33172148085625</v>
      </c>
      <c r="C551">
        <f t="shared" si="17"/>
        <v>57.398277619911241</v>
      </c>
    </row>
    <row r="552" spans="1:3" x14ac:dyDescent="0.15">
      <c r="A552">
        <v>5.4799999999999995</v>
      </c>
      <c r="B552">
        <f t="shared" si="16"/>
        <v>107.00739136058408</v>
      </c>
      <c r="C552">
        <f t="shared" si="17"/>
        <v>58.113824310728276</v>
      </c>
    </row>
    <row r="553" spans="1:3" x14ac:dyDescent="0.15">
      <c r="A553">
        <v>5.49</v>
      </c>
      <c r="B553">
        <f t="shared" si="16"/>
        <v>101.8588565327116</v>
      </c>
      <c r="C553">
        <f t="shared" si="17"/>
        <v>58.776407815916656</v>
      </c>
    </row>
    <row r="554" spans="1:3" x14ac:dyDescent="0.15">
      <c r="A554">
        <v>5.5</v>
      </c>
      <c r="B554">
        <f t="shared" si="16"/>
        <v>96.890547406809119</v>
      </c>
      <c r="C554">
        <f t="shared" si="17"/>
        <v>59.386023276003407</v>
      </c>
    </row>
    <row r="555" spans="1:3" x14ac:dyDescent="0.15">
      <c r="A555">
        <v>5.51</v>
      </c>
      <c r="B555">
        <f t="shared" si="16"/>
        <v>92.105508577351728</v>
      </c>
      <c r="C555">
        <f t="shared" si="17"/>
        <v>59.942951903948469</v>
      </c>
    </row>
    <row r="556" spans="1:3" x14ac:dyDescent="0.15">
      <c r="A556">
        <v>5.52</v>
      </c>
      <c r="B556">
        <f t="shared" si="16"/>
        <v>87.505487592384341</v>
      </c>
      <c r="C556">
        <f t="shared" si="17"/>
        <v>60.447737599057163</v>
      </c>
    </row>
    <row r="557" spans="1:3" x14ac:dyDescent="0.15">
      <c r="A557">
        <v>5.53</v>
      </c>
      <c r="B557">
        <f t="shared" si="16"/>
        <v>83.09103371584618</v>
      </c>
      <c r="C557">
        <f t="shared" si="17"/>
        <v>60.901161973558992</v>
      </c>
    </row>
    <row r="558" spans="1:3" x14ac:dyDescent="0.15">
      <c r="A558">
        <v>5.54</v>
      </c>
      <c r="B558">
        <f t="shared" si="16"/>
        <v>78.861603550125437</v>
      </c>
      <c r="C558">
        <f t="shared" si="17"/>
        <v>61.304218454399241</v>
      </c>
    </row>
    <row r="559" spans="1:3" x14ac:dyDescent="0.15">
      <c r="A559">
        <v>5.55</v>
      </c>
      <c r="B559">
        <f t="shared" si="16"/>
        <v>74.815670613925576</v>
      </c>
      <c r="C559">
        <f t="shared" si="17"/>
        <v>61.658086064195473</v>
      </c>
    </row>
    <row r="560" spans="1:3" x14ac:dyDescent="0.15">
      <c r="A560">
        <v>5.56</v>
      </c>
      <c r="B560">
        <f t="shared" si="16"/>
        <v>70.950836262400898</v>
      </c>
      <c r="C560">
        <f t="shared" si="17"/>
        <v>61.964103415086306</v>
      </c>
    </row>
    <row r="561" spans="1:3" x14ac:dyDescent="0.15">
      <c r="A561">
        <v>5.57</v>
      </c>
      <c r="B561">
        <f t="shared" si="16"/>
        <v>67.263939669474638</v>
      </c>
      <c r="C561">
        <f t="shared" si="17"/>
        <v>62.223743372045497</v>
      </c>
    </row>
    <row r="562" spans="1:3" x14ac:dyDescent="0.15">
      <c r="A562">
        <v>5.58</v>
      </c>
      <c r="B562">
        <f t="shared" si="16"/>
        <v>63.751164945983241</v>
      </c>
      <c r="C562">
        <f t="shared" si="17"/>
        <v>62.438588762362279</v>
      </c>
    </row>
    <row r="563" spans="1:3" x14ac:dyDescent="0.15">
      <c r="A563">
        <v>5.59</v>
      </c>
      <c r="B563">
        <f t="shared" si="16"/>
        <v>60.408143824259298</v>
      </c>
      <c r="C563">
        <f t="shared" si="17"/>
        <v>62.610309428975413</v>
      </c>
    </row>
    <row r="564" spans="1:3" x14ac:dyDescent="0.15">
      <c r="A564">
        <v>5.6</v>
      </c>
      <c r="B564">
        <f t="shared" si="16"/>
        <v>57.230052685634966</v>
      </c>
      <c r="C564">
        <f t="shared" si="17"/>
        <v>62.740640850059052</v>
      </c>
    </row>
    <row r="565" spans="1:3" x14ac:dyDescent="0.15">
      <c r="A565">
        <v>5.61</v>
      </c>
      <c r="B565">
        <f t="shared" si="16"/>
        <v>54.211703031111938</v>
      </c>
      <c r="C565">
        <f t="shared" si="17"/>
        <v>62.831364477834342</v>
      </c>
    </row>
    <row r="566" spans="1:3" x14ac:dyDescent="0.15">
      <c r="A566">
        <v>5.62</v>
      </c>
      <c r="B566">
        <f t="shared" si="16"/>
        <v>51.347624789311148</v>
      </c>
      <c r="C566">
        <f t="shared" si="17"/>
        <v>62.884289887478381</v>
      </c>
    </row>
    <row r="567" spans="1:3" x14ac:dyDescent="0.15">
      <c r="A567">
        <v>5.63</v>
      </c>
      <c r="B567">
        <f t="shared" si="16"/>
        <v>48.632142114919745</v>
      </c>
      <c r="C567">
        <f t="shared" si="17"/>
        <v>62.901238773060491</v>
      </c>
    </row>
    <row r="568" spans="1:3" x14ac:dyDescent="0.15">
      <c r="A568">
        <v>5.64</v>
      </c>
      <c r="B568">
        <f t="shared" si="16"/>
        <v>46.059441552852959</v>
      </c>
      <c r="C568">
        <f t="shared" si="17"/>
        <v>62.884030781973081</v>
      </c>
    </row>
    <row r="569" spans="1:3" x14ac:dyDescent="0.15">
      <c r="A569">
        <v>5.6499999999999995</v>
      </c>
      <c r="B569">
        <f t="shared" si="16"/>
        <v>43.623632627971389</v>
      </c>
      <c r="C569">
        <f t="shared" si="17"/>
        <v>62.834471142235373</v>
      </c>
    </row>
    <row r="570" spans="1:3" x14ac:dyDescent="0.15">
      <c r="A570">
        <v>5.66</v>
      </c>
      <c r="B570">
        <f t="shared" si="16"/>
        <v>41.318801068769361</v>
      </c>
      <c r="C570">
        <f t="shared" si="17"/>
        <v>62.75434000790937</v>
      </c>
    </row>
    <row r="571" spans="1:3" x14ac:dyDescent="0.15">
      <c r="A571">
        <v>5.67</v>
      </c>
      <c r="B571">
        <f t="shared" si="16"/>
        <v>39.139054988468331</v>
      </c>
      <c r="C571">
        <f t="shared" si="17"/>
        <v>62.645383426028019</v>
      </c>
    </row>
    <row r="572" spans="1:3" x14ac:dyDescent="0.15">
      <c r="A572">
        <v>5.68</v>
      </c>
      <c r="B572">
        <f t="shared" si="16"/>
        <v>37.078564431668021</v>
      </c>
      <c r="C572">
        <f t="shared" si="17"/>
        <v>62.509305813104739</v>
      </c>
    </row>
    <row r="573" spans="1:3" x14ac:dyDescent="0.15">
      <c r="A573">
        <v>5.6899999999999995</v>
      </c>
      <c r="B573">
        <f t="shared" si="16"/>
        <v>35.131594752814657</v>
      </c>
      <c r="C573">
        <f t="shared" si="17"/>
        <v>62.3477638196077</v>
      </c>
    </row>
    <row r="574" spans="1:3" x14ac:dyDescent="0.15">
      <c r="A574">
        <v>5.7</v>
      </c>
      <c r="B574">
        <f t="shared" si="16"/>
        <v>33.292534328088145</v>
      </c>
      <c r="C574">
        <f t="shared" si="17"/>
        <v>62.162361455862552</v>
      </c>
    </row>
    <row r="575" spans="1:3" x14ac:dyDescent="0.15">
      <c r="A575">
        <v>5.71</v>
      </c>
      <c r="B575">
        <f t="shared" si="16"/>
        <v>31.5559171186847</v>
      </c>
      <c r="C575">
        <f t="shared" si="17"/>
        <v>61.954646351840793</v>
      </c>
    </row>
    <row r="576" spans="1:3" x14ac:dyDescent="0.15">
      <c r="A576">
        <v>5.72</v>
      </c>
      <c r="B576">
        <f t="shared" si="16"/>
        <v>29.91644060447544</v>
      </c>
      <c r="C576">
        <f t="shared" si="17"/>
        <v>61.726107025401603</v>
      </c>
    </row>
    <row r="577" spans="1:3" x14ac:dyDescent="0.15">
      <c r="A577">
        <v>5.7299999999999995</v>
      </c>
      <c r="B577">
        <f t="shared" si="16"/>
        <v>28.368979595949273</v>
      </c>
      <c r="C577">
        <f t="shared" si="17"/>
        <v>61.478171038061774</v>
      </c>
    </row>
    <row r="578" spans="1:3" x14ac:dyDescent="0.15">
      <c r="A578">
        <v>5.74</v>
      </c>
      <c r="B578">
        <f t="shared" si="16"/>
        <v>26.908596412133715</v>
      </c>
      <c r="C578">
        <f t="shared" si="17"/>
        <v>61.212203923636167</v>
      </c>
    </row>
    <row r="579" spans="1:3" x14ac:dyDescent="0.15">
      <c r="A579">
        <v>5.75</v>
      </c>
      <c r="B579">
        <f t="shared" si="16"/>
        <v>25.530547885376699</v>
      </c>
      <c r="C579">
        <f t="shared" si="17"/>
        <v>60.929508782575475</v>
      </c>
    </row>
    <row r="580" spans="1:3" x14ac:dyDescent="0.15">
      <c r="A580">
        <v>5.76</v>
      </c>
      <c r="B580">
        <f t="shared" si="16"/>
        <v>24.23028962262444</v>
      </c>
      <c r="C580">
        <f t="shared" si="17"/>
        <v>60.631326443070925</v>
      </c>
    </row>
    <row r="581" spans="1:3" x14ac:dyDescent="0.15">
      <c r="A581">
        <v>5.77</v>
      </c>
      <c r="B581">
        <f t="shared" si="16"/>
        <v>23.003477918931189</v>
      </c>
      <c r="C581">
        <f t="shared" si="17"/>
        <v>60.318836098624111</v>
      </c>
    </row>
    <row r="582" spans="1:3" x14ac:dyDescent="0.15">
      <c r="A582">
        <v>5.78</v>
      </c>
      <c r="B582">
        <f t="shared" ref="B582:B645" si="18">(1+($A$2-$B$2*C581)*$E$2)*B581</f>
        <v>21.845969683830173</v>
      </c>
      <c r="C582">
        <f t="shared" ref="C582:C645" si="19">(1+($C$2*B581-$D$2)*$E$2)*C581</f>
        <v>59.993156340495936</v>
      </c>
    </row>
    <row r="583" spans="1:3" x14ac:dyDescent="0.15">
      <c r="A583">
        <v>5.79</v>
      </c>
      <c r="B583">
        <f t="shared" si="18"/>
        <v>20.753820706016718</v>
      </c>
      <c r="C583">
        <f t="shared" si="19"/>
        <v>59.655346512021332</v>
      </c>
    </row>
    <row r="584" spans="1:3" x14ac:dyDescent="0.15">
      <c r="A584">
        <v>5.8</v>
      </c>
      <c r="B584">
        <f t="shared" si="18"/>
        <v>19.723282547411095</v>
      </c>
      <c r="C584">
        <f t="shared" si="19"/>
        <v>59.306408320034272</v>
      </c>
    </row>
    <row r="585" spans="1:3" x14ac:dyDescent="0.15">
      <c r="A585">
        <v>5.81</v>
      </c>
      <c r="B585">
        <f t="shared" si="18"/>
        <v>18.750798324717039</v>
      </c>
      <c r="C585">
        <f t="shared" si="19"/>
        <v>58.947287646467565</v>
      </c>
    </row>
    <row r="586" spans="1:3" x14ac:dyDescent="0.15">
      <c r="A586">
        <v>5.82</v>
      </c>
      <c r="B586">
        <f t="shared" si="18"/>
        <v>17.832997605516212</v>
      </c>
      <c r="C586">
        <f t="shared" si="19"/>
        <v>58.578876510492485</v>
      </c>
    </row>
    <row r="587" spans="1:3" x14ac:dyDescent="0.15">
      <c r="A587">
        <v>5.83</v>
      </c>
      <c r="B587">
        <f t="shared" si="18"/>
        <v>16.966690617025932</v>
      </c>
      <c r="C587">
        <f t="shared" si="19"/>
        <v>58.202015138296652</v>
      </c>
    </row>
    <row r="588" spans="1:3" x14ac:dyDescent="0.15">
      <c r="A588">
        <v>5.84</v>
      </c>
      <c r="B588">
        <f t="shared" si="18"/>
        <v>16.148861939057252</v>
      </c>
      <c r="C588">
        <f t="shared" si="19"/>
        <v>57.817494103741467</v>
      </c>
    </row>
    <row r="589" spans="1:3" x14ac:dyDescent="0.15">
      <c r="A589">
        <v>5.85</v>
      </c>
      <c r="B589">
        <f t="shared" si="18"/>
        <v>15.376663828504247</v>
      </c>
      <c r="C589">
        <f t="shared" si="19"/>
        <v>57.426056508692767</v>
      </c>
    </row>
    <row r="590" spans="1:3" x14ac:dyDescent="0.15">
      <c r="A590">
        <v>5.86</v>
      </c>
      <c r="B590">
        <f t="shared" si="18"/>
        <v>14.647409300858433</v>
      </c>
      <c r="C590">
        <f t="shared" si="19"/>
        <v>57.028400176792012</v>
      </c>
    </row>
    <row r="591" spans="1:3" x14ac:dyDescent="0.15">
      <c r="A591">
        <v>5.87</v>
      </c>
      <c r="B591">
        <f t="shared" si="18"/>
        <v>13.958565074704397</v>
      </c>
      <c r="C591">
        <f t="shared" si="19"/>
        <v>56.625179838856617</v>
      </c>
    </row>
    <row r="592" spans="1:3" x14ac:dyDescent="0.15">
      <c r="A592">
        <v>5.88</v>
      </c>
      <c r="B592">
        <f t="shared" si="18"/>
        <v>13.307744467803921</v>
      </c>
      <c r="C592">
        <f t="shared" si="19"/>
        <v>56.217009291997556</v>
      </c>
    </row>
    <row r="593" spans="1:3" x14ac:dyDescent="0.15">
      <c r="A593">
        <v>5.89</v>
      </c>
      <c r="B593">
        <f t="shared" si="18"/>
        <v>12.692700318079899</v>
      </c>
      <c r="C593">
        <f t="shared" si="19"/>
        <v>55.804463517957991</v>
      </c>
    </row>
    <row r="594" spans="1:3" x14ac:dyDescent="0.15">
      <c r="A594">
        <v>5.8999999999999995</v>
      </c>
      <c r="B594">
        <f t="shared" si="18"/>
        <v>12.111317989416035</v>
      </c>
      <c r="C594">
        <f t="shared" si="19"/>
        <v>55.388080749147342</v>
      </c>
    </row>
    <row r="595" spans="1:3" x14ac:dyDescent="0.15">
      <c r="A595">
        <v>5.91</v>
      </c>
      <c r="B595">
        <f t="shared" si="18"/>
        <v>11.561608510533819</v>
      </c>
      <c r="C595">
        <f t="shared" si="19"/>
        <v>54.968364473411143</v>
      </c>
    </row>
    <row r="596" spans="1:3" x14ac:dyDescent="0.15">
      <c r="A596">
        <v>5.92</v>
      </c>
      <c r="B596">
        <f t="shared" si="18"/>
        <v>11.041701885133243</v>
      </c>
      <c r="C596">
        <f t="shared" si="19"/>
        <v>54.545785370778219</v>
      </c>
    </row>
    <row r="597" spans="1:3" x14ac:dyDescent="0.15">
      <c r="A597">
        <v>5.93</v>
      </c>
      <c r="B597">
        <f t="shared" si="18"/>
        <v>10.549840602829979</v>
      </c>
      <c r="C597">
        <f t="shared" si="19"/>
        <v>54.120783177301355</v>
      </c>
    </row>
    <row r="598" spans="1:3" x14ac:dyDescent="0.15">
      <c r="A598">
        <v>5.9399999999999995</v>
      </c>
      <c r="B598">
        <f t="shared" si="18"/>
        <v>10.084373373037428</v>
      </c>
      <c r="C598">
        <f t="shared" si="19"/>
        <v>53.693768472692511</v>
      </c>
    </row>
    <row r="599" spans="1:3" x14ac:dyDescent="0.15">
      <c r="A599">
        <v>5.95</v>
      </c>
      <c r="B599">
        <f t="shared" si="18"/>
        <v>9.6437490976837452</v>
      </c>
      <c r="C599">
        <f t="shared" si="19"/>
        <v>53.2651243897824</v>
      </c>
    </row>
    <row r="600" spans="1:3" x14ac:dyDescent="0.15">
      <c r="A600">
        <v>5.96</v>
      </c>
      <c r="B600">
        <f t="shared" si="18"/>
        <v>9.2265110933886074</v>
      </c>
      <c r="C600">
        <f t="shared" si="19"/>
        <v>52.835208244938968</v>
      </c>
    </row>
    <row r="601" spans="1:3" x14ac:dyDescent="0.15">
      <c r="A601">
        <v>5.97</v>
      </c>
      <c r="B601">
        <f t="shared" si="18"/>
        <v>8.8312915693290659</v>
      </c>
      <c r="C601">
        <f t="shared" si="19"/>
        <v>52.404353089488261</v>
      </c>
    </row>
    <row r="602" spans="1:3" x14ac:dyDescent="0.15">
      <c r="A602">
        <v>5.9799999999999995</v>
      </c>
      <c r="B602">
        <f t="shared" si="18"/>
        <v>8.456806363387015</v>
      </c>
      <c r="C602">
        <f t="shared" si="19"/>
        <v>51.972869182920448</v>
      </c>
    </row>
    <row r="603" spans="1:3" x14ac:dyDescent="0.15">
      <c r="A603">
        <v>5.99</v>
      </c>
      <c r="B603">
        <f t="shared" si="18"/>
        <v>8.1018499361912824</v>
      </c>
      <c r="C603">
        <f t="shared" si="19"/>
        <v>51.541045389257164</v>
      </c>
    </row>
    <row r="604" spans="1:3" x14ac:dyDescent="0.15">
      <c r="A604">
        <v>6</v>
      </c>
      <c r="B604">
        <f t="shared" si="18"/>
        <v>7.7652906202550103</v>
      </c>
      <c r="C604">
        <f t="shared" si="19"/>
        <v>51.109150498424228</v>
      </c>
    </row>
    <row r="605" spans="1:3" x14ac:dyDescent="0.15">
      <c r="A605">
        <v>6.01</v>
      </c>
      <c r="B605">
        <f t="shared" si="18"/>
        <v>7.4460661194829454</v>
      </c>
      <c r="C605">
        <f t="shared" si="19"/>
        <v>50.677434474834911</v>
      </c>
    </row>
    <row r="606" spans="1:3" x14ac:dyDescent="0.15">
      <c r="A606">
        <v>6.02</v>
      </c>
      <c r="B606">
        <f t="shared" si="18"/>
        <v>7.1431792528123896</v>
      </c>
      <c r="C606">
        <f t="shared" si="19"/>
        <v>50.246129635659642</v>
      </c>
    </row>
    <row r="607" spans="1:3" x14ac:dyDescent="0.15">
      <c r="A607">
        <v>6.03</v>
      </c>
      <c r="B607">
        <f t="shared" si="18"/>
        <v>6.8556939345929475</v>
      </c>
      <c r="C607">
        <f t="shared" si="19"/>
        <v>49.815451761452557</v>
      </c>
    </row>
    <row r="608" spans="1:3" x14ac:dyDescent="0.15">
      <c r="A608">
        <v>6.04</v>
      </c>
      <c r="B608">
        <f t="shared" si="18"/>
        <v>6.5827313834488796</v>
      </c>
      <c r="C608">
        <f t="shared" si="19"/>
        <v>49.385601141936036</v>
      </c>
    </row>
    <row r="609" spans="1:3" x14ac:dyDescent="0.15">
      <c r="A609">
        <v>6.05</v>
      </c>
      <c r="B609">
        <f t="shared" si="18"/>
        <v>6.3234665507558576</v>
      </c>
      <c r="C609">
        <f t="shared" si="19"/>
        <v>48.956763559822178</v>
      </c>
    </row>
    <row r="610" spans="1:3" x14ac:dyDescent="0.15">
      <c r="A610">
        <v>6.06</v>
      </c>
      <c r="B610">
        <f t="shared" si="18"/>
        <v>6.0771247594596174</v>
      </c>
      <c r="C610">
        <f t="shared" si="19"/>
        <v>48.52911121558472</v>
      </c>
    </row>
    <row r="611" spans="1:3" x14ac:dyDescent="0.15">
      <c r="A611">
        <v>6.07</v>
      </c>
      <c r="B611">
        <f t="shared" si="18"/>
        <v>5.8429785437314141</v>
      </c>
      <c r="C611">
        <f t="shared" si="19"/>
        <v>48.102803596093437</v>
      </c>
    </row>
    <row r="612" spans="1:3" x14ac:dyDescent="0.15">
      <c r="A612">
        <v>6.08</v>
      </c>
      <c r="B612">
        <f t="shared" si="18"/>
        <v>5.620344679863428</v>
      </c>
      <c r="C612">
        <f t="shared" si="19"/>
        <v>47.677988289993564</v>
      </c>
    </row>
    <row r="613" spans="1:3" x14ac:dyDescent="0.15">
      <c r="A613">
        <v>6.09</v>
      </c>
      <c r="B613">
        <f t="shared" si="18"/>
        <v>5.4085813988298064</v>
      </c>
      <c r="C613">
        <f t="shared" si="19"/>
        <v>47.254801752660079</v>
      </c>
    </row>
    <row r="614" spans="1:3" x14ac:dyDescent="0.15">
      <c r="A614">
        <v>6.1</v>
      </c>
      <c r="B614">
        <f t="shared" si="18"/>
        <v>5.2070857710532774</v>
      </c>
      <c r="C614">
        <f t="shared" si="19"/>
        <v>46.833370023486445</v>
      </c>
    </row>
    <row r="615" spans="1:3" x14ac:dyDescent="0.15">
      <c r="A615">
        <v>6.11</v>
      </c>
      <c r="B615">
        <f t="shared" si="18"/>
        <v>5.0152912541040413</v>
      </c>
      <c r="C615">
        <f t="shared" si="19"/>
        <v>46.413809398183538</v>
      </c>
    </row>
    <row r="616" spans="1:3" x14ac:dyDescent="0.15">
      <c r="A616">
        <v>6.12</v>
      </c>
      <c r="B616">
        <f t="shared" si="18"/>
        <v>4.8326653943007196</v>
      </c>
      <c r="C616">
        <f t="shared" si="19"/>
        <v>45.996227058670577</v>
      </c>
    </row>
    <row r="617" spans="1:3" x14ac:dyDescent="0.15">
      <c r="A617">
        <v>6.13</v>
      </c>
      <c r="B617">
        <f t="shared" si="18"/>
        <v>4.658707673468891</v>
      </c>
      <c r="C617">
        <f t="shared" si="19"/>
        <v>45.580721663038837</v>
      </c>
    </row>
    <row r="618" spans="1:3" x14ac:dyDescent="0.15">
      <c r="A618">
        <v>6.14</v>
      </c>
      <c r="B618">
        <f t="shared" si="18"/>
        <v>4.4929474924297317</v>
      </c>
      <c r="C618">
        <f t="shared" si="19"/>
        <v>45.167383897963219</v>
      </c>
    </row>
    <row r="619" spans="1:3" x14ac:dyDescent="0.15">
      <c r="A619">
        <v>6.15</v>
      </c>
      <c r="B619">
        <f t="shared" si="18"/>
        <v>4.3349422831300641</v>
      </c>
      <c r="C619">
        <f t="shared" si="19"/>
        <v>44.756296995828379</v>
      </c>
    </row>
    <row r="620" spans="1:3" x14ac:dyDescent="0.15">
      <c r="A620">
        <v>6.16</v>
      </c>
      <c r="B620">
        <f t="shared" si="18"/>
        <v>4.1842757416778209</v>
      </c>
      <c r="C620">
        <f t="shared" si="19"/>
        <v>44.347537218726806</v>
      </c>
    </row>
    <row r="621" spans="1:3" x14ac:dyDescent="0.15">
      <c r="A621">
        <v>6.17</v>
      </c>
      <c r="B621">
        <f t="shared" si="18"/>
        <v>4.0405561749071257</v>
      </c>
      <c r="C621">
        <f t="shared" si="19"/>
        <v>43.941174311377033</v>
      </c>
    </row>
    <row r="622" spans="1:3" x14ac:dyDescent="0.15">
      <c r="A622">
        <v>6.18</v>
      </c>
      <c r="B622">
        <f t="shared" si="18"/>
        <v>3.9034149534596922</v>
      </c>
      <c r="C622">
        <f t="shared" si="19"/>
        <v>43.537271924902562</v>
      </c>
    </row>
    <row r="623" spans="1:3" x14ac:dyDescent="0.15">
      <c r="A623">
        <v>6.1899999999999995</v>
      </c>
      <c r="B623">
        <f t="shared" si="18"/>
        <v>3.772505064729784</v>
      </c>
      <c r="C623">
        <f t="shared" si="19"/>
        <v>43.135888013306435</v>
      </c>
    </row>
    <row r="624" spans="1:3" x14ac:dyDescent="0.15">
      <c r="A624">
        <v>6.2</v>
      </c>
      <c r="B624">
        <f t="shared" si="18"/>
        <v>3.6474997593752665</v>
      </c>
      <c r="C624">
        <f t="shared" si="19"/>
        <v>42.737075204373731</v>
      </c>
    </row>
    <row r="625" spans="1:3" x14ac:dyDescent="0.15">
      <c r="A625">
        <v>6.21</v>
      </c>
      <c r="B625">
        <f t="shared" si="18"/>
        <v>3.5280912854446633</v>
      </c>
      <c r="C625">
        <f t="shared" si="19"/>
        <v>42.340881146634864</v>
      </c>
    </row>
    <row r="626" spans="1:3" x14ac:dyDescent="0.15">
      <c r="A626">
        <v>6.22</v>
      </c>
      <c r="B626">
        <f t="shared" si="18"/>
        <v>3.4139897045076193</v>
      </c>
      <c r="C626">
        <f t="shared" si="19"/>
        <v>41.94734883392681</v>
      </c>
    </row>
    <row r="627" spans="1:3" x14ac:dyDescent="0.15">
      <c r="A627">
        <v>6.2299999999999995</v>
      </c>
      <c r="B627">
        <f t="shared" si="18"/>
        <v>3.3049217845022798</v>
      </c>
      <c r="C627">
        <f t="shared" si="19"/>
        <v>41.556516908997622</v>
      </c>
    </row>
    <row r="628" spans="1:3" x14ac:dyDescent="0.15">
      <c r="A628">
        <v>6.24</v>
      </c>
      <c r="B628">
        <f t="shared" si="18"/>
        <v>3.2006299643267191</v>
      </c>
      <c r="C628">
        <f t="shared" si="19"/>
        <v>41.168419947511758</v>
      </c>
    </row>
    <row r="629" spans="1:3" x14ac:dyDescent="0.15">
      <c r="A629">
        <v>6.25</v>
      </c>
      <c r="B629">
        <f t="shared" si="18"/>
        <v>3.1008713855019945</v>
      </c>
      <c r="C629">
        <f t="shared" si="19"/>
        <v>40.783088723730238</v>
      </c>
    </row>
    <row r="630" spans="1:3" x14ac:dyDescent="0.15">
      <c r="A630">
        <v>6.26</v>
      </c>
      <c r="B630">
        <f t="shared" si="18"/>
        <v>3.0054169865212104</v>
      </c>
      <c r="C630">
        <f t="shared" si="19"/>
        <v>40.400550459060092</v>
      </c>
    </row>
    <row r="631" spans="1:3" x14ac:dyDescent="0.15">
      <c r="A631">
        <v>6.27</v>
      </c>
      <c r="B631">
        <f t="shared" si="18"/>
        <v>2.9140506557719559</v>
      </c>
      <c r="C631">
        <f t="shared" si="19"/>
        <v>40.020829054592383</v>
      </c>
    </row>
    <row r="632" spans="1:3" x14ac:dyDescent="0.15">
      <c r="A632">
        <v>6.28</v>
      </c>
      <c r="B632">
        <f t="shared" si="18"/>
        <v>2.8265684391786032</v>
      </c>
      <c r="C632">
        <f t="shared" si="19"/>
        <v>39.64394530867667</v>
      </c>
    </row>
    <row r="633" spans="1:3" x14ac:dyDescent="0.15">
      <c r="A633">
        <v>6.29</v>
      </c>
      <c r="B633">
        <f t="shared" si="18"/>
        <v>2.7427777989563613</v>
      </c>
      <c r="C633">
        <f t="shared" si="19"/>
        <v>39.269917120512709</v>
      </c>
    </row>
    <row r="634" spans="1:3" x14ac:dyDescent="0.15">
      <c r="A634">
        <v>6.3</v>
      </c>
      <c r="B634">
        <f t="shared" si="18"/>
        <v>2.6624969201009261</v>
      </c>
      <c r="C634">
        <f t="shared" si="19"/>
        <v>38.898759680676584</v>
      </c>
    </row>
    <row r="635" spans="1:3" x14ac:dyDescent="0.15">
      <c r="A635">
        <v>6.31</v>
      </c>
      <c r="B635">
        <f t="shared" si="18"/>
        <v>2.5855540614563881</v>
      </c>
      <c r="C635">
        <f t="shared" si="19"/>
        <v>38.53048564943893</v>
      </c>
    </row>
    <row r="636" spans="1:3" x14ac:dyDescent="0.15">
      <c r="A636">
        <v>6.32</v>
      </c>
      <c r="B636">
        <f t="shared" si="18"/>
        <v>2.5117869484101583</v>
      </c>
      <c r="C636">
        <f t="shared" si="19"/>
        <v>38.165105323676698</v>
      </c>
    </row>
    <row r="637" spans="1:3" x14ac:dyDescent="0.15">
      <c r="A637">
        <v>6.33</v>
      </c>
      <c r="B637">
        <f t="shared" si="18"/>
        <v>2.4410422044575499</v>
      </c>
      <c r="C637">
        <f t="shared" si="19"/>
        <v>37.802626793127274</v>
      </c>
    </row>
    <row r="638" spans="1:3" x14ac:dyDescent="0.15">
      <c r="A638">
        <v>6.34</v>
      </c>
      <c r="B638">
        <f t="shared" si="18"/>
        <v>2.3731748190607438</v>
      </c>
      <c r="C638">
        <f t="shared" si="19"/>
        <v>37.44305608668428</v>
      </c>
    </row>
    <row r="639" spans="1:3" x14ac:dyDescent="0.15">
      <c r="A639">
        <v>6.35</v>
      </c>
      <c r="B639">
        <f t="shared" si="18"/>
        <v>2.3080476493977531</v>
      </c>
      <c r="C639">
        <f t="shared" si="19"/>
        <v>37.086397309388154</v>
      </c>
    </row>
    <row r="640" spans="1:3" x14ac:dyDescent="0.15">
      <c r="A640">
        <v>6.36</v>
      </c>
      <c r="B640">
        <f t="shared" si="18"/>
        <v>2.2455309537571662</v>
      </c>
      <c r="C640">
        <f t="shared" si="19"/>
        <v>36.732652770721188</v>
      </c>
    </row>
    <row r="641" spans="1:3" x14ac:dyDescent="0.15">
      <c r="A641">
        <v>6.37</v>
      </c>
      <c r="B641">
        <f t="shared" si="18"/>
        <v>2.1855019544844692</v>
      </c>
      <c r="C641">
        <f t="shared" si="19"/>
        <v>36.381823104776032</v>
      </c>
    </row>
    <row r="642" spans="1:3" x14ac:dyDescent="0.15">
      <c r="A642">
        <v>6.38</v>
      </c>
      <c r="B642">
        <f t="shared" si="18"/>
        <v>2.1278444285261178</v>
      </c>
      <c r="C642">
        <f t="shared" si="19"/>
        <v>36.033907382828914</v>
      </c>
    </row>
    <row r="643" spans="1:3" x14ac:dyDescent="0.15">
      <c r="A643">
        <v>6.39</v>
      </c>
      <c r="B643">
        <f t="shared" si="18"/>
        <v>2.0724483237488003</v>
      </c>
      <c r="C643">
        <f t="shared" si="19"/>
        <v>35.688903218813138</v>
      </c>
    </row>
    <row r="644" spans="1:3" x14ac:dyDescent="0.15">
      <c r="A644">
        <v>6.4</v>
      </c>
      <c r="B644">
        <f t="shared" si="18"/>
        <v>2.0192093993340259</v>
      </c>
      <c r="C644">
        <f t="shared" si="19"/>
        <v>35.346806868155461</v>
      </c>
    </row>
    <row r="645" spans="1:3" x14ac:dyDescent="0.15">
      <c r="A645">
        <v>6.41</v>
      </c>
      <c r="B645">
        <f t="shared" si="18"/>
        <v>1.9680288886627422</v>
      </c>
      <c r="C645">
        <f t="shared" si="19"/>
        <v>35.007613320406833</v>
      </c>
    </row>
    <row r="646" spans="1:3" x14ac:dyDescent="0.15">
      <c r="A646">
        <v>6.42</v>
      </c>
      <c r="B646">
        <f t="shared" ref="B646:B709" si="20">(1+($A$2-$B$2*C645)*$E$2)*B645</f>
        <v>1.9188131832116744</v>
      </c>
      <c r="C646">
        <f t="shared" ref="C646:C709" si="21">(1+($C$2*B645-$D$2)*$E$2)*C645</f>
        <v>34.671316386070302</v>
      </c>
    </row>
    <row r="647" spans="1:3" x14ac:dyDescent="0.15">
      <c r="A647">
        <v>6.43</v>
      </c>
      <c r="B647">
        <f t="shared" si="20"/>
        <v>1.8714735360828965</v>
      </c>
      <c r="C647">
        <f t="shared" si="21"/>
        <v>34.337908778001776</v>
      </c>
    </row>
    <row r="648" spans="1:3" x14ac:dyDescent="0.15">
      <c r="A648">
        <v>6.4399999999999995</v>
      </c>
      <c r="B648">
        <f t="shared" si="20"/>
        <v>1.8259257838812666</v>
      </c>
      <c r="C648">
        <f t="shared" si="21"/>
        <v>34.007382187734251</v>
      </c>
    </row>
    <row r="649" spans="1:3" x14ac:dyDescent="0.15">
      <c r="A649">
        <v>6.45</v>
      </c>
      <c r="B649">
        <f t="shared" si="20"/>
        <v>1.7820900857411908</v>
      </c>
      <c r="C649">
        <f t="shared" si="21"/>
        <v>33.679727357052691</v>
      </c>
    </row>
    <row r="650" spans="1:3" x14ac:dyDescent="0.15">
      <c r="A650">
        <v>6.46</v>
      </c>
      <c r="B650">
        <f t="shared" si="20"/>
        <v>1.7398906783851327</v>
      </c>
      <c r="C650">
        <f t="shared" si="21"/>
        <v>33.354934145124858</v>
      </c>
    </row>
    <row r="651" spans="1:3" x14ac:dyDescent="0.15">
      <c r="A651">
        <v>6.47</v>
      </c>
      <c r="B651">
        <f t="shared" si="20"/>
        <v>1.6992556461717312</v>
      </c>
      <c r="C651">
        <f t="shared" si="21"/>
        <v>33.032991591473056</v>
      </c>
    </row>
    <row r="652" spans="1:3" x14ac:dyDescent="0.15">
      <c r="A652">
        <v>6.4799999999999995</v>
      </c>
      <c r="B652">
        <f t="shared" si="20"/>
        <v>1.6601167051616945</v>
      </c>
      <c r="C652">
        <f t="shared" si="21"/>
        <v>32.713887975052678</v>
      </c>
    </row>
    <row r="653" spans="1:3" x14ac:dyDescent="0.15">
      <c r="A653">
        <v>6.49</v>
      </c>
      <c r="B653">
        <f t="shared" si="20"/>
        <v>1.6224090002951381</v>
      </c>
      <c r="C653">
        <f t="shared" si="21"/>
        <v>32.397610869685785</v>
      </c>
    </row>
    <row r="654" spans="1:3" x14ac:dyDescent="0.15">
      <c r="A654">
        <v>6.5</v>
      </c>
      <c r="B654">
        <f t="shared" si="20"/>
        <v>1.5860709148350516</v>
      </c>
      <c r="C654">
        <f t="shared" si="21"/>
        <v>32.084147196081538</v>
      </c>
    </row>
    <row r="655" spans="1:3" x14ac:dyDescent="0.15">
      <c r="A655">
        <v>6.51</v>
      </c>
      <c r="B655">
        <f t="shared" si="20"/>
        <v>1.5510438912884106</v>
      </c>
      <c r="C655">
        <f t="shared" si="21"/>
        <v>31.773483270659721</v>
      </c>
    </row>
    <row r="656" spans="1:3" x14ac:dyDescent="0.15">
      <c r="A656">
        <v>6.52</v>
      </c>
      <c r="B656">
        <f t="shared" si="20"/>
        <v>1.5172722630693833</v>
      </c>
      <c r="C656">
        <f t="shared" si="21"/>
        <v>31.465604851379506</v>
      </c>
    </row>
    <row r="657" spans="1:3" x14ac:dyDescent="0.15">
      <c r="A657">
        <v>6.53</v>
      </c>
      <c r="B657">
        <f t="shared" si="20"/>
        <v>1.4847030962183776</v>
      </c>
      <c r="C657">
        <f t="shared" si="21"/>
        <v>31.160497180762054</v>
      </c>
    </row>
    <row r="658" spans="1:3" x14ac:dyDescent="0.15">
      <c r="A658">
        <v>6.54</v>
      </c>
      <c r="B658">
        <f t="shared" si="20"/>
        <v>1.4532860405365799</v>
      </c>
      <c r="C658">
        <f t="shared" si="21"/>
        <v>30.858145026283228</v>
      </c>
    </row>
    <row r="659" spans="1:3" x14ac:dyDescent="0.15">
      <c r="A659">
        <v>6.55</v>
      </c>
      <c r="B659">
        <f t="shared" si="20"/>
        <v>1.422973189538395</v>
      </c>
      <c r="C659">
        <f t="shared" si="21"/>
        <v>30.558532718301105</v>
      </c>
    </row>
    <row r="660" spans="1:3" x14ac:dyDescent="0.15">
      <c r="A660">
        <v>6.56</v>
      </c>
      <c r="B660">
        <f t="shared" si="20"/>
        <v>1.3937189486640047</v>
      </c>
      <c r="C660">
        <f t="shared" si="21"/>
        <v>30.261644185672047</v>
      </c>
    </row>
    <row r="661" spans="1:3" x14ac:dyDescent="0.15">
      <c r="A661">
        <v>6.57</v>
      </c>
      <c r="B661">
        <f t="shared" si="20"/>
        <v>1.3654799112313458</v>
      </c>
      <c r="C661">
        <f t="shared" si="21"/>
        <v>29.967462989199188</v>
      </c>
    </row>
    <row r="662" spans="1:3" x14ac:dyDescent="0.15">
      <c r="A662">
        <v>6.58</v>
      </c>
      <c r="B662">
        <f t="shared" si="20"/>
        <v>1.338214741641339</v>
      </c>
      <c r="C662">
        <f t="shared" si="21"/>
        <v>29.675972353047658</v>
      </c>
    </row>
    <row r="663" spans="1:3" x14ac:dyDescent="0.15">
      <c r="A663">
        <v>6.59</v>
      </c>
      <c r="B663">
        <f t="shared" si="20"/>
        <v>1.3118840653823634</v>
      </c>
      <c r="C663">
        <f t="shared" si="21"/>
        <v>29.387155194252259</v>
      </c>
    </row>
    <row r="664" spans="1:3" x14ac:dyDescent="0.15">
      <c r="A664">
        <v>6.6</v>
      </c>
      <c r="B664">
        <f t="shared" si="20"/>
        <v>1.2864503654099289</v>
      </c>
      <c r="C664">
        <f t="shared" si="21"/>
        <v>29.100994150434989</v>
      </c>
    </row>
    <row r="665" spans="1:3" x14ac:dyDescent="0.15">
      <c r="A665">
        <v>6.61</v>
      </c>
      <c r="B665">
        <f t="shared" si="20"/>
        <v>1.2618778845054088</v>
      </c>
      <c r="C665">
        <f t="shared" si="21"/>
        <v>28.817471605842361</v>
      </c>
    </row>
    <row r="666" spans="1:3" x14ac:dyDescent="0.15">
      <c r="A666">
        <v>6.62</v>
      </c>
      <c r="B666">
        <f t="shared" si="20"/>
        <v>1.2381325332436879</v>
      </c>
      <c r="C666">
        <f t="shared" si="21"/>
        <v>28.536569715805292</v>
      </c>
    </row>
    <row r="667" spans="1:3" x14ac:dyDescent="0.15">
      <c r="A667">
        <v>6.63</v>
      </c>
      <c r="B667">
        <f t="shared" si="20"/>
        <v>1.2151818032238095</v>
      </c>
      <c r="C667">
        <f t="shared" si="21"/>
        <v>28.258270429717705</v>
      </c>
    </row>
    <row r="668" spans="1:3" x14ac:dyDescent="0.15">
      <c r="A668">
        <v>6.64</v>
      </c>
      <c r="B668">
        <f t="shared" si="20"/>
        <v>1.1929946852392772</v>
      </c>
      <c r="C668">
        <f t="shared" si="21"/>
        <v>27.982555512623883</v>
      </c>
    </row>
    <row r="669" spans="1:3" x14ac:dyDescent="0.15">
      <c r="A669">
        <v>6.65</v>
      </c>
      <c r="B669">
        <f t="shared" si="20"/>
        <v>1.1715415920856966</v>
      </c>
      <c r="C669">
        <f t="shared" si="21"/>
        <v>27.709406565498838</v>
      </c>
    </row>
    <row r="670" spans="1:3" x14ac:dyDescent="0.15">
      <c r="A670">
        <v>6.66</v>
      </c>
      <c r="B670">
        <f t="shared" si="20"/>
        <v>1.1507942857230593</v>
      </c>
      <c r="C670">
        <f t="shared" si="21"/>
        <v>27.438805044300551</v>
      </c>
    </row>
    <row r="671" spans="1:3" x14ac:dyDescent="0.15">
      <c r="A671">
        <v>6.67</v>
      </c>
      <c r="B671">
        <f t="shared" si="20"/>
        <v>1.1307258085282399</v>
      </c>
      <c r="C671">
        <f t="shared" si="21"/>
        <v>27.170732277867955</v>
      </c>
    </row>
    <row r="672" spans="1:3" x14ac:dyDescent="0.15">
      <c r="A672">
        <v>6.68</v>
      </c>
      <c r="B672">
        <f t="shared" si="20"/>
        <v>1.1113104183903257</v>
      </c>
      <c r="C672">
        <f t="shared" si="21"/>
        <v>26.905169484733914</v>
      </c>
    </row>
    <row r="673" spans="1:3" x14ac:dyDescent="0.15">
      <c r="A673">
        <v>6.6899999999999995</v>
      </c>
      <c r="B673">
        <f t="shared" si="20"/>
        <v>1.0925235274172869</v>
      </c>
      <c r="C673">
        <f t="shared" si="21"/>
        <v>26.642097788917962</v>
      </c>
    </row>
    <row r="674" spans="1:3" x14ac:dyDescent="0.15">
      <c r="A674">
        <v>6.7</v>
      </c>
      <c r="B674">
        <f t="shared" si="20"/>
        <v>1.0743416440373148</v>
      </c>
      <c r="C674">
        <f t="shared" si="21"/>
        <v>26.381498234759611</v>
      </c>
    </row>
    <row r="675" spans="1:3" x14ac:dyDescent="0.15">
      <c r="A675">
        <v>6.71</v>
      </c>
      <c r="B675">
        <f t="shared" si="20"/>
        <v>1.0567423182919888</v>
      </c>
      <c r="C675">
        <f t="shared" si="21"/>
        <v>26.123351800849154</v>
      </c>
    </row>
    <row r="676" spans="1:3" x14ac:dyDescent="0.15">
      <c r="A676">
        <v>6.72</v>
      </c>
      <c r="B676">
        <f t="shared" si="20"/>
        <v>1.0397040901313221</v>
      </c>
      <c r="C676">
        <f t="shared" si="21"/>
        <v>25.86763941310938</v>
      </c>
    </row>
    <row r="677" spans="1:3" x14ac:dyDescent="0.15">
      <c r="A677">
        <v>6.7299999999999995</v>
      </c>
      <c r="B677">
        <f t="shared" si="20"/>
        <v>1.0232064405327832</v>
      </c>
      <c r="C677">
        <f t="shared" si="21"/>
        <v>25.614341957078256</v>
      </c>
    </row>
    <row r="678" spans="1:3" x14ac:dyDescent="0.15">
      <c r="A678">
        <v>6.74</v>
      </c>
      <c r="B678">
        <f t="shared" si="20"/>
        <v>1.0072297452776195</v>
      </c>
      <c r="C678">
        <f t="shared" si="21"/>
        <v>25.363440289439573</v>
      </c>
    </row>
    <row r="679" spans="1:3" x14ac:dyDescent="0.15">
      <c r="A679">
        <v>6.75</v>
      </c>
      <c r="B679">
        <f t="shared" si="20"/>
        <v>0.99175523122829934</v>
      </c>
      <c r="C679">
        <f t="shared" si="21"/>
        <v>25.114915248845598</v>
      </c>
    </row>
    <row r="680" spans="1:3" x14ac:dyDescent="0.15">
      <c r="A680">
        <v>6.76</v>
      </c>
      <c r="B680">
        <f t="shared" si="20"/>
        <v>0.97676493496068439</v>
      </c>
      <c r="C680">
        <f t="shared" si="21"/>
        <v>24.868747666073123</v>
      </c>
    </row>
    <row r="681" spans="1:3" x14ac:dyDescent="0.15">
      <c r="A681">
        <v>6.77</v>
      </c>
      <c r="B681">
        <f t="shared" si="20"/>
        <v>0.96224166361368557</v>
      </c>
      <c r="C681">
        <f t="shared" si="21"/>
        <v>24.624918373551711</v>
      </c>
    </row>
    <row r="682" spans="1:3" x14ac:dyDescent="0.15">
      <c r="A682">
        <v>6.78</v>
      </c>
      <c r="B682">
        <f t="shared" si="20"/>
        <v>0.94816895782770483</v>
      </c>
      <c r="C682">
        <f t="shared" si="21"/>
        <v>24.383408214300616</v>
      </c>
    </row>
    <row r="683" spans="1:3" x14ac:dyDescent="0.15">
      <c r="A683">
        <v>6.79</v>
      </c>
      <c r="B683">
        <f t="shared" si="20"/>
        <v>0.934531056651141</v>
      </c>
      <c r="C683">
        <f t="shared" si="21"/>
        <v>24.144198050308578</v>
      </c>
    </row>
    <row r="684" spans="1:3" x14ac:dyDescent="0.15">
      <c r="A684">
        <v>6.8</v>
      </c>
      <c r="B684">
        <f t="shared" si="20"/>
        <v>0.92131286430170312</v>
      </c>
      <c r="C684">
        <f t="shared" si="21"/>
        <v>23.907268770388683</v>
      </c>
    </row>
    <row r="685" spans="1:3" x14ac:dyDescent="0.15">
      <c r="A685">
        <v>6.81</v>
      </c>
      <c r="B685">
        <f t="shared" si="20"/>
        <v>0.90849991867624269</v>
      </c>
      <c r="C685">
        <f t="shared" si="21"/>
        <v>23.672601297538492</v>
      </c>
    </row>
    <row r="686" spans="1:3" x14ac:dyDescent="0.15">
      <c r="A686">
        <v>6.82</v>
      </c>
      <c r="B686">
        <f t="shared" si="20"/>
        <v>0.89607836150933629</v>
      </c>
      <c r="C686">
        <f t="shared" si="21"/>
        <v>23.44017659583384</v>
      </c>
    </row>
    <row r="687" spans="1:3" x14ac:dyDescent="0.15">
      <c r="A687">
        <v>6.83</v>
      </c>
      <c r="B687">
        <f t="shared" si="20"/>
        <v>0.88403491008694535</v>
      </c>
      <c r="C687">
        <f t="shared" si="21"/>
        <v>23.209975676882998</v>
      </c>
    </row>
    <row r="688" spans="1:3" x14ac:dyDescent="0.15">
      <c r="A688">
        <v>6.84</v>
      </c>
      <c r="B688">
        <f t="shared" si="20"/>
        <v>0.87235683042718137</v>
      </c>
      <c r="C688">
        <f t="shared" si="21"/>
        <v>22.981979605866293</v>
      </c>
    </row>
    <row r="689" spans="1:3" x14ac:dyDescent="0.15">
      <c r="A689">
        <v>6.85</v>
      </c>
      <c r="B689">
        <f t="shared" si="20"/>
        <v>0.86103191184553751</v>
      </c>
      <c r="C689">
        <f t="shared" si="21"/>
        <v>22.756169507184811</v>
      </c>
    </row>
    <row r="690" spans="1:3" x14ac:dyDescent="0.15">
      <c r="A690">
        <v>6.86</v>
      </c>
      <c r="B690">
        <f t="shared" si="20"/>
        <v>0.85004844282694036</v>
      </c>
      <c r="C690">
        <f t="shared" si="21"/>
        <v>22.532526569740373</v>
      </c>
    </row>
    <row r="691" spans="1:3" x14ac:dyDescent="0.15">
      <c r="A691">
        <v>6.87</v>
      </c>
      <c r="B691">
        <f t="shared" si="20"/>
        <v>0.83939518813164538</v>
      </c>
      <c r="C691">
        <f t="shared" si="21"/>
        <v>22.311032051867681</v>
      </c>
    </row>
    <row r="692" spans="1:3" x14ac:dyDescent="0.15">
      <c r="A692">
        <v>6.88</v>
      </c>
      <c r="B692">
        <f t="shared" si="20"/>
        <v>0.82906136706637323</v>
      </c>
      <c r="C692">
        <f t="shared" si="21"/>
        <v>22.091667285938321</v>
      </c>
    </row>
    <row r="693" spans="1:3" x14ac:dyDescent="0.15">
      <c r="A693">
        <v>6.89</v>
      </c>
      <c r="B693">
        <f t="shared" si="20"/>
        <v>0.81903663285618145</v>
      </c>
      <c r="C693">
        <f t="shared" si="21"/>
        <v>21.87441368265511</v>
      </c>
    </row>
    <row r="694" spans="1:3" x14ac:dyDescent="0.15">
      <c r="A694">
        <v>6.9</v>
      </c>
      <c r="B694">
        <f t="shared" si="20"/>
        <v>0.80931105305639828</v>
      </c>
      <c r="C694">
        <f t="shared" si="21"/>
        <v>21.659252735054228</v>
      </c>
    </row>
    <row r="695" spans="1:3" x14ac:dyDescent="0.15">
      <c r="A695">
        <v>6.91</v>
      </c>
      <c r="B695">
        <f t="shared" si="20"/>
        <v>0.79987509094754083</v>
      </c>
      <c r="C695">
        <f t="shared" si="21"/>
        <v>21.446166022231569</v>
      </c>
    </row>
    <row r="696" spans="1:3" x14ac:dyDescent="0.15">
      <c r="A696">
        <v>6.92</v>
      </c>
      <c r="B696">
        <f t="shared" si="20"/>
        <v>0.79071958785950769</v>
      </c>
      <c r="C696">
        <f t="shared" si="21"/>
        <v>21.235135212808757</v>
      </c>
    </row>
    <row r="697" spans="1:3" x14ac:dyDescent="0.15">
      <c r="A697">
        <v>6.93</v>
      </c>
      <c r="B697">
        <f t="shared" si="20"/>
        <v>0.78183574637448972</v>
      </c>
      <c r="C697">
        <f t="shared" si="21"/>
        <v>21.026142068153394</v>
      </c>
    </row>
    <row r="698" spans="1:3" x14ac:dyDescent="0.15">
      <c r="A698">
        <v>6.9399999999999995</v>
      </c>
      <c r="B698">
        <f t="shared" si="20"/>
        <v>0.77321511436100376</v>
      </c>
      <c r="C698">
        <f t="shared" si="21"/>
        <v>20.819168445367307</v>
      </c>
    </row>
    <row r="699" spans="1:3" x14ac:dyDescent="0.15">
      <c r="A699">
        <v>6.95</v>
      </c>
      <c r="B699">
        <f t="shared" si="20"/>
        <v>0.76484956979422813</v>
      </c>
      <c r="C699">
        <f t="shared" si="21"/>
        <v>20.61419630005571</v>
      </c>
    </row>
    <row r="700" spans="1:3" x14ac:dyDescent="0.15">
      <c r="A700">
        <v>6.96</v>
      </c>
      <c r="B700">
        <f t="shared" si="20"/>
        <v>0.75673130632041907</v>
      </c>
      <c r="C700">
        <f t="shared" si="21"/>
        <v>20.411207688889505</v>
      </c>
    </row>
    <row r="701" spans="1:3" x14ac:dyDescent="0.15">
      <c r="A701">
        <v>6.97</v>
      </c>
      <c r="B701">
        <f t="shared" si="20"/>
        <v>0.74885281952563254</v>
      </c>
      <c r="C701">
        <f t="shared" si="21"/>
        <v>20.210184771972209</v>
      </c>
    </row>
    <row r="702" spans="1:3" x14ac:dyDescent="0.15">
      <c r="A702">
        <v>6.9799999999999995</v>
      </c>
      <c r="B702">
        <f t="shared" si="20"/>
        <v>0.74120689387126348</v>
      </c>
      <c r="C702">
        <f t="shared" si="21"/>
        <v>20.011109815022412</v>
      </c>
    </row>
    <row r="703" spans="1:3" x14ac:dyDescent="0.15">
      <c r="A703">
        <v>6.99</v>
      </c>
      <c r="B703">
        <f t="shared" si="20"/>
        <v>0.73378659026106663</v>
      </c>
      <c r="C703">
        <f t="shared" si="21"/>
        <v>19.813965191381968</v>
      </c>
    </row>
    <row r="704" spans="1:3" x14ac:dyDescent="0.15">
      <c r="A704">
        <v>7</v>
      </c>
      <c r="B704">
        <f t="shared" si="20"/>
        <v>0.72658523420634158</v>
      </c>
      <c r="C704">
        <f t="shared" si="21"/>
        <v>19.618733383859617</v>
      </c>
    </row>
    <row r="705" spans="1:3" x14ac:dyDescent="0.15">
      <c r="A705">
        <v>7.01</v>
      </c>
      <c r="B705">
        <f t="shared" si="20"/>
        <v>0.71959640455786156</v>
      </c>
      <c r="C705">
        <f t="shared" si="21"/>
        <v>19.42539698641913</v>
      </c>
    </row>
    <row r="706" spans="1:3" x14ac:dyDescent="0.15">
      <c r="A706">
        <v>7.02</v>
      </c>
      <c r="B706">
        <f t="shared" si="20"/>
        <v>0.71281392277490385</v>
      </c>
      <c r="C706">
        <f t="shared" si="21"/>
        <v>19.233938705720647</v>
      </c>
    </row>
    <row r="707" spans="1:3" x14ac:dyDescent="0.15">
      <c r="A707">
        <v>7.03</v>
      </c>
      <c r="B707">
        <f t="shared" si="20"/>
        <v>0.7062318427034161</v>
      </c>
      <c r="C707">
        <f t="shared" si="21"/>
        <v>19.044341362523287</v>
      </c>
    </row>
    <row r="708" spans="1:3" x14ac:dyDescent="0.15">
      <c r="A708">
        <v>7.04</v>
      </c>
      <c r="B708">
        <f t="shared" si="20"/>
        <v>0.69984444083692254</v>
      </c>
      <c r="C708">
        <f t="shared" si="21"/>
        <v>18.85658789295676</v>
      </c>
    </row>
    <row r="709" spans="1:3" x14ac:dyDescent="0.15">
      <c r="A709">
        <v>7.05</v>
      </c>
      <c r="B709">
        <f t="shared" si="20"/>
        <v>0.69364620703525315</v>
      </c>
      <c r="C709">
        <f t="shared" si="21"/>
        <v>18.670661349669199</v>
      </c>
    </row>
    <row r="710" spans="1:3" x14ac:dyDescent="0.15">
      <c r="A710">
        <v>7.06</v>
      </c>
      <c r="B710">
        <f t="shared" ref="B710:B773" si="22">(1+($A$2-$B$2*C709)*$E$2)*B709</f>
        <v>0.68763183567756792</v>
      </c>
      <c r="C710">
        <f t="shared" ref="C710:C773" si="23">(1+($C$2*B709-$D$2)*$E$2)*C709</f>
        <v>18.486544902858114</v>
      </c>
    </row>
    <row r="711" spans="1:3" x14ac:dyDescent="0.15">
      <c r="A711">
        <v>7.07</v>
      </c>
      <c r="B711">
        <f t="shared" si="22"/>
        <v>0.68179621722745543</v>
      </c>
      <c r="C711">
        <f t="shared" si="23"/>
        <v>18.304221841190909</v>
      </c>
    </row>
    <row r="712" spans="1:3" x14ac:dyDescent="0.15">
      <c r="A712">
        <v>7.08</v>
      </c>
      <c r="B712">
        <f t="shared" si="22"/>
        <v>0.67613443018911379</v>
      </c>
      <c r="C712">
        <f t="shared" si="23"/>
        <v>18.123675572621121</v>
      </c>
    </row>
    <row r="713" spans="1:3" x14ac:dyDescent="0.15">
      <c r="A713">
        <v>7.09</v>
      </c>
      <c r="B713">
        <f t="shared" si="22"/>
        <v>0.6706417334347784</v>
      </c>
      <c r="C713">
        <f t="shared" si="23"/>
        <v>17.944889625106153</v>
      </c>
    </row>
    <row r="714" spans="1:3" x14ac:dyDescent="0.15">
      <c r="A714">
        <v>7.1</v>
      </c>
      <c r="B714">
        <f t="shared" si="22"/>
        <v>0.66531355888464916</v>
      </c>
      <c r="C714">
        <f t="shared" si="23"/>
        <v>17.767847647231985</v>
      </c>
    </row>
    <row r="715" spans="1:3" x14ac:dyDescent="0.15">
      <c r="A715">
        <v>7.11</v>
      </c>
      <c r="B715">
        <f t="shared" si="22"/>
        <v>0.66014550452159548</v>
      </c>
      <c r="C715">
        <f t="shared" si="23"/>
        <v>17.592533408750047</v>
      </c>
    </row>
    <row r="716" spans="1:3" x14ac:dyDescent="0.15">
      <c r="A716">
        <v>7.12</v>
      </c>
      <c r="B716">
        <f t="shared" si="22"/>
        <v>0.65513332772387911</v>
      </c>
      <c r="C716">
        <f t="shared" si="23"/>
        <v>17.418930801031134</v>
      </c>
    </row>
    <row r="717" spans="1:3" x14ac:dyDescent="0.15">
      <c r="A717">
        <v>7.13</v>
      </c>
      <c r="B717">
        <f t="shared" si="22"/>
        <v>0.65027293890004634</v>
      </c>
      <c r="C717">
        <f t="shared" si="23"/>
        <v>17.247023837441038</v>
      </c>
    </row>
    <row r="718" spans="1:3" x14ac:dyDescent="0.15">
      <c r="A718">
        <v>7.14</v>
      </c>
      <c r="B718">
        <f t="shared" si="22"/>
        <v>0.64556039541099486</v>
      </c>
      <c r="C718">
        <f t="shared" si="23"/>
        <v>17.076796653642237</v>
      </c>
    </row>
    <row r="719" spans="1:3" x14ac:dyDescent="0.15">
      <c r="A719">
        <v>7.15</v>
      </c>
      <c r="B719">
        <f t="shared" si="22"/>
        <v>0.64099189576502635</v>
      </c>
      <c r="C719">
        <f t="shared" si="23"/>
        <v>16.90823350782583</v>
      </c>
    </row>
    <row r="720" spans="1:3" x14ac:dyDescent="0.15">
      <c r="A720">
        <v>7.16</v>
      </c>
      <c r="B720">
        <f t="shared" si="22"/>
        <v>0.63656377407245757</v>
      </c>
      <c r="C720">
        <f t="shared" si="23"/>
        <v>16.741318780877616</v>
      </c>
    </row>
    <row r="721" spans="1:3" x14ac:dyDescent="0.15">
      <c r="A721">
        <v>7.17</v>
      </c>
      <c r="B721">
        <f t="shared" si="22"/>
        <v>0.63227249474707659</v>
      </c>
      <c r="C721">
        <f t="shared" si="23"/>
        <v>16.576036976482062</v>
      </c>
    </row>
    <row r="722" spans="1:3" x14ac:dyDescent="0.15">
      <c r="A722">
        <v>7.18</v>
      </c>
      <c r="B722">
        <f t="shared" si="22"/>
        <v>0.6281146474424073</v>
      </c>
      <c r="C722">
        <f t="shared" si="23"/>
        <v>16.412372721167671</v>
      </c>
    </row>
    <row r="723" spans="1:3" x14ac:dyDescent="0.15">
      <c r="A723">
        <v>7.1899999999999995</v>
      </c>
      <c r="B723">
        <f t="shared" si="22"/>
        <v>0.62408694221138172</v>
      </c>
      <c r="C723">
        <f t="shared" si="23"/>
        <v>16.250310764297083</v>
      </c>
    </row>
    <row r="724" spans="1:3" x14ac:dyDescent="0.15">
      <c r="A724">
        <v>7.2</v>
      </c>
      <c r="B724">
        <f t="shared" si="22"/>
        <v>0.62018620487862064</v>
      </c>
      <c r="C724">
        <f t="shared" si="23"/>
        <v>16.089835978005087</v>
      </c>
    </row>
    <row r="725" spans="1:3" x14ac:dyDescent="0.15">
      <c r="A725">
        <v>7.21</v>
      </c>
      <c r="B725">
        <f t="shared" si="22"/>
        <v>0.61640937261508844</v>
      </c>
      <c r="C725">
        <f t="shared" si="23"/>
        <v>15.9309333570875</v>
      </c>
    </row>
    <row r="726" spans="1:3" x14ac:dyDescent="0.15">
      <c r="A726">
        <v>7.22</v>
      </c>
      <c r="B726">
        <f t="shared" si="22"/>
        <v>0.6127534897054242</v>
      </c>
      <c r="C726">
        <f t="shared" si="23"/>
        <v>15.773588018843789</v>
      </c>
    </row>
    <row r="727" spans="1:3" x14ac:dyDescent="0.15">
      <c r="A727">
        <v>7.2299999999999995</v>
      </c>
      <c r="B727">
        <f t="shared" si="22"/>
        <v>0.60921570349875631</v>
      </c>
      <c r="C727">
        <f t="shared" si="23"/>
        <v>15.617785202876096</v>
      </c>
    </row>
    <row r="728" spans="1:3" x14ac:dyDescent="0.15">
      <c r="A728">
        <v>7.24</v>
      </c>
      <c r="B728">
        <f t="shared" si="22"/>
        <v>0.60579326053428117</v>
      </c>
      <c r="C728">
        <f t="shared" si="23"/>
        <v>15.463510270847227</v>
      </c>
    </row>
    <row r="729" spans="1:3" x14ac:dyDescent="0.15">
      <c r="A729">
        <v>7.25</v>
      </c>
      <c r="B729">
        <f t="shared" si="22"/>
        <v>0.60248350283334207</v>
      </c>
      <c r="C729">
        <f t="shared" si="23"/>
        <v>15.310748706200011</v>
      </c>
    </row>
    <row r="730" spans="1:3" x14ac:dyDescent="0.15">
      <c r="A730">
        <v>7.26</v>
      </c>
      <c r="B730">
        <f t="shared" si="22"/>
        <v>0.59928386435016312</v>
      </c>
      <c r="C730">
        <f t="shared" si="23"/>
        <v>15.159486113840313</v>
      </c>
    </row>
    <row r="731" spans="1:3" x14ac:dyDescent="0.15">
      <c r="A731">
        <v>7.27</v>
      </c>
      <c r="B731">
        <f t="shared" si="22"/>
        <v>0.59619186757379994</v>
      </c>
      <c r="C731">
        <f t="shared" si="23"/>
        <v>15.009708219785884</v>
      </c>
    </row>
    <row r="732" spans="1:3" x14ac:dyDescent="0.15">
      <c r="A732">
        <v>7.28</v>
      </c>
      <c r="B732">
        <f t="shared" si="22"/>
        <v>0.59320512027424599</v>
      </c>
      <c r="C732">
        <f t="shared" si="23"/>
        <v>14.861400870783083</v>
      </c>
    </row>
    <row r="733" spans="1:3" x14ac:dyDescent="0.15">
      <c r="A733">
        <v>7.29</v>
      </c>
      <c r="B733">
        <f t="shared" si="22"/>
        <v>0.59032131238599173</v>
      </c>
      <c r="C733">
        <f t="shared" si="23"/>
        <v>14.714550033893453</v>
      </c>
    </row>
    <row r="734" spans="1:3" x14ac:dyDescent="0.15">
      <c r="A734">
        <v>7.3</v>
      </c>
      <c r="B734">
        <f t="shared" si="22"/>
        <v>0.58753821302267428</v>
      </c>
      <c r="C734">
        <f t="shared" si="23"/>
        <v>14.569141796051953</v>
      </c>
    </row>
    <row r="735" spans="1:3" x14ac:dyDescent="0.15">
      <c r="A735">
        <v>7.31</v>
      </c>
      <c r="B735">
        <f t="shared" si="22"/>
        <v>0.58485366761677471</v>
      </c>
      <c r="C735">
        <f t="shared" si="23"/>
        <v>14.425162363598659</v>
      </c>
    </row>
    <row r="736" spans="1:3" x14ac:dyDescent="0.15">
      <c r="A736">
        <v>7.32</v>
      </c>
      <c r="B736">
        <f t="shared" si="22"/>
        <v>0.58226559517862431</v>
      </c>
      <c r="C736">
        <f t="shared" si="23"/>
        <v>14.282598061785535</v>
      </c>
    </row>
    <row r="737" spans="1:3" x14ac:dyDescent="0.15">
      <c r="A737">
        <v>7.33</v>
      </c>
      <c r="B737">
        <f t="shared" si="22"/>
        <v>0.57977198566926791</v>
      </c>
      <c r="C737">
        <f t="shared" si="23"/>
        <v>14.141435334259908</v>
      </c>
    </row>
    <row r="738" spans="1:3" x14ac:dyDescent="0.15">
      <c r="A738">
        <v>7.34</v>
      </c>
      <c r="B738">
        <f t="shared" si="22"/>
        <v>0.57737089748200321</v>
      </c>
      <c r="C738">
        <f t="shared" si="23"/>
        <v>14.0016607425261</v>
      </c>
    </row>
    <row r="739" spans="1:3" x14ac:dyDescent="0.15">
      <c r="A739">
        <v>7.35</v>
      </c>
      <c r="B739">
        <f t="shared" si="22"/>
        <v>0.57506045502767245</v>
      </c>
      <c r="C739">
        <f t="shared" si="23"/>
        <v>13.863260965386671</v>
      </c>
    </row>
    <row r="740" spans="1:3" x14ac:dyDescent="0.15">
      <c r="A740">
        <v>7.36</v>
      </c>
      <c r="B740">
        <f t="shared" si="22"/>
        <v>0.57283884641902649</v>
      </c>
      <c r="C740">
        <f t="shared" si="23"/>
        <v>13.726222798364589</v>
      </c>
    </row>
    <row r="741" spans="1:3" x14ac:dyDescent="0.15">
      <c r="A741">
        <v>7.37</v>
      </c>
      <c r="B741">
        <f t="shared" si="22"/>
        <v>0.57070432124971104</v>
      </c>
      <c r="C741">
        <f t="shared" si="23"/>
        <v>13.590533153107645</v>
      </c>
    </row>
    <row r="742" spans="1:3" x14ac:dyDescent="0.15">
      <c r="A742">
        <v>7.38</v>
      </c>
      <c r="B742">
        <f t="shared" si="22"/>
        <v>0.56865518846364216</v>
      </c>
      <c r="C742">
        <f t="shared" si="23"/>
        <v>13.456179056776282</v>
      </c>
    </row>
    <row r="743" spans="1:3" x14ac:dyDescent="0.15">
      <c r="A743">
        <v>7.39</v>
      </c>
      <c r="B743">
        <f t="shared" si="22"/>
        <v>0.56668981431074694</v>
      </c>
      <c r="C743">
        <f t="shared" si="23"/>
        <v>13.323147651416026</v>
      </c>
    </row>
    <row r="744" spans="1:3" x14ac:dyDescent="0.15">
      <c r="A744">
        <v>7.4</v>
      </c>
      <c r="B744">
        <f t="shared" si="22"/>
        <v>0.56480662038523877</v>
      </c>
      <c r="C744">
        <f t="shared" si="23"/>
        <v>13.191426193315589</v>
      </c>
    </row>
    <row r="745" spans="1:3" x14ac:dyDescent="0.15">
      <c r="A745">
        <v>7.41</v>
      </c>
      <c r="B745">
        <f t="shared" si="22"/>
        <v>0.56300408174278327</v>
      </c>
      <c r="C745">
        <f t="shared" si="23"/>
        <v>13.061002052351695</v>
      </c>
    </row>
    <row r="746" spans="1:3" x14ac:dyDescent="0.15">
      <c r="A746">
        <v>7.42</v>
      </c>
      <c r="B746">
        <f t="shared" si="22"/>
        <v>0.56128072509308624</v>
      </c>
      <c r="C746">
        <f t="shared" si="23"/>
        <v>12.931862711321603</v>
      </c>
    </row>
    <row r="747" spans="1:3" x14ac:dyDescent="0.15">
      <c r="A747">
        <v>7.43</v>
      </c>
      <c r="B747">
        <f t="shared" si="22"/>
        <v>0.55963512706460228</v>
      </c>
      <c r="C747">
        <f t="shared" si="23"/>
        <v>12.80399576526427</v>
      </c>
    </row>
    <row r="748" spans="1:3" x14ac:dyDescent="0.15">
      <c r="A748">
        <v>7.4399999999999995</v>
      </c>
      <c r="B748">
        <f t="shared" si="22"/>
        <v>0.55806591253822002</v>
      </c>
      <c r="C748">
        <f t="shared" si="23"/>
        <v>12.677388920771033</v>
      </c>
    </row>
    <row r="749" spans="1:3" x14ac:dyDescent="0.15">
      <c r="A749">
        <v>7.45</v>
      </c>
      <c r="B749">
        <f t="shared" si="22"/>
        <v>0.55657175304693018</v>
      </c>
      <c r="C749">
        <f t="shared" si="23"/>
        <v>12.552029995286658</v>
      </c>
    </row>
    <row r="750" spans="1:3" x14ac:dyDescent="0.15">
      <c r="A750">
        <v>7.46</v>
      </c>
      <c r="B750">
        <f t="shared" si="22"/>
        <v>0.55515136523862507</v>
      </c>
      <c r="C750">
        <f t="shared" si="23"/>
        <v>12.427906916401547</v>
      </c>
    </row>
    <row r="751" spans="1:3" x14ac:dyDescent="0.15">
      <c r="A751">
        <v>7.47</v>
      </c>
      <c r="B751">
        <f t="shared" si="22"/>
        <v>0.55380350939931244</v>
      </c>
      <c r="C751">
        <f t="shared" si="23"/>
        <v>12.305007721135871</v>
      </c>
    </row>
    <row r="752" spans="1:3" x14ac:dyDescent="0.15">
      <c r="A752">
        <v>7.4799999999999995</v>
      </c>
      <c r="B752">
        <f t="shared" si="22"/>
        <v>0.5525269880341549</v>
      </c>
      <c r="C752">
        <f t="shared" si="23"/>
        <v>12.183320555216342</v>
      </c>
    </row>
    <row r="753" spans="1:3" x14ac:dyDescent="0.15">
      <c r="A753">
        <v>7.49</v>
      </c>
      <c r="B753">
        <f t="shared" si="22"/>
        <v>0.5513206445038682</v>
      </c>
      <c r="C753">
        <f t="shared" si="23"/>
        <v>12.062833672346304</v>
      </c>
    </row>
    <row r="754" spans="1:3" x14ac:dyDescent="0.15">
      <c r="A754">
        <v>7.5</v>
      </c>
      <c r="B754">
        <f t="shared" si="22"/>
        <v>0.55018336171412596</v>
      </c>
      <c r="C754">
        <f t="shared" si="23"/>
        <v>11.943535433469798</v>
      </c>
    </row>
    <row r="755" spans="1:3" x14ac:dyDescent="0.15">
      <c r="A755">
        <v>7.51</v>
      </c>
      <c r="B755">
        <f t="shared" si="22"/>
        <v>0.549114060855729</v>
      </c>
      <c r="C755">
        <f t="shared" si="23"/>
        <v>11.825414306030208</v>
      </c>
    </row>
    <row r="756" spans="1:3" x14ac:dyDescent="0.15">
      <c r="A756">
        <v>7.52</v>
      </c>
      <c r="B756">
        <f t="shared" si="22"/>
        <v>0.54811170019340061</v>
      </c>
      <c r="C756">
        <f t="shared" si="23"/>
        <v>11.708458863224083</v>
      </c>
    </row>
    <row r="757" spans="1:3" x14ac:dyDescent="0.15">
      <c r="A757">
        <v>7.53</v>
      </c>
      <c r="B757">
        <f t="shared" si="22"/>
        <v>0.54717527390116838</v>
      </c>
      <c r="C757">
        <f t="shared" si="23"/>
        <v>11.592657783250674</v>
      </c>
    </row>
    <row r="758" spans="1:3" x14ac:dyDescent="0.15">
      <c r="A758">
        <v>7.54</v>
      </c>
      <c r="B758">
        <f t="shared" si="22"/>
        <v>0.54630381094238734</v>
      </c>
      <c r="C758">
        <f t="shared" si="23"/>
        <v>11.477999848557726</v>
      </c>
    </row>
    <row r="759" spans="1:3" x14ac:dyDescent="0.15">
      <c r="A759">
        <v>7.55</v>
      </c>
      <c r="B759">
        <f t="shared" si="22"/>
        <v>0.54549637399254802</v>
      </c>
      <c r="C759">
        <f t="shared" si="23"/>
        <v>11.364473945084002</v>
      </c>
    </row>
    <row r="760" spans="1:3" x14ac:dyDescent="0.15">
      <c r="A760">
        <v>7.56</v>
      </c>
      <c r="B760">
        <f t="shared" si="22"/>
        <v>0.54475205840309737</v>
      </c>
      <c r="C760">
        <f t="shared" si="23"/>
        <v>11.252069061499038</v>
      </c>
    </row>
    <row r="761" spans="1:3" x14ac:dyDescent="0.15">
      <c r="A761">
        <v>7.57</v>
      </c>
      <c r="B761">
        <f t="shared" si="22"/>
        <v>0.54406999120458299</v>
      </c>
      <c r="C761">
        <f t="shared" si="23"/>
        <v>11.140774288440555</v>
      </c>
    </row>
    <row r="762" spans="1:3" x14ac:dyDescent="0.15">
      <c r="A762">
        <v>7.58</v>
      </c>
      <c r="B762">
        <f t="shared" si="22"/>
        <v>0.54344933014750474</v>
      </c>
      <c r="C762">
        <f t="shared" si="23"/>
        <v>11.030578817749975</v>
      </c>
    </row>
    <row r="763" spans="1:3" x14ac:dyDescent="0.15">
      <c r="A763">
        <v>7.59</v>
      </c>
      <c r="B763">
        <f t="shared" si="22"/>
        <v>0.54288926277933436</v>
      </c>
      <c r="C763">
        <f t="shared" si="23"/>
        <v>10.921471941706404</v>
      </c>
    </row>
    <row r="764" spans="1:3" x14ac:dyDescent="0.15">
      <c r="A764">
        <v>7.6</v>
      </c>
      <c r="B764">
        <f t="shared" si="22"/>
        <v>0.54238900555622949</v>
      </c>
      <c r="C764">
        <f t="shared" si="23"/>
        <v>10.813443052259521</v>
      </c>
    </row>
    <row r="765" spans="1:3" x14ac:dyDescent="0.15">
      <c r="A765">
        <v>7.61</v>
      </c>
      <c r="B765">
        <f t="shared" si="22"/>
        <v>0.5419478029880378</v>
      </c>
      <c r="C765">
        <f t="shared" si="23"/>
        <v>10.706481640261677</v>
      </c>
    </row>
    <row r="766" spans="1:3" x14ac:dyDescent="0.15">
      <c r="A766">
        <v>7.62</v>
      </c>
      <c r="B766">
        <f t="shared" si="22"/>
        <v>0.54156492681524659</v>
      </c>
      <c r="C766">
        <f t="shared" si="23"/>
        <v>10.600577294699594</v>
      </c>
    </row>
    <row r="767" spans="1:3" x14ac:dyDescent="0.15">
      <c r="A767">
        <v>7.63</v>
      </c>
      <c r="B767">
        <f t="shared" si="22"/>
        <v>0.54123967521659566</v>
      </c>
      <c r="C767">
        <f t="shared" si="23"/>
        <v>10.495719701925958</v>
      </c>
    </row>
    <row r="768" spans="1:3" x14ac:dyDescent="0.15">
      <c r="A768">
        <v>7.64</v>
      </c>
      <c r="B768">
        <f t="shared" si="22"/>
        <v>0.54097137204612677</v>
      </c>
      <c r="C768">
        <f t="shared" si="23"/>
        <v>10.391898644891226</v>
      </c>
    </row>
    <row r="769" spans="1:3" x14ac:dyDescent="0.15">
      <c r="A769">
        <v>7.65</v>
      </c>
      <c r="B769">
        <f t="shared" si="22"/>
        <v>0.54075936609849695</v>
      </c>
      <c r="C769">
        <f t="shared" si="23"/>
        <v>10.289104002375932</v>
      </c>
    </row>
    <row r="770" spans="1:3" x14ac:dyDescent="0.15">
      <c r="A770">
        <v>7.66</v>
      </c>
      <c r="B770">
        <f t="shared" si="22"/>
        <v>0.54060303040143565</v>
      </c>
      <c r="C770">
        <f t="shared" si="23"/>
        <v>10.187325748223781</v>
      </c>
    </row>
    <row r="771" spans="1:3" x14ac:dyDescent="0.15">
      <c r="A771">
        <v>7.67</v>
      </c>
      <c r="B771">
        <f t="shared" si="22"/>
        <v>0.54050176153427365</v>
      </c>
      <c r="C771">
        <f t="shared" si="23"/>
        <v>10.086553950575778</v>
      </c>
    </row>
    <row r="772" spans="1:3" x14ac:dyDescent="0.15">
      <c r="A772">
        <v>7.68</v>
      </c>
      <c r="B772">
        <f t="shared" si="22"/>
        <v>0.54045497897151973</v>
      </c>
      <c r="C772">
        <f t="shared" si="23"/>
        <v>9.9867787711056408</v>
      </c>
    </row>
    <row r="773" spans="1:3" x14ac:dyDescent="0.15">
      <c r="A773">
        <v>7.6899999999999995</v>
      </c>
      <c r="B773">
        <f t="shared" si="22"/>
        <v>0.54046212445050379</v>
      </c>
      <c r="C773">
        <f t="shared" si="23"/>
        <v>9.8879904642567311</v>
      </c>
    </row>
    <row r="774" spans="1:3" x14ac:dyDescent="0.15">
      <c r="A774">
        <v>7.7</v>
      </c>
      <c r="B774">
        <f t="shared" ref="B774:B837" si="24">(1+($A$2-$B$2*C773)*$E$2)*B773</f>
        <v>0.54052266136215033</v>
      </c>
      <c r="C774">
        <f t="shared" ref="C774:C837" si="25">(1+($C$2*B773-$D$2)*$E$2)*C773</f>
        <v>9.7901793764807348</v>
      </c>
    </row>
    <row r="775" spans="1:3" x14ac:dyDescent="0.15">
      <c r="A775">
        <v>7.71</v>
      </c>
      <c r="B775">
        <f t="shared" si="24"/>
        <v>0.54063607416398363</v>
      </c>
      <c r="C775">
        <f t="shared" si="25"/>
        <v>9.6933359454782853</v>
      </c>
    </row>
    <row r="776" spans="1:3" x14ac:dyDescent="0.15">
      <c r="A776">
        <v>7.72</v>
      </c>
      <c r="B776">
        <f t="shared" si="24"/>
        <v>0.54080186781450745</v>
      </c>
      <c r="C776">
        <f t="shared" si="25"/>
        <v>9.5974506994417261</v>
      </c>
    </row>
    <row r="777" spans="1:3" x14ac:dyDescent="0.15">
      <c r="A777">
        <v>7.7299999999999995</v>
      </c>
      <c r="B777">
        <f t="shared" si="24"/>
        <v>0.54101956722813671</v>
      </c>
      <c r="C777">
        <f t="shared" si="25"/>
        <v>9.502514256300211</v>
      </c>
    </row>
    <row r="778" spans="1:3" x14ac:dyDescent="0.15">
      <c r="A778">
        <v>7.74</v>
      </c>
      <c r="B778">
        <f t="shared" si="24"/>
        <v>0.54128871674989532</v>
      </c>
      <c r="C778">
        <f t="shared" si="25"/>
        <v>9.4085173229673131</v>
      </c>
    </row>
    <row r="779" spans="1:3" x14ac:dyDescent="0.15">
      <c r="A779">
        <v>7.75</v>
      </c>
      <c r="B779">
        <f t="shared" si="24"/>
        <v>0.54160887964912618</v>
      </c>
      <c r="C779">
        <f t="shared" si="25"/>
        <v>9.3154506945912932</v>
      </c>
    </row>
    <row r="780" spans="1:3" x14ac:dyDescent="0.15">
      <c r="A780">
        <v>7.76</v>
      </c>
      <c r="B780">
        <f t="shared" si="24"/>
        <v>0.54197963763149315</v>
      </c>
      <c r="C780">
        <f t="shared" si="25"/>
        <v>9.2233052538082045</v>
      </c>
    </row>
    <row r="781" spans="1:3" x14ac:dyDescent="0.15">
      <c r="A781">
        <v>7.77</v>
      </c>
      <c r="B781">
        <f t="shared" si="24"/>
        <v>0.54240059036858446</v>
      </c>
      <c r="C781">
        <f t="shared" si="25"/>
        <v>9.132071969997968</v>
      </c>
    </row>
    <row r="782" spans="1:3" x14ac:dyDescent="0.15">
      <c r="A782">
        <v>7.78</v>
      </c>
      <c r="B782">
        <f t="shared" si="24"/>
        <v>0.54287135504445505</v>
      </c>
      <c r="C782">
        <f t="shared" si="25"/>
        <v>9.0417418985435507</v>
      </c>
    </row>
    <row r="783" spans="1:3" x14ac:dyDescent="0.15">
      <c r="A783">
        <v>7.79</v>
      </c>
      <c r="B783">
        <f t="shared" si="24"/>
        <v>0.54339156591847504</v>
      </c>
      <c r="C783">
        <f t="shared" si="25"/>
        <v>8.9523061800933998</v>
      </c>
    </row>
    <row r="784" spans="1:3" x14ac:dyDescent="0.15">
      <c r="A784">
        <v>7.8</v>
      </c>
      <c r="B784">
        <f t="shared" si="24"/>
        <v>0.54396087390387726</v>
      </c>
      <c r="C784">
        <f t="shared" si="25"/>
        <v>8.8637560398272228</v>
      </c>
    </row>
    <row r="785" spans="1:3" x14ac:dyDescent="0.15">
      <c r="A785">
        <v>7.81</v>
      </c>
      <c r="B785">
        <f t="shared" si="24"/>
        <v>0.54457894616142088</v>
      </c>
      <c r="C785">
        <f t="shared" si="25"/>
        <v>8.7760827867252491</v>
      </c>
    </row>
    <row r="786" spans="1:3" x14ac:dyDescent="0.15">
      <c r="A786">
        <v>7.82</v>
      </c>
      <c r="B786">
        <f t="shared" si="24"/>
        <v>0.54524546570761478</v>
      </c>
      <c r="C786">
        <f t="shared" si="25"/>
        <v>8.6892778128410804</v>
      </c>
    </row>
    <row r="787" spans="1:3" x14ac:dyDescent="0.15">
      <c r="A787">
        <v>7.83</v>
      </c>
      <c r="B787">
        <f t="shared" si="24"/>
        <v>0.5459601310369655</v>
      </c>
      <c r="C787">
        <f t="shared" si="25"/>
        <v>8.6033325925782158</v>
      </c>
    </row>
    <row r="788" spans="1:3" x14ac:dyDescent="0.15">
      <c r="A788">
        <v>7.84</v>
      </c>
      <c r="B788">
        <f t="shared" si="24"/>
        <v>0.54672265575773649</v>
      </c>
      <c r="C788">
        <f t="shared" si="25"/>
        <v>8.5182386819703542</v>
      </c>
    </row>
    <row r="789" spans="1:3" x14ac:dyDescent="0.15">
      <c r="A789">
        <v>7.85</v>
      </c>
      <c r="B789">
        <f t="shared" si="24"/>
        <v>0.54753276824072872</v>
      </c>
      <c r="C789">
        <f t="shared" si="25"/>
        <v>8.433987717965568</v>
      </c>
    </row>
    <row r="790" spans="1:3" x14ac:dyDescent="0.15">
      <c r="A790">
        <v>7.86</v>
      </c>
      <c r="B790">
        <f t="shared" si="24"/>
        <v>0.54839021128061005</v>
      </c>
      <c r="C790">
        <f t="shared" si="25"/>
        <v>8.3505714177144181</v>
      </c>
    </row>
    <row r="791" spans="1:3" x14ac:dyDescent="0.15">
      <c r="A791">
        <v>7.87</v>
      </c>
      <c r="B791">
        <f t="shared" si="24"/>
        <v>0.54929474176934201</v>
      </c>
      <c r="C791">
        <f t="shared" si="25"/>
        <v>8.2679815778620895</v>
      </c>
    </row>
    <row r="792" spans="1:3" x14ac:dyDescent="0.15">
      <c r="A792">
        <v>7.88</v>
      </c>
      <c r="B792">
        <f t="shared" si="24"/>
        <v>0.55024613038127002</v>
      </c>
      <c r="C792">
        <f t="shared" si="25"/>
        <v>8.186210073844622</v>
      </c>
    </row>
    <row r="793" spans="1:3" x14ac:dyDescent="0.15">
      <c r="A793">
        <v>7.89</v>
      </c>
      <c r="B793">
        <f t="shared" si="24"/>
        <v>0.55124416126946163</v>
      </c>
      <c r="C793">
        <f t="shared" si="25"/>
        <v>8.1052488591893006</v>
      </c>
    </row>
    <row r="794" spans="1:3" x14ac:dyDescent="0.15">
      <c r="A794">
        <v>7.9</v>
      </c>
      <c r="B794">
        <f t="shared" si="24"/>
        <v>0.55228863177289222</v>
      </c>
      <c r="C794">
        <f t="shared" si="25"/>
        <v>8.0250899648192604</v>
      </c>
    </row>
    <row r="795" spans="1:3" x14ac:dyDescent="0.15">
      <c r="A795">
        <v>7.91</v>
      </c>
      <c r="B795">
        <f t="shared" si="24"/>
        <v>0.55337935213409672</v>
      </c>
      <c r="C795">
        <f t="shared" si="25"/>
        <v>7.9457254983623722</v>
      </c>
    </row>
    <row r="796" spans="1:3" x14ac:dyDescent="0.15">
      <c r="A796">
        <v>7.92</v>
      </c>
      <c r="B796">
        <f t="shared" si="24"/>
        <v>0.55451614522691861</v>
      </c>
      <c r="C796">
        <f t="shared" si="25"/>
        <v>7.8671476434644516</v>
      </c>
    </row>
    <row r="797" spans="1:3" x14ac:dyDescent="0.15">
      <c r="A797">
        <v>7.93</v>
      </c>
      <c r="B797">
        <f t="shared" si="24"/>
        <v>0.5556988462940029</v>
      </c>
      <c r="C797">
        <f t="shared" si="25"/>
        <v>7.7893486591068442</v>
      </c>
    </row>
    <row r="798" spans="1:3" x14ac:dyDescent="0.15">
      <c r="A798">
        <v>7.94</v>
      </c>
      <c r="B798">
        <f t="shared" si="24"/>
        <v>0.5569273026936955</v>
      </c>
      <c r="C798">
        <f t="shared" si="25"/>
        <v>7.7123208789284252</v>
      </c>
    </row>
    <row r="799" spans="1:3" x14ac:dyDescent="0.15">
      <c r="A799">
        <v>7.95</v>
      </c>
      <c r="B799">
        <f t="shared" si="24"/>
        <v>0.55820137365602251</v>
      </c>
      <c r="C799">
        <f t="shared" si="25"/>
        <v>7.6360567105520634</v>
      </c>
    </row>
    <row r="800" spans="1:3" x14ac:dyDescent="0.15">
      <c r="A800">
        <v>7.96</v>
      </c>
      <c r="B800">
        <f t="shared" si="24"/>
        <v>0.5595209300474373</v>
      </c>
      <c r="C800">
        <f t="shared" si="25"/>
        <v>7.5605486349155715</v>
      </c>
    </row>
    <row r="801" spans="1:3" x14ac:dyDescent="0.15">
      <c r="A801">
        <v>7.97</v>
      </c>
      <c r="B801">
        <f t="shared" si="24"/>
        <v>0.56088585414403491</v>
      </c>
      <c r="C801">
        <f t="shared" si="25"/>
        <v>7.4857892056071913</v>
      </c>
    </row>
    <row r="802" spans="1:3" x14ac:dyDescent="0.15">
      <c r="A802">
        <v>7.9799999999999995</v>
      </c>
      <c r="B802">
        <f t="shared" si="24"/>
        <v>0.56229603941294604</v>
      </c>
      <c r="C802">
        <f t="shared" si="25"/>
        <v>7.4117710482056252</v>
      </c>
    </row>
    <row r="803" spans="1:3" x14ac:dyDescent="0.15">
      <c r="A803">
        <v>7.99</v>
      </c>
      <c r="B803">
        <f t="shared" si="24"/>
        <v>0.56375139030163401</v>
      </c>
      <c r="C803">
        <f t="shared" si="25"/>
        <v>7.3384868596246573</v>
      </c>
    </row>
    <row r="804" spans="1:3" x14ac:dyDescent="0.15">
      <c r="A804">
        <v>8</v>
      </c>
      <c r="B804">
        <f t="shared" si="24"/>
        <v>0.56525182203482671</v>
      </c>
      <c r="C804">
        <f t="shared" si="25"/>
        <v>7.2659294074623757</v>
      </c>
    </row>
    <row r="805" spans="1:3" x14ac:dyDescent="0.15">
      <c r="A805">
        <v>8.01</v>
      </c>
      <c r="B805">
        <f t="shared" si="24"/>
        <v>0.56679726041883038</v>
      </c>
      <c r="C805">
        <f t="shared" si="25"/>
        <v>7.1940915293550214</v>
      </c>
    </row>
    <row r="806" spans="1:3" x14ac:dyDescent="0.15">
      <c r="A806">
        <v>8.02</v>
      </c>
      <c r="B806">
        <f t="shared" si="24"/>
        <v>0.56838764165297784</v>
      </c>
      <c r="C806">
        <f t="shared" si="25"/>
        <v>7.1229661323354794</v>
      </c>
    </row>
    <row r="807" spans="1:3" x14ac:dyDescent="0.15">
      <c r="A807">
        <v>8.0299999999999994</v>
      </c>
      <c r="B807">
        <f t="shared" si="24"/>
        <v>0.5700229121479754</v>
      </c>
      <c r="C807">
        <f t="shared" si="25"/>
        <v>7.0525461921964308</v>
      </c>
    </row>
    <row r="808" spans="1:3" x14ac:dyDescent="0.15">
      <c r="A808">
        <v>8.0399999999999991</v>
      </c>
      <c r="B808">
        <f t="shared" si="24"/>
        <v>0.57170302835092124</v>
      </c>
      <c r="C808">
        <f t="shared" si="25"/>
        <v>6.9828247528581731</v>
      </c>
    </row>
    <row r="809" spans="1:3" x14ac:dyDescent="0.15">
      <c r="A809">
        <v>8.0500000000000007</v>
      </c>
      <c r="B809">
        <f t="shared" si="24"/>
        <v>0.57342795657677759</v>
      </c>
      <c r="C809">
        <f t="shared" si="25"/>
        <v>6.9137949257411213</v>
      </c>
    </row>
    <row r="810" spans="1:3" x14ac:dyDescent="0.15">
      <c r="A810">
        <v>8.06</v>
      </c>
      <c r="B810">
        <f t="shared" si="24"/>
        <v>0.57519767284608669</v>
      </c>
      <c r="C810">
        <f t="shared" si="25"/>
        <v>6.8454498891430013</v>
      </c>
    </row>
    <row r="811" spans="1:3" x14ac:dyDescent="0.15">
      <c r="A811">
        <v>8.07</v>
      </c>
      <c r="B811">
        <f t="shared" si="24"/>
        <v>0.57701216272872802</v>
      </c>
      <c r="C811">
        <f t="shared" si="25"/>
        <v>6.7777828876207353</v>
      </c>
    </row>
    <row r="812" spans="1:3" x14ac:dyDescent="0.15">
      <c r="A812">
        <v>8.08</v>
      </c>
      <c r="B812">
        <f t="shared" si="24"/>
        <v>0.57887142119352353</v>
      </c>
      <c r="C812">
        <f t="shared" si="25"/>
        <v>6.7107872313770258</v>
      </c>
    </row>
    <row r="813" spans="1:3" x14ac:dyDescent="0.15">
      <c r="A813">
        <v>8.09</v>
      </c>
      <c r="B813">
        <f t="shared" si="24"/>
        <v>0.58077545246350426</v>
      </c>
      <c r="C813">
        <f t="shared" si="25"/>
        <v>6.6444562956516462</v>
      </c>
    </row>
    <row r="814" spans="1:3" x14ac:dyDescent="0.15">
      <c r="A814">
        <v>8.1</v>
      </c>
      <c r="B814">
        <f t="shared" si="24"/>
        <v>0.58272426987665826</v>
      </c>
      <c r="C814">
        <f t="shared" si="25"/>
        <v>6.5787835201174261</v>
      </c>
    </row>
    <row r="815" spans="1:3" x14ac:dyDescent="0.15">
      <c r="A815">
        <v>8.11</v>
      </c>
      <c r="B815">
        <f t="shared" si="24"/>
        <v>0.58471789575198785</v>
      </c>
      <c r="C815">
        <f t="shared" si="25"/>
        <v>6.5137624082809396</v>
      </c>
    </row>
    <row r="816" spans="1:3" x14ac:dyDescent="0.15">
      <c r="A816">
        <v>8.1199999999999992</v>
      </c>
      <c r="B816">
        <f t="shared" si="24"/>
        <v>0.58675636126070929</v>
      </c>
      <c r="C816">
        <f t="shared" si="25"/>
        <v>6.4493865268878894</v>
      </c>
    </row>
    <row r="817" spans="1:3" x14ac:dyDescent="0.15">
      <c r="A817">
        <v>8.1300000000000008</v>
      </c>
      <c r="B817">
        <f t="shared" si="24"/>
        <v>0.58883970630243576</v>
      </c>
      <c r="C817">
        <f t="shared" si="25"/>
        <v>6.3856495053331859</v>
      </c>
    </row>
    <row r="818" spans="1:3" x14ac:dyDescent="0.15">
      <c r="A818">
        <v>8.14</v>
      </c>
      <c r="B818">
        <f t="shared" si="24"/>
        <v>0.5909679793861895</v>
      </c>
      <c r="C818">
        <f t="shared" si="25"/>
        <v>6.3225450350757084</v>
      </c>
    </row>
    <row r="819" spans="1:3" x14ac:dyDescent="0.15">
      <c r="A819">
        <v>8.15</v>
      </c>
      <c r="B819">
        <f t="shared" si="24"/>
        <v>0.5931412375160946</v>
      </c>
      <c r="C819">
        <f t="shared" si="25"/>
        <v>6.2600668690577432</v>
      </c>
    </row>
    <row r="820" spans="1:3" x14ac:dyDescent="0.15">
      <c r="A820">
        <v>8.16</v>
      </c>
      <c r="B820">
        <f t="shared" si="24"/>
        <v>0.59535954608160913</v>
      </c>
      <c r="C820">
        <f t="shared" si="25"/>
        <v>6.1982088211290947</v>
      </c>
    </row>
    <row r="821" spans="1:3" x14ac:dyDescent="0.15">
      <c r="A821">
        <v>8.17</v>
      </c>
      <c r="B821">
        <f t="shared" si="24"/>
        <v>0.59762297875215875</v>
      </c>
      <c r="C821">
        <f t="shared" si="25"/>
        <v>6.1369647654758568</v>
      </c>
    </row>
    <row r="822" spans="1:3" x14ac:dyDescent="0.15">
      <c r="A822">
        <v>8.18</v>
      </c>
      <c r="B822">
        <f t="shared" si="24"/>
        <v>0.59993161737603962</v>
      </c>
      <c r="C822">
        <f t="shared" si="25"/>
        <v>6.0763286360538267</v>
      </c>
    </row>
    <row r="823" spans="1:3" x14ac:dyDescent="0.15">
      <c r="A823">
        <v>8.19</v>
      </c>
      <c r="B823">
        <f t="shared" si="24"/>
        <v>0.60228555188346389</v>
      </c>
      <c r="C823">
        <f t="shared" si="25"/>
        <v>6.0162944260265556</v>
      </c>
    </row>
    <row r="824" spans="1:3" x14ac:dyDescent="0.15">
      <c r="A824">
        <v>8.1999999999999993</v>
      </c>
      <c r="B824">
        <f t="shared" si="24"/>
        <v>0.60468488019362576</v>
      </c>
      <c r="C824">
        <f t="shared" si="25"/>
        <v>5.9568561872080243</v>
      </c>
    </row>
    <row r="825" spans="1:3" x14ac:dyDescent="0.15">
      <c r="A825">
        <v>8.2099999999999991</v>
      </c>
      <c r="B825">
        <f t="shared" si="24"/>
        <v>0.60712970812566946</v>
      </c>
      <c r="C825">
        <f t="shared" si="25"/>
        <v>5.8980080295099224</v>
      </c>
    </row>
    <row r="826" spans="1:3" x14ac:dyDescent="0.15">
      <c r="A826">
        <v>8.2200000000000006</v>
      </c>
      <c r="B826">
        <f t="shared" si="24"/>
        <v>0.60962014931344699</v>
      </c>
      <c r="C826">
        <f t="shared" si="25"/>
        <v>5.8397441203935188</v>
      </c>
    </row>
    <row r="827" spans="1:3" x14ac:dyDescent="0.15">
      <c r="A827">
        <v>8.23</v>
      </c>
      <c r="B827">
        <f t="shared" si="24"/>
        <v>0.6121563251239549</v>
      </c>
      <c r="C827">
        <f t="shared" si="25"/>
        <v>5.7820586843261088</v>
      </c>
    </row>
    <row r="828" spans="1:3" x14ac:dyDescent="0.15">
      <c r="A828">
        <v>8.24</v>
      </c>
      <c r="B828">
        <f t="shared" si="24"/>
        <v>0.61473836457934639</v>
      </c>
      <c r="C828">
        <f t="shared" si="25"/>
        <v>5.7249460022420173</v>
      </c>
    </row>
    <row r="829" spans="1:3" x14ac:dyDescent="0.15">
      <c r="A829">
        <v>8.25</v>
      </c>
      <c r="B829">
        <f t="shared" si="24"/>
        <v>0.61736640428241663</v>
      </c>
      <c r="C829">
        <f t="shared" si="25"/>
        <v>5.6684004110081414</v>
      </c>
    </row>
    <row r="830" spans="1:3" x14ac:dyDescent="0.15">
      <c r="A830">
        <v>8.26</v>
      </c>
      <c r="B830">
        <f t="shared" si="24"/>
        <v>0.62004058834546372</v>
      </c>
      <c r="C830">
        <f t="shared" si="25"/>
        <v>5.6124163028940153</v>
      </c>
    </row>
    <row r="831" spans="1:3" x14ac:dyDescent="0.15">
      <c r="A831">
        <v>8.27</v>
      </c>
      <c r="B831">
        <f t="shared" si="24"/>
        <v>0.62276106832243228</v>
      </c>
      <c r="C831">
        <f t="shared" si="25"/>
        <v>5.556988125046372</v>
      </c>
    </row>
    <row r="832" spans="1:3" x14ac:dyDescent="0.15">
      <c r="A832">
        <v>8.2799999999999994</v>
      </c>
      <c r="B832">
        <f t="shared" si="24"/>
        <v>0.62552800314424772</v>
      </c>
      <c r="C832">
        <f t="shared" si="25"/>
        <v>5.5021103789681902</v>
      </c>
    </row>
    <row r="833" spans="1:3" x14ac:dyDescent="0.15">
      <c r="A833">
        <v>8.2899999999999991</v>
      </c>
      <c r="B833">
        <f t="shared" si="24"/>
        <v>0.62834155905725497</v>
      </c>
      <c r="C833">
        <f t="shared" si="25"/>
        <v>5.4477776200021957</v>
      </c>
    </row>
    <row r="834" spans="1:3" x14ac:dyDescent="0.15">
      <c r="A834">
        <v>8.3000000000000007</v>
      </c>
      <c r="B834">
        <f t="shared" si="24"/>
        <v>0.63120190956467814</v>
      </c>
      <c r="C834">
        <f t="shared" si="25"/>
        <v>5.3939844568188038</v>
      </c>
    </row>
    <row r="835" spans="1:3" x14ac:dyDescent="0.15">
      <c r="A835">
        <v>8.31</v>
      </c>
      <c r="B835">
        <f t="shared" si="24"/>
        <v>0.63410923537101882</v>
      </c>
      <c r="C835">
        <f t="shared" si="25"/>
        <v>5.340725550908477</v>
      </c>
    </row>
    <row r="836" spans="1:3" x14ac:dyDescent="0.15">
      <c r="A836">
        <v>8.32</v>
      </c>
      <c r="B836">
        <f t="shared" si="24"/>
        <v>0.63706372432931591</v>
      </c>
      <c r="C836">
        <f t="shared" si="25"/>
        <v>5.2879956160784749</v>
      </c>
    </row>
    <row r="837" spans="1:3" x14ac:dyDescent="0.15">
      <c r="A837">
        <v>8.33</v>
      </c>
      <c r="B837">
        <f t="shared" si="24"/>
        <v>0.64006557139119302</v>
      </c>
      <c r="C837">
        <f t="shared" si="25"/>
        <v>5.2357894179539732</v>
      </c>
    </row>
    <row r="838" spans="1:3" x14ac:dyDescent="0.15">
      <c r="A838">
        <v>8.34</v>
      </c>
      <c r="B838">
        <f t="shared" ref="B838:B901" si="26">(1+($A$2-$B$2*C837)*$E$2)*B837</f>
        <v>0.6431149785596183</v>
      </c>
      <c r="C838">
        <f t="shared" ref="C838:C901" si="27">(1+($C$2*B837-$D$2)*$E$2)*C837</f>
        <v>5.1841017734835306</v>
      </c>
    </row>
    <row r="839" spans="1:3" x14ac:dyDescent="0.15">
      <c r="A839">
        <v>8.35</v>
      </c>
      <c r="B839">
        <f t="shared" si="26"/>
        <v>0.64621215484430972</v>
      </c>
      <c r="C839">
        <f t="shared" si="27"/>
        <v>5.1329275504488763</v>
      </c>
    </row>
    <row r="840" spans="1:3" x14ac:dyDescent="0.15">
      <c r="A840">
        <v>8.36</v>
      </c>
      <c r="B840">
        <f t="shared" si="26"/>
        <v>0.6493573162197176</v>
      </c>
      <c r="C840">
        <f t="shared" si="27"/>
        <v>5.0822616669789946</v>
      </c>
    </row>
    <row r="841" spans="1:3" x14ac:dyDescent="0.15">
      <c r="A841">
        <v>8.3699999999999992</v>
      </c>
      <c r="B841">
        <f t="shared" si="26"/>
        <v>0.65255068558551899</v>
      </c>
      <c r="C841">
        <f t="shared" si="27"/>
        <v>5.032099091068484</v>
      </c>
    </row>
    <row r="842" spans="1:3" x14ac:dyDescent="0.15">
      <c r="A842">
        <v>8.3800000000000008</v>
      </c>
      <c r="B842">
        <f t="shared" si="26"/>
        <v>0.65579249272956319</v>
      </c>
      <c r="C842">
        <f t="shared" si="27"/>
        <v>4.9824348401001615</v>
      </c>
    </row>
    <row r="843" spans="1:3" x14ac:dyDescent="0.15">
      <c r="A843">
        <v>8.39</v>
      </c>
      <c r="B843">
        <f t="shared" si="26"/>
        <v>0.65908297429320695</v>
      </c>
      <c r="C843">
        <f t="shared" si="27"/>
        <v>4.9332639803718905</v>
      </c>
    </row>
    <row r="844" spans="1:3" x14ac:dyDescent="0.15">
      <c r="A844">
        <v>8.4</v>
      </c>
      <c r="B844">
        <f t="shared" si="26"/>
        <v>0.66242237373898194</v>
      </c>
      <c r="C844">
        <f t="shared" si="27"/>
        <v>4.884581626627603</v>
      </c>
    </row>
    <row r="845" spans="1:3" x14ac:dyDescent="0.15">
      <c r="A845">
        <v>8.41</v>
      </c>
      <c r="B845">
        <f t="shared" si="26"/>
        <v>0.66581094132053931</v>
      </c>
      <c r="C845">
        <f t="shared" si="27"/>
        <v>4.8363829415924933</v>
      </c>
    </row>
    <row r="846" spans="1:3" x14ac:dyDescent="0.15">
      <c r="A846">
        <v>8.42</v>
      </c>
      <c r="B846">
        <f t="shared" si="26"/>
        <v>0.66924893405481645</v>
      </c>
      <c r="C846">
        <f t="shared" si="27"/>
        <v>4.7886631355123539</v>
      </c>
    </row>
    <row r="847" spans="1:3" x14ac:dyDescent="0.15">
      <c r="A847">
        <v>8.43</v>
      </c>
      <c r="B847">
        <f t="shared" si="26"/>
        <v>0.67273661569637544</v>
      </c>
      <c r="C847">
        <f t="shared" si="27"/>
        <v>4.7414174656970278</v>
      </c>
    </row>
    <row r="848" spans="1:3" x14ac:dyDescent="0.15">
      <c r="A848">
        <v>8.44</v>
      </c>
      <c r="B848">
        <f t="shared" si="26"/>
        <v>0.67627425671386254</v>
      </c>
      <c r="C848">
        <f t="shared" si="27"/>
        <v>4.6946412360679535</v>
      </c>
    </row>
    <row r="849" spans="1:3" x14ac:dyDescent="0.15">
      <c r="A849">
        <v>8.4499999999999993</v>
      </c>
      <c r="B849">
        <f t="shared" si="26"/>
        <v>0.67986213426854103</v>
      </c>
      <c r="C849">
        <f t="shared" si="27"/>
        <v>4.6483297967097661</v>
      </c>
    </row>
    <row r="850" spans="1:3" x14ac:dyDescent="0.15">
      <c r="A850">
        <v>8.4599999999999991</v>
      </c>
      <c r="B850">
        <f t="shared" si="26"/>
        <v>0.6835005321948513</v>
      </c>
      <c r="C850">
        <f t="shared" si="27"/>
        <v>4.602478543425943</v>
      </c>
    </row>
    <row r="851" spans="1:3" x14ac:dyDescent="0.15">
      <c r="A851">
        <v>8.4700000000000006</v>
      </c>
      <c r="B851">
        <f t="shared" si="26"/>
        <v>0.68718974098295271</v>
      </c>
      <c r="C851">
        <f t="shared" si="27"/>
        <v>4.5570829172984526</v>
      </c>
    </row>
    <row r="852" spans="1:3" x14ac:dyDescent="0.15">
      <c r="A852">
        <v>8.48</v>
      </c>
      <c r="B852">
        <f t="shared" si="26"/>
        <v>0.69093005776320604</v>
      </c>
      <c r="C852">
        <f t="shared" si="27"/>
        <v>4.5121384042513837</v>
      </c>
    </row>
    <row r="853" spans="1:3" x14ac:dyDescent="0.15">
      <c r="A853">
        <v>8.49</v>
      </c>
      <c r="B853">
        <f t="shared" si="26"/>
        <v>0.6947217862925531</v>
      </c>
      <c r="C853">
        <f t="shared" si="27"/>
        <v>4.4676405346185266</v>
      </c>
    </row>
    <row r="854" spans="1:3" x14ac:dyDescent="0.15">
      <c r="A854">
        <v>8.5</v>
      </c>
      <c r="B854">
        <f t="shared" si="26"/>
        <v>0.69856523694275552</v>
      </c>
      <c r="C854">
        <f t="shared" si="27"/>
        <v>4.423584882714886</v>
      </c>
    </row>
    <row r="855" spans="1:3" x14ac:dyDescent="0.15">
      <c r="A855">
        <v>8.51</v>
      </c>
      <c r="B855">
        <f t="shared" si="26"/>
        <v>0.7024607266904529</v>
      </c>
      <c r="C855">
        <f t="shared" si="27"/>
        <v>4.3799670664120836</v>
      </c>
    </row>
    <row r="856" spans="1:3" x14ac:dyDescent="0.15">
      <c r="A856">
        <v>8.52</v>
      </c>
      <c r="B856">
        <f t="shared" si="26"/>
        <v>0.70640857910900523</v>
      </c>
      <c r="C856">
        <f t="shared" si="27"/>
        <v>4.336782746717633</v>
      </c>
    </row>
    <row r="857" spans="1:3" x14ac:dyDescent="0.15">
      <c r="A857">
        <v>8.5299999999999994</v>
      </c>
      <c r="B857">
        <f t="shared" si="26"/>
        <v>0.71040912436208203</v>
      </c>
      <c r="C857">
        <f t="shared" si="27"/>
        <v>4.2940276273580595</v>
      </c>
    </row>
    <row r="858" spans="1:3" x14ac:dyDescent="0.15">
      <c r="A858">
        <v>8.5399999999999991</v>
      </c>
      <c r="B858">
        <f t="shared" si="26"/>
        <v>0.71446269919896488</v>
      </c>
      <c r="C858">
        <f t="shared" si="27"/>
        <v>4.2516974543658268</v>
      </c>
    </row>
    <row r="859" spans="1:3" x14ac:dyDescent="0.15">
      <c r="A859">
        <v>8.5500000000000007</v>
      </c>
      <c r="B859">
        <f t="shared" si="26"/>
        <v>0.71856964695153092</v>
      </c>
      <c r="C859">
        <f t="shared" si="27"/>
        <v>4.2097880156700533</v>
      </c>
    </row>
    <row r="860" spans="1:3" x14ac:dyDescent="0.15">
      <c r="A860">
        <v>8.56</v>
      </c>
      <c r="B860">
        <f t="shared" si="26"/>
        <v>0.72273031753288552</v>
      </c>
      <c r="C860">
        <f t="shared" si="27"/>
        <v>4.1682951406909847</v>
      </c>
    </row>
    <row r="861" spans="1:3" x14ac:dyDescent="0.15">
      <c r="A861">
        <v>8.57</v>
      </c>
      <c r="B861">
        <f t="shared" si="26"/>
        <v>0.726945067437612</v>
      </c>
      <c r="C861">
        <f t="shared" si="27"/>
        <v>4.1272146999381949</v>
      </c>
    </row>
    <row r="862" spans="1:3" x14ac:dyDescent="0.15">
      <c r="A862">
        <v>8.58</v>
      </c>
      <c r="B862">
        <f t="shared" si="26"/>
        <v>0.73121425974361198</v>
      </c>
      <c r="C862">
        <f t="shared" si="27"/>
        <v>4.0865426046124878</v>
      </c>
    </row>
    <row r="863" spans="1:3" x14ac:dyDescent="0.15">
      <c r="A863">
        <v>8.59</v>
      </c>
      <c r="B863">
        <f t="shared" si="26"/>
        <v>0.7355382641155056</v>
      </c>
      <c r="C863">
        <f t="shared" si="27"/>
        <v>4.0462748062114713</v>
      </c>
    </row>
    <row r="864" spans="1:3" x14ac:dyDescent="0.15">
      <c r="A864">
        <v>8.6</v>
      </c>
      <c r="B864">
        <f t="shared" si="26"/>
        <v>0.73991745680956555</v>
      </c>
      <c r="C864">
        <f t="shared" si="27"/>
        <v>4.006407296138776</v>
      </c>
    </row>
    <row r="865" spans="1:3" x14ac:dyDescent="0.15">
      <c r="A865">
        <v>8.61</v>
      </c>
      <c r="B865">
        <f t="shared" si="26"/>
        <v>0.74435222068015894</v>
      </c>
      <c r="C865">
        <f t="shared" si="27"/>
        <v>3.9669361053168886</v>
      </c>
    </row>
    <row r="866" spans="1:3" x14ac:dyDescent="0.15">
      <c r="A866">
        <v>8.6199999999999992</v>
      </c>
      <c r="B866">
        <f t="shared" si="26"/>
        <v>0.74884294518767158</v>
      </c>
      <c r="C866">
        <f t="shared" si="27"/>
        <v>3.9278573038035773</v>
      </c>
    </row>
    <row r="867" spans="1:3" x14ac:dyDescent="0.15">
      <c r="A867">
        <v>8.6300000000000008</v>
      </c>
      <c r="B867">
        <f t="shared" si="26"/>
        <v>0.75339002640789121</v>
      </c>
      <c r="C867">
        <f t="shared" si="27"/>
        <v>3.8891670004118732</v>
      </c>
    </row>
    <row r="868" spans="1:3" x14ac:dyDescent="0.15">
      <c r="A868">
        <v>8.64</v>
      </c>
      <c r="B868">
        <f t="shared" si="26"/>
        <v>0.75799386704282501</v>
      </c>
      <c r="C868">
        <f t="shared" si="27"/>
        <v>3.8508613423335833</v>
      </c>
    </row>
    <row r="869" spans="1:3" x14ac:dyDescent="0.15">
      <c r="A869">
        <v>8.65</v>
      </c>
      <c r="B869">
        <f t="shared" si="26"/>
        <v>0.76265487643293206</v>
      </c>
      <c r="C869">
        <f t="shared" si="27"/>
        <v>3.8129365147663115</v>
      </c>
    </row>
    <row r="870" spans="1:3" x14ac:dyDescent="0.15">
      <c r="A870">
        <v>8.66</v>
      </c>
      <c r="B870">
        <f t="shared" si="26"/>
        <v>0.76737347057074567</v>
      </c>
      <c r="C870">
        <f t="shared" si="27"/>
        <v>3.7753887405439515</v>
      </c>
    </row>
    <row r="871" spans="1:3" x14ac:dyDescent="0.15">
      <c r="A871">
        <v>8.67</v>
      </c>
      <c r="B871">
        <f t="shared" si="26"/>
        <v>0.77215007211586817</v>
      </c>
      <c r="C871">
        <f t="shared" si="27"/>
        <v>3.738214279770629</v>
      </c>
    </row>
    <row r="872" spans="1:3" x14ac:dyDescent="0.15">
      <c r="A872">
        <v>8.68</v>
      </c>
      <c r="B872">
        <f t="shared" si="26"/>
        <v>0.77698511041131746</v>
      </c>
      <c r="C872">
        <f t="shared" si="27"/>
        <v>3.7014094294580646</v>
      </c>
    </row>
    <row r="873" spans="1:3" x14ac:dyDescent="0.15">
      <c r="A873">
        <v>8.69</v>
      </c>
      <c r="B873">
        <f t="shared" si="26"/>
        <v>0.7818790215012057</v>
      </c>
      <c r="C873">
        <f t="shared" si="27"/>
        <v>3.6649705231663288</v>
      </c>
    </row>
    <row r="874" spans="1:3" x14ac:dyDescent="0.15">
      <c r="A874">
        <v>8.6999999999999993</v>
      </c>
      <c r="B874">
        <f t="shared" si="26"/>
        <v>0.78683224814973363</v>
      </c>
      <c r="C874">
        <f t="shared" si="27"/>
        <v>3.6288939306479624</v>
      </c>
    </row>
    <row r="875" spans="1:3" x14ac:dyDescent="0.15">
      <c r="A875">
        <v>8.7100000000000009</v>
      </c>
      <c r="B875">
        <f t="shared" si="26"/>
        <v>0.79184523986148236</v>
      </c>
      <c r="C875">
        <f t="shared" si="27"/>
        <v>3.5931760574954326</v>
      </c>
    </row>
    <row r="876" spans="1:3" x14ac:dyDescent="0.15">
      <c r="A876">
        <v>8.7200000000000006</v>
      </c>
      <c r="B876">
        <f t="shared" si="26"/>
        <v>0.79691845290298524</v>
      </c>
      <c r="C876">
        <f t="shared" si="27"/>
        <v>3.5578133447919007</v>
      </c>
    </row>
    <row r="877" spans="1:3" x14ac:dyDescent="0.15">
      <c r="A877">
        <v>8.73</v>
      </c>
      <c r="B877">
        <f t="shared" si="26"/>
        <v>0.80205235032556588</v>
      </c>
      <c r="C877">
        <f t="shared" si="27"/>
        <v>3.5228022687652718</v>
      </c>
    </row>
    <row r="878" spans="1:3" x14ac:dyDescent="0.15">
      <c r="A878">
        <v>8.74</v>
      </c>
      <c r="B878">
        <f t="shared" si="26"/>
        <v>0.80724740198942613</v>
      </c>
      <c r="C878">
        <f t="shared" si="27"/>
        <v>3.4881393404454979</v>
      </c>
    </row>
    <row r="879" spans="1:3" x14ac:dyDescent="0.15">
      <c r="A879">
        <v>8.75</v>
      </c>
      <c r="B879">
        <f t="shared" si="26"/>
        <v>0.81250408458896861</v>
      </c>
      <c r="C879">
        <f t="shared" si="27"/>
        <v>3.4538211053251131</v>
      </c>
    </row>
    <row r="880" spans="1:3" x14ac:dyDescent="0.15">
      <c r="A880">
        <v>8.76</v>
      </c>
      <c r="B880">
        <f t="shared" si="26"/>
        <v>0.81782288167934203</v>
      </c>
      <c r="C880">
        <f t="shared" si="27"/>
        <v>3.4198441430229654</v>
      </c>
    </row>
    <row r="881" spans="1:3" x14ac:dyDescent="0.15">
      <c r="A881">
        <v>8.77</v>
      </c>
      <c r="B881">
        <f t="shared" si="26"/>
        <v>0.8232042837041943</v>
      </c>
      <c r="C881">
        <f t="shared" si="27"/>
        <v>3.3862050669511241</v>
      </c>
    </row>
    <row r="882" spans="1:3" x14ac:dyDescent="0.15">
      <c r="A882">
        <v>8.7799999999999994</v>
      </c>
      <c r="B882">
        <f t="shared" si="26"/>
        <v>0.82864878802462127</v>
      </c>
      <c r="C882">
        <f t="shared" si="27"/>
        <v>3.3529005239849359</v>
      </c>
    </row>
    <row r="883" spans="1:3" x14ac:dyDescent="0.15">
      <c r="A883">
        <v>8.7899999999999991</v>
      </c>
      <c r="B883">
        <f t="shared" si="26"/>
        <v>0.83415689894930023</v>
      </c>
      <c r="C883">
        <f t="shared" si="27"/>
        <v>3.3199271941362003</v>
      </c>
    </row>
    <row r="884" spans="1:3" x14ac:dyDescent="0.15">
      <c r="A884">
        <v>8.8000000000000007</v>
      </c>
      <c r="B884">
        <f t="shared" si="26"/>
        <v>0.83972912776579511</v>
      </c>
      <c r="C884">
        <f t="shared" si="27"/>
        <v>3.287281790229438</v>
      </c>
    </row>
    <row r="885" spans="1:3" x14ac:dyDescent="0.15">
      <c r="A885">
        <v>8.81</v>
      </c>
      <c r="B885">
        <f t="shared" si="26"/>
        <v>0.84536599277302338</v>
      </c>
      <c r="C885">
        <f t="shared" si="27"/>
        <v>3.2549610575812293</v>
      </c>
    </row>
    <row r="886" spans="1:3" x14ac:dyDescent="0.15">
      <c r="A886">
        <v>8.82</v>
      </c>
      <c r="B886">
        <f t="shared" si="26"/>
        <v>0.85106801931487397</v>
      </c>
      <c r="C886">
        <f t="shared" si="27"/>
        <v>3.2229617736825928</v>
      </c>
    </row>
    <row r="887" spans="1:3" x14ac:dyDescent="0.15">
      <c r="A887">
        <v>8.83</v>
      </c>
      <c r="B887">
        <f t="shared" si="26"/>
        <v>0.85683573981496719</v>
      </c>
      <c r="C887">
        <f t="shared" si="27"/>
        <v>3.1912807478843779</v>
      </c>
    </row>
    <row r="888" spans="1:3" x14ac:dyDescent="0.15">
      <c r="A888">
        <v>8.84</v>
      </c>
      <c r="B888">
        <f t="shared" si="26"/>
        <v>0.86266969381254599</v>
      </c>
      <c r="C888">
        <f t="shared" si="27"/>
        <v>3.159914821085648</v>
      </c>
    </row>
    <row r="889" spans="1:3" x14ac:dyDescent="0.15">
      <c r="A889">
        <v>8.85</v>
      </c>
      <c r="B889">
        <f t="shared" si="26"/>
        <v>0.86857042799949169</v>
      </c>
      <c r="C889">
        <f t="shared" si="27"/>
        <v>3.1288608654250272</v>
      </c>
    </row>
    <row r="890" spans="1:3" x14ac:dyDescent="0.15">
      <c r="A890">
        <v>8.86</v>
      </c>
      <c r="B890">
        <f t="shared" si="26"/>
        <v>0.87453849625845359</v>
      </c>
      <c r="C890">
        <f t="shared" si="27"/>
        <v>3.0981157839749836</v>
      </c>
    </row>
    <row r="891" spans="1:3" x14ac:dyDescent="0.15">
      <c r="A891">
        <v>8.8699999999999992</v>
      </c>
      <c r="B891">
        <f t="shared" si="26"/>
        <v>0.88057445970208614</v>
      </c>
      <c r="C891">
        <f t="shared" si="27"/>
        <v>3.067676510439024</v>
      </c>
    </row>
    <row r="892" spans="1:3" x14ac:dyDescent="0.15">
      <c r="A892">
        <v>8.8800000000000008</v>
      </c>
      <c r="B892">
        <f t="shared" si="26"/>
        <v>0.88667888671338646</v>
      </c>
      <c r="C892">
        <f t="shared" si="27"/>
        <v>3.0375400088517779</v>
      </c>
    </row>
    <row r="893" spans="1:3" x14ac:dyDescent="0.15">
      <c r="A893">
        <v>8.89</v>
      </c>
      <c r="B893">
        <f t="shared" si="26"/>
        <v>0.89285235298712429</v>
      </c>
      <c r="C893">
        <f t="shared" si="27"/>
        <v>3.0077032732819395</v>
      </c>
    </row>
    <row r="894" spans="1:3" x14ac:dyDescent="0.15">
      <c r="A894">
        <v>8.9</v>
      </c>
      <c r="B894">
        <f t="shared" si="26"/>
        <v>0.89909544157235854</v>
      </c>
      <c r="C894">
        <f t="shared" si="27"/>
        <v>2.9781633275380477</v>
      </c>
    </row>
    <row r="895" spans="1:3" x14ac:dyDescent="0.15">
      <c r="A895">
        <v>8.91</v>
      </c>
      <c r="B895">
        <f t="shared" si="26"/>
        <v>0.90540874291603468</v>
      </c>
      <c r="C895">
        <f t="shared" si="27"/>
        <v>2.9489172248770767</v>
      </c>
    </row>
    <row r="896" spans="1:3" x14ac:dyDescent="0.15">
      <c r="A896">
        <v>8.92</v>
      </c>
      <c r="B896">
        <f t="shared" si="26"/>
        <v>0.9117928549076556</v>
      </c>
      <c r="C896">
        <f t="shared" si="27"/>
        <v>2.9199620477158139</v>
      </c>
    </row>
    <row r="897" spans="1:3" x14ac:dyDescent="0.15">
      <c r="A897">
        <v>8.93</v>
      </c>
      <c r="B897">
        <f t="shared" si="26"/>
        <v>0.91824838292502331</v>
      </c>
      <c r="C897">
        <f t="shared" si="27"/>
        <v>2.8912949073449976</v>
      </c>
    </row>
    <row r="898" spans="1:3" x14ac:dyDescent="0.15">
      <c r="A898">
        <v>8.94</v>
      </c>
      <c r="B898">
        <f t="shared" si="26"/>
        <v>0.92477593988104467</v>
      </c>
      <c r="C898">
        <f t="shared" si="27"/>
        <v>2.8629129436461933</v>
      </c>
    </row>
    <row r="899" spans="1:3" x14ac:dyDescent="0.15">
      <c r="A899">
        <v>8.9499999999999993</v>
      </c>
      <c r="B899">
        <f t="shared" si="26"/>
        <v>0.93137614627159715</v>
      </c>
      <c r="C899">
        <f t="shared" si="27"/>
        <v>2.8348133248113832</v>
      </c>
    </row>
    <row r="900" spans="1:3" x14ac:dyDescent="0.15">
      <c r="A900">
        <v>8.9600000000000009</v>
      </c>
      <c r="B900">
        <f t="shared" si="26"/>
        <v>0.93804963022445098</v>
      </c>
      <c r="C900">
        <f t="shared" si="27"/>
        <v>2.8069932470652414</v>
      </c>
    </row>
    <row r="901" spans="1:3" x14ac:dyDescent="0.15">
      <c r="A901">
        <v>8.9700000000000006</v>
      </c>
      <c r="B901">
        <f t="shared" si="26"/>
        <v>0.94479702754924333</v>
      </c>
      <c r="C901">
        <f t="shared" si="27"/>
        <v>2.7794499343900796</v>
      </c>
    </row>
    <row r="902" spans="1:3" x14ac:dyDescent="0.15">
      <c r="A902">
        <v>8.98</v>
      </c>
      <c r="B902">
        <f t="shared" ref="B902:B965" si="28">(1+($A$2-$B$2*C901)*$E$2)*B901</f>
        <v>0.95161898178850213</v>
      </c>
      <c r="C902">
        <f t="shared" ref="C902:C965" si="29">(1+($C$2*B901-$D$2)*$E$2)*C901</f>
        <v>2.7521806382534257</v>
      </c>
    </row>
    <row r="903" spans="1:3" x14ac:dyDescent="0.15">
      <c r="A903">
        <v>8.99</v>
      </c>
      <c r="B903">
        <f t="shared" si="28"/>
        <v>0.95851614426971454</v>
      </c>
      <c r="C903">
        <f t="shared" si="29"/>
        <v>2.725182637338226</v>
      </c>
    </row>
    <row r="904" spans="1:3" x14ac:dyDescent="0.15">
      <c r="A904">
        <v>9</v>
      </c>
      <c r="B904">
        <f t="shared" si="28"/>
        <v>0.96548917415843949</v>
      </c>
      <c r="C904">
        <f t="shared" si="29"/>
        <v>2.698453237275638</v>
      </c>
    </row>
    <row r="905" spans="1:3" x14ac:dyDescent="0.15">
      <c r="A905">
        <v>9.01</v>
      </c>
      <c r="B905">
        <f t="shared" si="28"/>
        <v>0.97253873851246153</v>
      </c>
      <c r="C905">
        <f t="shared" si="29"/>
        <v>2.6719897703803941</v>
      </c>
    </row>
    <row r="906" spans="1:3" x14ac:dyDescent="0.15">
      <c r="A906">
        <v>9.02</v>
      </c>
      <c r="B906">
        <f t="shared" si="28"/>
        <v>0.97966551233698218</v>
      </c>
      <c r="C906">
        <f t="shared" si="29"/>
        <v>2.6457895953887109</v>
      </c>
    </row>
    <row r="907" spans="1:3" x14ac:dyDescent="0.15">
      <c r="A907">
        <v>9.0299999999999994</v>
      </c>
      <c r="B907">
        <f t="shared" si="28"/>
        <v>0.98687017864084969</v>
      </c>
      <c r="C907">
        <f t="shared" si="29"/>
        <v>2.6198500971987246</v>
      </c>
    </row>
    <row r="908" spans="1:3" x14ac:dyDescent="0.15">
      <c r="A908">
        <v>9.0399999999999991</v>
      </c>
      <c r="B908">
        <f t="shared" si="28"/>
        <v>0.99415342849382338</v>
      </c>
      <c r="C908">
        <f t="shared" si="29"/>
        <v>2.5941686866134241</v>
      </c>
    </row>
    <row r="909" spans="1:3" x14ac:dyDescent="0.15">
      <c r="A909">
        <v>9.0500000000000007</v>
      </c>
      <c r="B909">
        <f t="shared" si="28"/>
        <v>1.0015159610848736</v>
      </c>
      <c r="C909">
        <f t="shared" si="29"/>
        <v>2.5687428000860675</v>
      </c>
    </row>
    <row r="910" spans="1:3" x14ac:dyDescent="0.15">
      <c r="A910">
        <v>9.06</v>
      </c>
      <c r="B910">
        <f t="shared" si="28"/>
        <v>1.0089584837815144</v>
      </c>
      <c r="C910">
        <f t="shared" si="29"/>
        <v>2.5435698994680482</v>
      </c>
    </row>
    <row r="911" spans="1:3" x14ac:dyDescent="0.15">
      <c r="A911">
        <v>9.07</v>
      </c>
      <c r="B911">
        <f t="shared" si="28"/>
        <v>1.0164817121901699</v>
      </c>
      <c r="C911">
        <f t="shared" si="29"/>
        <v>2.5186474717591998</v>
      </c>
    </row>
    <row r="912" spans="1:3" x14ac:dyDescent="0.15">
      <c r="A912">
        <v>9.08</v>
      </c>
      <c r="B912">
        <f t="shared" si="28"/>
        <v>1.0240863702175744</v>
      </c>
      <c r="C912">
        <f t="shared" si="29"/>
        <v>2.4939730288605073</v>
      </c>
    </row>
    <row r="913" spans="1:3" x14ac:dyDescent="0.15">
      <c r="A913">
        <v>9.09</v>
      </c>
      <c r="B913">
        <f t="shared" si="28"/>
        <v>1.0317731901332039</v>
      </c>
      <c r="C913">
        <f t="shared" si="29"/>
        <v>2.4695441073292117</v>
      </c>
    </row>
    <row r="914" spans="1:3" x14ac:dyDescent="0.15">
      <c r="A914">
        <v>9.1</v>
      </c>
      <c r="B914">
        <f t="shared" si="28"/>
        <v>1.0395429126327422</v>
      </c>
      <c r="C914">
        <f t="shared" si="29"/>
        <v>2.4453582681362782</v>
      </c>
    </row>
    <row r="915" spans="1:3" x14ac:dyDescent="0.15">
      <c r="A915">
        <v>9.11</v>
      </c>
      <c r="B915">
        <f t="shared" si="28"/>
        <v>1.0473962869025808</v>
      </c>
      <c r="C915">
        <f t="shared" si="29"/>
        <v>2.4214130964262131</v>
      </c>
    </row>
    <row r="916" spans="1:3" x14ac:dyDescent="0.15">
      <c r="A916">
        <v>9.1199999999999992</v>
      </c>
      <c r="B916">
        <f t="shared" si="28"/>
        <v>1.0553340706853525</v>
      </c>
      <c r="C916">
        <f t="shared" si="29"/>
        <v>2.3977062012792016</v>
      </c>
    </row>
    <row r="917" spans="1:3" x14ac:dyDescent="0.15">
      <c r="A917">
        <v>9.1300000000000008</v>
      </c>
      <c r="B917">
        <f t="shared" si="28"/>
        <v>1.0633570303465025</v>
      </c>
      <c r="C917">
        <f t="shared" si="29"/>
        <v>2.3742352154755504</v>
      </c>
    </row>
    <row r="918" spans="1:3" x14ac:dyDescent="0.15">
      <c r="A918">
        <v>9.14</v>
      </c>
      <c r="B918">
        <f t="shared" si="28"/>
        <v>1.0714659409418954</v>
      </c>
      <c r="C918">
        <f t="shared" si="29"/>
        <v>2.3509977952624093</v>
      </c>
    </row>
    <row r="919" spans="1:3" x14ac:dyDescent="0.15">
      <c r="A919">
        <v>9.15</v>
      </c>
      <c r="B919">
        <f t="shared" si="28"/>
        <v>1.0796615862864611</v>
      </c>
      <c r="C919">
        <f t="shared" si="29"/>
        <v>2.3279916201227557</v>
      </c>
    </row>
    <row r="920" spans="1:3" x14ac:dyDescent="0.15">
      <c r="A920">
        <v>9.16</v>
      </c>
      <c r="B920">
        <f t="shared" si="28"/>
        <v>1.0879447590238822</v>
      </c>
      <c r="C920">
        <f t="shared" si="29"/>
        <v>2.3052143925466169</v>
      </c>
    </row>
    <row r="921" spans="1:3" x14ac:dyDescent="0.15">
      <c r="A921">
        <v>9.17</v>
      </c>
      <c r="B921">
        <f t="shared" si="28"/>
        <v>1.0963162606973236</v>
      </c>
      <c r="C921">
        <f t="shared" si="29"/>
        <v>2.2826638378045101</v>
      </c>
    </row>
    <row r="922" spans="1:3" x14ac:dyDescent="0.15">
      <c r="A922">
        <v>9.18</v>
      </c>
      <c r="B922">
        <f t="shared" si="28"/>
        <v>1.1047769018212059</v>
      </c>
      <c r="C922">
        <f t="shared" si="29"/>
        <v>2.2603377037230832</v>
      </c>
    </row>
    <row r="923" spans="1:3" x14ac:dyDescent="0.15">
      <c r="A923">
        <v>9.19</v>
      </c>
      <c r="B923">
        <f t="shared" si="28"/>
        <v>1.1133275019540292</v>
      </c>
      <c r="C923">
        <f t="shared" si="29"/>
        <v>2.2382337604629301</v>
      </c>
    </row>
    <row r="924" spans="1:3" x14ac:dyDescent="0.15">
      <c r="A924">
        <v>9.1999999999999993</v>
      </c>
      <c r="B924">
        <f t="shared" si="28"/>
        <v>1.1219688897722442</v>
      </c>
      <c r="C924">
        <f t="shared" si="29"/>
        <v>2.2163498002985658</v>
      </c>
    </row>
    <row r="925" spans="1:3" x14ac:dyDescent="0.15">
      <c r="A925">
        <v>9.2100000000000009</v>
      </c>
      <c r="B925">
        <f t="shared" si="28"/>
        <v>1.1307019031451788</v>
      </c>
      <c r="C925">
        <f t="shared" si="29"/>
        <v>2.1946836374005376</v>
      </c>
    </row>
    <row r="926" spans="1:3" x14ac:dyDescent="0.15">
      <c r="A926">
        <v>9.2200000000000006</v>
      </c>
      <c r="B926">
        <f t="shared" si="28"/>
        <v>1.1395273892110203</v>
      </c>
      <c r="C926">
        <f t="shared" si="29"/>
        <v>2.1732331076196543</v>
      </c>
    </row>
    <row r="927" spans="1:3" x14ac:dyDescent="0.15">
      <c r="A927">
        <v>9.23</v>
      </c>
      <c r="B927">
        <f t="shared" si="28"/>
        <v>1.1484462044538577</v>
      </c>
      <c r="C927">
        <f t="shared" si="29"/>
        <v>2.1519960682733124</v>
      </c>
    </row>
    <row r="928" spans="1:3" x14ac:dyDescent="0.15">
      <c r="A928">
        <v>9.24</v>
      </c>
      <c r="B928">
        <f t="shared" si="28"/>
        <v>1.1574592147817881</v>
      </c>
      <c r="C928">
        <f t="shared" si="29"/>
        <v>2.1309703979339005</v>
      </c>
    </row>
    <row r="929" spans="1:3" x14ac:dyDescent="0.15">
      <c r="A929">
        <v>9.25</v>
      </c>
      <c r="B929">
        <f t="shared" si="28"/>
        <v>1.1665672956060902</v>
      </c>
      <c r="C929">
        <f t="shared" si="29"/>
        <v>2.1101539962192648</v>
      </c>
    </row>
    <row r="930" spans="1:3" x14ac:dyDescent="0.15">
      <c r="A930">
        <v>9.26</v>
      </c>
      <c r="B930">
        <f t="shared" si="28"/>
        <v>1.1757713319214693</v>
      </c>
      <c r="C930">
        <f t="shared" si="29"/>
        <v>2.0895447835852088</v>
      </c>
    </row>
    <row r="931" spans="1:3" x14ac:dyDescent="0.15">
      <c r="A931">
        <v>9.27</v>
      </c>
      <c r="B931">
        <f t="shared" si="28"/>
        <v>1.1850722183873785</v>
      </c>
      <c r="C931">
        <f t="shared" si="29"/>
        <v>2.069140701120018</v>
      </c>
    </row>
    <row r="932" spans="1:3" x14ac:dyDescent="0.15">
      <c r="A932">
        <v>9.2799999999999994</v>
      </c>
      <c r="B932">
        <f t="shared" si="28"/>
        <v>1.1944708594104205</v>
      </c>
      <c r="C932">
        <f t="shared" si="29"/>
        <v>2.0489397103409841</v>
      </c>
    </row>
    <row r="933" spans="1:3" x14ac:dyDescent="0.15">
      <c r="A933">
        <v>9.2899999999999991</v>
      </c>
      <c r="B933">
        <f t="shared" si="28"/>
        <v>1.2039681692278337</v>
      </c>
      <c r="C933">
        <f t="shared" si="29"/>
        <v>2.0289397929929125</v>
      </c>
    </row>
    <row r="934" spans="1:3" x14ac:dyDescent="0.15">
      <c r="A934">
        <v>9.3000000000000007</v>
      </c>
      <c r="B934">
        <f t="shared" si="28"/>
        <v>1.2135650719920688</v>
      </c>
      <c r="C934">
        <f t="shared" si="29"/>
        <v>2.009138950848592</v>
      </c>
    </row>
    <row r="935" spans="1:3" x14ac:dyDescent="0.15">
      <c r="A935">
        <v>9.31</v>
      </c>
      <c r="B935">
        <f t="shared" si="28"/>
        <v>1.2232625018564609</v>
      </c>
      <c r="C935">
        <f t="shared" si="29"/>
        <v>1.9895352055112117</v>
      </c>
    </row>
    <row r="936" spans="1:3" x14ac:dyDescent="0.15">
      <c r="A936">
        <v>9.32</v>
      </c>
      <c r="B936">
        <f t="shared" si="28"/>
        <v>1.2330614030620004</v>
      </c>
      <c r="C936">
        <f t="shared" si="29"/>
        <v>1.9701265982187046</v>
      </c>
    </row>
    <row r="937" spans="1:3" x14ac:dyDescent="0.15">
      <c r="A937">
        <v>9.33</v>
      </c>
      <c r="B937">
        <f t="shared" si="28"/>
        <v>1.2429627300252108</v>
      </c>
      <c r="C937">
        <f t="shared" si="29"/>
        <v>1.9509111896499993</v>
      </c>
    </row>
    <row r="938" spans="1:3" x14ac:dyDescent="0.15">
      <c r="A938">
        <v>9.34</v>
      </c>
      <c r="B938">
        <f t="shared" si="28"/>
        <v>1.2529674474271388</v>
      </c>
      <c r="C938">
        <f t="shared" si="29"/>
        <v>1.9318870597331641</v>
      </c>
    </row>
    <row r="939" spans="1:3" x14ac:dyDescent="0.15">
      <c r="A939">
        <v>9.35</v>
      </c>
      <c r="B939">
        <f t="shared" si="28"/>
        <v>1.2630765303034588</v>
      </c>
      <c r="C939">
        <f t="shared" si="29"/>
        <v>1.9130523074554227</v>
      </c>
    </row>
    <row r="940" spans="1:3" x14ac:dyDescent="0.15">
      <c r="A940">
        <v>9.36</v>
      </c>
      <c r="B940">
        <f t="shared" si="28"/>
        <v>1.2732909641357035</v>
      </c>
      <c r="C940">
        <f t="shared" si="29"/>
        <v>1.8944050506750263</v>
      </c>
    </row>
    <row r="941" spans="1:3" x14ac:dyDescent="0.15">
      <c r="A941">
        <v>9.3699999999999992</v>
      </c>
      <c r="B941">
        <f t="shared" si="28"/>
        <v>1.2836117449436231</v>
      </c>
      <c r="C941">
        <f t="shared" si="29"/>
        <v>1.8759434259349634</v>
      </c>
    </row>
    <row r="942" spans="1:3" x14ac:dyDescent="0.15">
      <c r="A942">
        <v>9.3800000000000008</v>
      </c>
      <c r="B942">
        <f t="shared" si="28"/>
        <v>1.2940398793786794</v>
      </c>
      <c r="C942">
        <f t="shared" si="29"/>
        <v>1.8576655882784898</v>
      </c>
    </row>
    <row r="943" spans="1:3" x14ac:dyDescent="0.15">
      <c r="A943">
        <v>9.39</v>
      </c>
      <c r="B943">
        <f t="shared" si="28"/>
        <v>1.3045763848186844</v>
      </c>
      <c r="C943">
        <f t="shared" si="29"/>
        <v>1.8395697110664613</v>
      </c>
    </row>
    <row r="944" spans="1:3" x14ac:dyDescent="0.15">
      <c r="A944">
        <v>9.4</v>
      </c>
      <c r="B944">
        <f t="shared" si="28"/>
        <v>1.3152222894635863</v>
      </c>
      <c r="C944">
        <f t="shared" si="29"/>
        <v>1.8216539857964535</v>
      </c>
    </row>
    <row r="945" spans="1:3" x14ac:dyDescent="0.15">
      <c r="A945">
        <v>9.41</v>
      </c>
      <c r="B945">
        <f t="shared" si="28"/>
        <v>1.3259786324324125</v>
      </c>
      <c r="C945">
        <f t="shared" si="29"/>
        <v>1.8039166219236509</v>
      </c>
    </row>
    <row r="946" spans="1:3" x14ac:dyDescent="0.15">
      <c r="A946">
        <v>9.42</v>
      </c>
      <c r="B946">
        <f t="shared" si="28"/>
        <v>1.3368464638613762</v>
      </c>
      <c r="C946">
        <f t="shared" si="29"/>
        <v>1.7863558466834866</v>
      </c>
    </row>
    <row r="947" spans="1:3" x14ac:dyDescent="0.15">
      <c r="A947">
        <v>9.43</v>
      </c>
      <c r="B947">
        <f t="shared" si="28"/>
        <v>1.347826845003153</v>
      </c>
      <c r="C947">
        <f t="shared" si="29"/>
        <v>1.768969904916019</v>
      </c>
    </row>
    <row r="948" spans="1:3" x14ac:dyDescent="0.15">
      <c r="A948">
        <v>9.44</v>
      </c>
      <c r="B948">
        <f t="shared" si="28"/>
        <v>1.3589208483273361</v>
      </c>
      <c r="C948">
        <f t="shared" si="29"/>
        <v>1.7517570588920286</v>
      </c>
    </row>
    <row r="949" spans="1:3" x14ac:dyDescent="0.15">
      <c r="A949">
        <v>9.4499999999999993</v>
      </c>
      <c r="B949">
        <f t="shared" si="28"/>
        <v>1.3701295576220764</v>
      </c>
      <c r="C949">
        <f t="shared" si="29"/>
        <v>1.7347155881408149</v>
      </c>
    </row>
    <row r="950" spans="1:3" x14ac:dyDescent="0.15">
      <c r="A950">
        <v>9.4600000000000009</v>
      </c>
      <c r="B950">
        <f t="shared" si="28"/>
        <v>1.3814540680969176</v>
      </c>
      <c r="C950">
        <f t="shared" si="29"/>
        <v>1.7178437892796827</v>
      </c>
    </row>
    <row r="951" spans="1:3" x14ac:dyDescent="0.15">
      <c r="A951">
        <v>9.4700000000000006</v>
      </c>
      <c r="B951">
        <f t="shared" si="28"/>
        <v>1.3928954864868313</v>
      </c>
      <c r="C951">
        <f t="shared" si="29"/>
        <v>1.7011399758450969</v>
      </c>
    </row>
    <row r="952" spans="1:3" x14ac:dyDescent="0.15">
      <c r="A952">
        <v>9.48</v>
      </c>
      <c r="B952">
        <f t="shared" si="28"/>
        <v>1.4044549311574626</v>
      </c>
      <c r="C952">
        <f t="shared" si="29"/>
        <v>1.6846024781254934</v>
      </c>
    </row>
    <row r="953" spans="1:3" x14ac:dyDescent="0.15">
      <c r="A953">
        <v>9.49</v>
      </c>
      <c r="B953">
        <f t="shared" si="28"/>
        <v>1.416133532211594</v>
      </c>
      <c r="C953">
        <f t="shared" si="29"/>
        <v>1.6682296429957271</v>
      </c>
    </row>
    <row r="954" spans="1:3" x14ac:dyDescent="0.15">
      <c r="A954">
        <v>9.5</v>
      </c>
      <c r="B954">
        <f t="shared" si="28"/>
        <v>1.4279324315968343</v>
      </c>
      <c r="C954">
        <f t="shared" si="29"/>
        <v>1.6520198337531449</v>
      </c>
    </row>
    <row r="955" spans="1:3" x14ac:dyDescent="0.15">
      <c r="A955">
        <v>9.51</v>
      </c>
      <c r="B955">
        <f t="shared" si="28"/>
        <v>1.4398527832145454</v>
      </c>
      <c r="C955">
        <f t="shared" si="29"/>
        <v>1.6359714299552648</v>
      </c>
    </row>
    <row r="956" spans="1:3" x14ac:dyDescent="0.15">
      <c r="A956">
        <v>9.52</v>
      </c>
      <c r="B956">
        <f t="shared" si="28"/>
        <v>1.4518957530300103</v>
      </c>
      <c r="C956">
        <f t="shared" si="29"/>
        <v>1.6200828272590482</v>
      </c>
    </row>
    <row r="957" spans="1:3" x14ac:dyDescent="0.15">
      <c r="A957">
        <v>9.5299999999999994</v>
      </c>
      <c r="B957">
        <f t="shared" si="28"/>
        <v>1.4640625191838561</v>
      </c>
      <c r="C957">
        <f t="shared" si="29"/>
        <v>1.6043524372617486</v>
      </c>
    </row>
    <row r="958" spans="1:3" x14ac:dyDescent="0.15">
      <c r="A958">
        <v>9.5399999999999991</v>
      </c>
      <c r="B958">
        <f t="shared" si="28"/>
        <v>1.4763542721047385</v>
      </c>
      <c r="C958">
        <f t="shared" si="29"/>
        <v>1.5887786873433223</v>
      </c>
    </row>
    <row r="959" spans="1:3" x14ac:dyDescent="0.15">
      <c r="A959">
        <v>9.5500000000000007</v>
      </c>
      <c r="B959">
        <f t="shared" si="28"/>
        <v>1.4887722146232973</v>
      </c>
      <c r="C959">
        <f t="shared" si="29"/>
        <v>1.5733600205103866</v>
      </c>
    </row>
    <row r="960" spans="1:3" x14ac:dyDescent="0.15">
      <c r="A960">
        <v>9.56</v>
      </c>
      <c r="B960">
        <f t="shared" si="28"/>
        <v>1.5013175620873953</v>
      </c>
      <c r="C960">
        <f t="shared" si="29"/>
        <v>1.5580948952417097</v>
      </c>
    </row>
    <row r="961" spans="1:3" x14ac:dyDescent="0.15">
      <c r="A961">
        <v>9.57</v>
      </c>
      <c r="B961">
        <f t="shared" si="28"/>
        <v>1.5139915424786443</v>
      </c>
      <c r="C961">
        <f t="shared" si="29"/>
        <v>1.5429817853352177</v>
      </c>
    </row>
    <row r="962" spans="1:3" x14ac:dyDescent="0.15">
      <c r="A962">
        <v>9.58</v>
      </c>
      <c r="B962">
        <f t="shared" si="28"/>
        <v>1.5267953965302348</v>
      </c>
      <c r="C962">
        <f t="shared" si="29"/>
        <v>1.5280191797565048</v>
      </c>
    </row>
    <row r="963" spans="1:3" x14ac:dyDescent="0.15">
      <c r="A963">
        <v>9.59</v>
      </c>
      <c r="B963">
        <f t="shared" si="28"/>
        <v>1.5397303778460751</v>
      </c>
      <c r="C963">
        <f t="shared" si="29"/>
        <v>1.5132055824888322</v>
      </c>
    </row>
    <row r="964" spans="1:3" x14ac:dyDescent="0.15">
      <c r="A964">
        <v>9.6</v>
      </c>
      <c r="B964">
        <f t="shared" si="28"/>
        <v>1.5527977530212516</v>
      </c>
      <c r="C964">
        <f t="shared" si="29"/>
        <v>1.4985395123846008</v>
      </c>
    </row>
    <row r="965" spans="1:3" x14ac:dyDescent="0.15">
      <c r="A965">
        <v>9.61</v>
      </c>
      <c r="B965">
        <f t="shared" si="28"/>
        <v>1.5659988017638198</v>
      </c>
      <c r="C965">
        <f t="shared" si="29"/>
        <v>1.4840195030182837</v>
      </c>
    </row>
    <row r="966" spans="1:3" x14ac:dyDescent="0.15">
      <c r="A966">
        <v>9.6199999999999992</v>
      </c>
      <c r="B966">
        <f t="shared" ref="B966:B1029" si="30">(1+($A$2-$B$2*C965)*$E$2)*B965</f>
        <v>1.5793348170179371</v>
      </c>
      <c r="C966">
        <f t="shared" ref="C966:C1029" si="31">(1+($C$2*B965-$D$2)*$E$2)*C965</f>
        <v>1.4696441025408051</v>
      </c>
    </row>
    <row r="967" spans="1:3" x14ac:dyDescent="0.15">
      <c r="A967">
        <v>9.6300000000000008</v>
      </c>
      <c r="B967">
        <f t="shared" si="30"/>
        <v>1.5928071050883488</v>
      </c>
      <c r="C967">
        <f t="shared" si="31"/>
        <v>1.4554118735353505</v>
      </c>
    </row>
    <row r="968" spans="1:3" x14ac:dyDescent="0.15">
      <c r="A968">
        <v>9.64</v>
      </c>
      <c r="B968">
        <f t="shared" si="30"/>
        <v>1.6064169857662354</v>
      </c>
      <c r="C968">
        <f t="shared" si="31"/>
        <v>1.4413213928745965</v>
      </c>
    </row>
    <row r="969" spans="1:3" x14ac:dyDescent="0.15">
      <c r="A969">
        <v>9.65</v>
      </c>
      <c r="B969">
        <f t="shared" si="30"/>
        <v>1.6201657924564359</v>
      </c>
      <c r="C969">
        <f t="shared" si="31"/>
        <v>1.4273712515793429</v>
      </c>
    </row>
    <row r="970" spans="1:3" x14ac:dyDescent="0.15">
      <c r="A970">
        <v>9.66</v>
      </c>
      <c r="B970">
        <f t="shared" si="30"/>
        <v>1.6340548723060557</v>
      </c>
      <c r="C970">
        <f t="shared" si="31"/>
        <v>1.4135600546785383</v>
      </c>
    </row>
    <row r="971" spans="1:3" x14ac:dyDescent="0.15">
      <c r="A971">
        <v>9.67</v>
      </c>
      <c r="B971">
        <f t="shared" si="30"/>
        <v>1.6480855863344717</v>
      </c>
      <c r="C971">
        <f t="shared" si="31"/>
        <v>1.3998864210706818</v>
      </c>
    </row>
    <row r="972" spans="1:3" x14ac:dyDescent="0.15">
      <c r="A972">
        <v>9.68</v>
      </c>
      <c r="B972">
        <f t="shared" si="30"/>
        <v>1.6622593095647444</v>
      </c>
      <c r="C972">
        <f t="shared" si="31"/>
        <v>1.3863489833865894</v>
      </c>
    </row>
    <row r="973" spans="1:3" x14ac:dyDescent="0.15">
      <c r="A973">
        <v>9.69</v>
      </c>
      <c r="B973">
        <f t="shared" si="30"/>
        <v>1.6765774311564521</v>
      </c>
      <c r="C973">
        <f t="shared" si="31"/>
        <v>1.3729463878535115</v>
      </c>
    </row>
    <row r="974" spans="1:3" x14ac:dyDescent="0.15">
      <c r="A974">
        <v>9.6999999999999993</v>
      </c>
      <c r="B974">
        <f t="shared" si="30"/>
        <v>1.6910413545399536</v>
      </c>
      <c r="C974">
        <f t="shared" si="31"/>
        <v>1.359677294160589</v>
      </c>
    </row>
    <row r="975" spans="1:3" x14ac:dyDescent="0.15">
      <c r="A975">
        <v>9.7100000000000009</v>
      </c>
      <c r="B975">
        <f t="shared" si="30"/>
        <v>1.7056524975520986</v>
      </c>
      <c r="C975">
        <f t="shared" si="31"/>
        <v>1.346540375325634</v>
      </c>
    </row>
    <row r="976" spans="1:3" x14ac:dyDescent="0.15">
      <c r="A976">
        <v>9.7200000000000006</v>
      </c>
      <c r="B976">
        <f t="shared" si="30"/>
        <v>1.7204122925733907</v>
      </c>
      <c r="C976">
        <f t="shared" si="31"/>
        <v>1.3335343175632235</v>
      </c>
    </row>
    <row r="977" spans="1:3" x14ac:dyDescent="0.15">
      <c r="A977">
        <v>9.73</v>
      </c>
      <c r="B977">
        <f t="shared" si="30"/>
        <v>1.7353221866666202</v>
      </c>
      <c r="C977">
        <f t="shared" si="31"/>
        <v>1.3206578201540922</v>
      </c>
    </row>
    <row r="978" spans="1:3" x14ac:dyDescent="0.15">
      <c r="A978">
        <v>9.74</v>
      </c>
      <c r="B978">
        <f t="shared" si="30"/>
        <v>1.7503836417169782</v>
      </c>
      <c r="C978">
        <f t="shared" si="31"/>
        <v>1.3079095953158129</v>
      </c>
    </row>
    <row r="979" spans="1:3" x14ac:dyDescent="0.15">
      <c r="A979">
        <v>9.75</v>
      </c>
      <c r="B979">
        <f t="shared" si="30"/>
        <v>1.7655981345736624</v>
      </c>
      <c r="C979">
        <f t="shared" si="31"/>
        <v>1.2952883680747518</v>
      </c>
    </row>
    <row r="980" spans="1:3" x14ac:dyDescent="0.15">
      <c r="A980">
        <v>9.76</v>
      </c>
      <c r="B980">
        <f t="shared" si="30"/>
        <v>1.7809671571929913</v>
      </c>
      <c r="C980">
        <f t="shared" si="31"/>
        <v>1.2827928761392859</v>
      </c>
    </row>
    <row r="981" spans="1:3" x14ac:dyDescent="0.15">
      <c r="A981">
        <v>9.77</v>
      </c>
      <c r="B981">
        <f t="shared" si="30"/>
        <v>1.7964922167830362</v>
      </c>
      <c r="C981">
        <f t="shared" si="31"/>
        <v>1.27042186977427</v>
      </c>
    </row>
    <row r="982" spans="1:3" x14ac:dyDescent="0.15">
      <c r="A982">
        <v>9.7799999999999994</v>
      </c>
      <c r="B982">
        <f t="shared" si="30"/>
        <v>1.812174835949786</v>
      </c>
      <c r="C982">
        <f t="shared" si="31"/>
        <v>1.2581741116767433</v>
      </c>
    </row>
    <row r="983" spans="1:3" x14ac:dyDescent="0.15">
      <c r="A983">
        <v>9.7899999999999991</v>
      </c>
      <c r="B983">
        <f t="shared" si="30"/>
        <v>1.8280165528448598</v>
      </c>
      <c r="C983">
        <f t="shared" si="31"/>
        <v>1.2460483768528607</v>
      </c>
    </row>
    <row r="984" spans="1:3" x14ac:dyDescent="0.15">
      <c r="A984">
        <v>9.8000000000000007</v>
      </c>
      <c r="B984">
        <f t="shared" si="30"/>
        <v>1.844018921314776</v>
      </c>
      <c r="C984">
        <f t="shared" si="31"/>
        <v>1.2340434524960386</v>
      </c>
    </row>
    <row r="985" spans="1:3" x14ac:dyDescent="0.15">
      <c r="A985">
        <v>9.81</v>
      </c>
      <c r="B985">
        <f t="shared" si="30"/>
        <v>1.8601835110517966</v>
      </c>
      <c r="C985">
        <f t="shared" si="31"/>
        <v>1.2221581378663038</v>
      </c>
    </row>
    <row r="986" spans="1:3" x14ac:dyDescent="0.15">
      <c r="A986">
        <v>9.82</v>
      </c>
      <c r="B986">
        <f t="shared" si="30"/>
        <v>1.8765119077463577</v>
      </c>
      <c r="C986">
        <f t="shared" si="31"/>
        <v>1.2103912441708322</v>
      </c>
    </row>
    <row r="987" spans="1:3" x14ac:dyDescent="0.15">
      <c r="A987">
        <v>9.83</v>
      </c>
      <c r="B987">
        <f t="shared" si="30"/>
        <v>1.8930057132411029</v>
      </c>
      <c r="C987">
        <f t="shared" si="31"/>
        <v>1.1987415944456676</v>
      </c>
    </row>
    <row r="988" spans="1:3" x14ac:dyDescent="0.15">
      <c r="A988">
        <v>9.84</v>
      </c>
      <c r="B988">
        <f t="shared" si="30"/>
        <v>1.9096665456865285</v>
      </c>
      <c r="C988">
        <f t="shared" si="31"/>
        <v>1.187208023438608</v>
      </c>
    </row>
    <row r="989" spans="1:3" x14ac:dyDescent="0.15">
      <c r="A989">
        <v>9.85</v>
      </c>
      <c r="B989">
        <f t="shared" si="30"/>
        <v>1.9264960396982627</v>
      </c>
      <c r="C989">
        <f t="shared" si="31"/>
        <v>1.1757893774932482</v>
      </c>
    </row>
    <row r="990" spans="1:3" x14ac:dyDescent="0.15">
      <c r="A990">
        <v>9.86</v>
      </c>
      <c r="B990">
        <f t="shared" si="30"/>
        <v>1.9434958465159853</v>
      </c>
      <c r="C990">
        <f t="shared" si="31"/>
        <v>1.1644845144341676</v>
      </c>
    </row>
    <row r="991" spans="1:3" x14ac:dyDescent="0.15">
      <c r="A991">
        <v>9.8699999999999992</v>
      </c>
      <c r="B991">
        <f t="shared" si="30"/>
        <v>1.9606676341640104</v>
      </c>
      <c r="C991">
        <f t="shared" si="31"/>
        <v>1.153292303453253</v>
      </c>
    </row>
    <row r="992" spans="1:3" x14ac:dyDescent="0.15">
      <c r="A992">
        <v>9.8800000000000008</v>
      </c>
      <c r="B992">
        <f t="shared" si="30"/>
        <v>1.9780130876135393</v>
      </c>
      <c r="C992">
        <f t="shared" si="31"/>
        <v>1.1422116249971426</v>
      </c>
    </row>
    <row r="993" spans="1:3" x14ac:dyDescent="0.15">
      <c r="A993">
        <v>9.89</v>
      </c>
      <c r="B993">
        <f t="shared" si="30"/>
        <v>1.9955339089466062</v>
      </c>
      <c r="C993">
        <f t="shared" si="31"/>
        <v>1.1312413706557849</v>
      </c>
    </row>
    <row r="994" spans="1:3" x14ac:dyDescent="0.15">
      <c r="A994">
        <v>9.9</v>
      </c>
      <c r="B994">
        <f t="shared" si="30"/>
        <v>2.0132318175217252</v>
      </c>
      <c r="C994">
        <f t="shared" si="31"/>
        <v>1.1203804430520965</v>
      </c>
    </row>
    <row r="995" spans="1:3" x14ac:dyDescent="0.15">
      <c r="A995">
        <v>9.91</v>
      </c>
      <c r="B995">
        <f t="shared" si="30"/>
        <v>2.0311085501412607</v>
      </c>
      <c r="C995">
        <f t="shared" si="31"/>
        <v>1.1096277557327119</v>
      </c>
    </row>
    <row r="996" spans="1:3" x14ac:dyDescent="0.15">
      <c r="A996">
        <v>9.92</v>
      </c>
      <c r="B996">
        <f t="shared" si="30"/>
        <v>2.0491658612205303</v>
      </c>
      <c r="C996">
        <f t="shared" si="31"/>
        <v>1.0989822330598134</v>
      </c>
    </row>
    <row r="997" spans="1:3" x14ac:dyDescent="0.15">
      <c r="A997">
        <v>9.93</v>
      </c>
      <c r="B997">
        <f t="shared" si="30"/>
        <v>2.0674055229586616</v>
      </c>
      <c r="C997">
        <f t="shared" si="31"/>
        <v>1.08844281010403</v>
      </c>
    </row>
    <row r="998" spans="1:3" x14ac:dyDescent="0.15">
      <c r="A998">
        <v>9.94</v>
      </c>
      <c r="B998">
        <f t="shared" si="30"/>
        <v>2.0858293255112144</v>
      </c>
      <c r="C998">
        <f t="shared" si="31"/>
        <v>1.0780084325383965</v>
      </c>
    </row>
    <row r="999" spans="1:3" x14ac:dyDescent="0.15">
      <c r="A999">
        <v>9.9499999999999993</v>
      </c>
      <c r="B999">
        <f t="shared" si="30"/>
        <v>2.1044390771645896</v>
      </c>
      <c r="C999">
        <f t="shared" si="31"/>
        <v>1.0676780565333599</v>
      </c>
    </row>
    <row r="1000" spans="1:3" x14ac:dyDescent="0.15">
      <c r="A1000">
        <v>9.9600000000000009</v>
      </c>
      <c r="B1000">
        <f t="shared" si="30"/>
        <v>2.1232366045122357</v>
      </c>
      <c r="C1000">
        <f t="shared" si="31"/>
        <v>1.0574506486528263</v>
      </c>
    </row>
    <row r="1001" spans="1:3" x14ac:dyDescent="0.15">
      <c r="A1001">
        <v>9.9700000000000006</v>
      </c>
      <c r="B1001">
        <f t="shared" si="30"/>
        <v>2.1422237526326731</v>
      </c>
      <c r="C1001">
        <f t="shared" si="31"/>
        <v>1.0473251857512351</v>
      </c>
    </row>
    <row r="1002" spans="1:3" x14ac:dyDescent="0.15">
      <c r="A1002">
        <v>9.98</v>
      </c>
      <c r="B1002">
        <f t="shared" si="30"/>
        <v>2.1614023852693531</v>
      </c>
      <c r="C1002">
        <f t="shared" si="31"/>
        <v>1.0373006548716521</v>
      </c>
    </row>
    <row r="1003" spans="1:3" x14ac:dyDescent="0.15">
      <c r="A1003">
        <v>9.99</v>
      </c>
      <c r="B1003">
        <f t="shared" si="30"/>
        <v>2.1807743850123655</v>
      </c>
      <c r="C1003">
        <f t="shared" si="31"/>
        <v>1.0273760531448719</v>
      </c>
    </row>
    <row r="1004" spans="1:3" x14ac:dyDescent="0.15">
      <c r="A1004">
        <v>10</v>
      </c>
      <c r="B1004">
        <f t="shared" si="30"/>
        <v>2.2003416534820155</v>
      </c>
      <c r="C1004">
        <f t="shared" si="31"/>
        <v>1.0175503876895178</v>
      </c>
    </row>
    <row r="1005" spans="1:3" x14ac:dyDescent="0.15">
      <c r="A1005">
        <v>10.01</v>
      </c>
      <c r="B1005">
        <f t="shared" si="30"/>
        <v>2.2201061115142857</v>
      </c>
      <c r="C1005">
        <f t="shared" si="31"/>
        <v>1.0078226755131325</v>
      </c>
    </row>
    <row r="1006" spans="1:3" x14ac:dyDescent="0.15">
      <c r="A1006">
        <v>10.02</v>
      </c>
      <c r="B1006">
        <f t="shared" si="30"/>
        <v>2.240069699348199</v>
      </c>
      <c r="C1006">
        <f t="shared" si="31"/>
        <v>0.99819194341424711</v>
      </c>
    </row>
    <row r="1007" spans="1:3" x14ac:dyDescent="0.15">
      <c r="A1007">
        <v>10.029999999999999</v>
      </c>
      <c r="B1007">
        <f t="shared" si="30"/>
        <v>2.260234376815105</v>
      </c>
      <c r="C1007">
        <f t="shared" si="31"/>
        <v>0.98865722788541976</v>
      </c>
    </row>
    <row r="1008" spans="1:3" x14ac:dyDescent="0.15">
      <c r="A1008">
        <v>10.039999999999999</v>
      </c>
      <c r="B1008">
        <f t="shared" si="30"/>
        <v>2.2806021235299028</v>
      </c>
      <c r="C1008">
        <f t="shared" si="31"/>
        <v>0.97921757501723627</v>
      </c>
    </row>
    <row r="1009" spans="1:3" x14ac:dyDescent="0.15">
      <c r="A1009">
        <v>10.050000000000001</v>
      </c>
      <c r="B1009">
        <f t="shared" si="30"/>
        <v>2.3011749390842198</v>
      </c>
      <c r="C1009">
        <f t="shared" si="31"/>
        <v>0.96987204040326036</v>
      </c>
    </row>
    <row r="1010" spans="1:3" x14ac:dyDescent="0.15">
      <c r="A1010">
        <v>10.06</v>
      </c>
      <c r="B1010">
        <f t="shared" si="30"/>
        <v>2.3219548432415675</v>
      </c>
      <c r="C1010">
        <f t="shared" si="31"/>
        <v>0.96061968904592665</v>
      </c>
    </row>
    <row r="1011" spans="1:3" x14ac:dyDescent="0.15">
      <c r="A1011">
        <v>10.07</v>
      </c>
      <c r="B1011">
        <f t="shared" si="30"/>
        <v>2.3429438761344898</v>
      </c>
      <c r="C1011">
        <f t="shared" si="31"/>
        <v>0.9514595952633661</v>
      </c>
    </row>
    <row r="1012" spans="1:3" x14ac:dyDescent="0.15">
      <c r="A1012">
        <v>10.08</v>
      </c>
      <c r="B1012">
        <f t="shared" si="30"/>
        <v>2.364144098463723</v>
      </c>
      <c r="C1012">
        <f t="shared" si="31"/>
        <v>0.94239084259715478</v>
      </c>
    </row>
    <row r="1013" spans="1:3" x14ac:dyDescent="0.15">
      <c r="A1013">
        <v>10.09</v>
      </c>
      <c r="B1013">
        <f t="shared" si="30"/>
        <v>2.3855575916993881</v>
      </c>
      <c r="C1013">
        <f t="shared" si="31"/>
        <v>0.93341252372097772</v>
      </c>
    </row>
    <row r="1014" spans="1:3" x14ac:dyDescent="0.15">
      <c r="A1014">
        <v>10.1</v>
      </c>
      <c r="B1014">
        <f t="shared" si="30"/>
        <v>2.4071864582842322</v>
      </c>
      <c r="C1014">
        <f t="shared" si="31"/>
        <v>0.92452374035019791</v>
      </c>
    </row>
    <row r="1015" spans="1:3" x14ac:dyDescent="0.15">
      <c r="A1015">
        <v>10.11</v>
      </c>
      <c r="B1015">
        <f t="shared" si="30"/>
        <v>2.4290328218389412</v>
      </c>
      <c r="C1015">
        <f t="shared" si="31"/>
        <v>0.9157236031523226</v>
      </c>
    </row>
    <row r="1016" spans="1:3" x14ac:dyDescent="0.15">
      <c r="A1016">
        <v>10.119999999999999</v>
      </c>
      <c r="B1016">
        <f t="shared" si="30"/>
        <v>2.4510988273695413</v>
      </c>
      <c r="C1016">
        <f t="shared" si="31"/>
        <v>0.90701123165835729</v>
      </c>
    </row>
    <row r="1017" spans="1:3" x14ac:dyDescent="0.15">
      <c r="A1017">
        <v>10.130000000000001</v>
      </c>
      <c r="B1017">
        <f t="shared" si="30"/>
        <v>2.4733866414769081</v>
      </c>
      <c r="C1017">
        <f t="shared" si="31"/>
        <v>0.89838575417503952</v>
      </c>
    </row>
    <row r="1018" spans="1:3" x14ac:dyDescent="0.15">
      <c r="A1018">
        <v>10.14</v>
      </c>
      <c r="B1018">
        <f t="shared" si="30"/>
        <v>2.4958984525684071</v>
      </c>
      <c r="C1018">
        <f t="shared" si="31"/>
        <v>0.88984630769794315</v>
      </c>
    </row>
    <row r="1019" spans="1:3" x14ac:dyDescent="0.15">
      <c r="A1019">
        <v>10.15</v>
      </c>
      <c r="B1019">
        <f t="shared" si="30"/>
        <v>2.5186364710716838</v>
      </c>
      <c r="C1019">
        <f t="shared" si="31"/>
        <v>0.88139203782544517</v>
      </c>
    </row>
    <row r="1020" spans="1:3" x14ac:dyDescent="0.15">
      <c r="A1020">
        <v>10.16</v>
      </c>
      <c r="B1020">
        <f t="shared" si="30"/>
        <v>2.5416029296506211</v>
      </c>
      <c r="C1020">
        <f t="shared" si="31"/>
        <v>0.87302209867354663</v>
      </c>
    </row>
    <row r="1021" spans="1:3" x14ac:dyDescent="0.15">
      <c r="A1021">
        <v>10.17</v>
      </c>
      <c r="B1021">
        <f t="shared" si="30"/>
        <v>2.564800083423489</v>
      </c>
      <c r="C1021">
        <f t="shared" si="31"/>
        <v>0.86473565279153886</v>
      </c>
    </row>
    <row r="1022" spans="1:3" x14ac:dyDescent="0.15">
      <c r="A1022">
        <v>10.18</v>
      </c>
      <c r="B1022">
        <f t="shared" si="30"/>
        <v>2.5882302101833048</v>
      </c>
      <c r="C1022">
        <f t="shared" si="31"/>
        <v>0.85653187107850726</v>
      </c>
    </row>
    <row r="1023" spans="1:3" x14ac:dyDescent="0.15">
      <c r="A1023">
        <v>10.19</v>
      </c>
      <c r="B1023">
        <f t="shared" si="30"/>
        <v>2.6118956106204276</v>
      </c>
      <c r="C1023">
        <f t="shared" si="31"/>
        <v>0.84840993270066423</v>
      </c>
    </row>
    <row r="1024" spans="1:3" x14ac:dyDescent="0.15">
      <c r="A1024">
        <v>10.199999999999999</v>
      </c>
      <c r="B1024">
        <f t="shared" si="30"/>
        <v>2.6357986085474043</v>
      </c>
      <c r="C1024">
        <f t="shared" si="31"/>
        <v>0.84036902500950306</v>
      </c>
    </row>
    <row r="1025" spans="1:3" x14ac:dyDescent="0.15">
      <c r="A1025">
        <v>10.210000000000001</v>
      </c>
      <c r="B1025">
        <f t="shared" si="30"/>
        <v>2.6599415511260918</v>
      </c>
      <c r="C1025">
        <f t="shared" si="31"/>
        <v>0.83240834346076531</v>
      </c>
    </row>
    <row r="1026" spans="1:3" x14ac:dyDescent="0.15">
      <c r="A1026">
        <v>10.220000000000001</v>
      </c>
      <c r="B1026">
        <f t="shared" si="30"/>
        <v>2.6843268090970773</v>
      </c>
      <c r="C1026">
        <f t="shared" si="31"/>
        <v>0.82452709153421277</v>
      </c>
    </row>
    <row r="1027" spans="1:3" x14ac:dyDescent="0.15">
      <c r="A1027">
        <v>10.23</v>
      </c>
      <c r="B1027">
        <f t="shared" si="30"/>
        <v>2.7089567770114162</v>
      </c>
      <c r="C1027">
        <f t="shared" si="31"/>
        <v>0.816724480654197</v>
      </c>
    </row>
    <row r="1028" spans="1:3" x14ac:dyDescent="0.15">
      <c r="A1028">
        <v>10.24</v>
      </c>
      <c r="B1028">
        <f t="shared" si="30"/>
        <v>2.733833873464711</v>
      </c>
      <c r="C1028">
        <f t="shared" si="31"/>
        <v>0.80899973011101889</v>
      </c>
    </row>
    <row r="1029" spans="1:3" x14ac:dyDescent="0.15">
      <c r="A1029">
        <v>10.25</v>
      </c>
      <c r="B1029">
        <f t="shared" si="30"/>
        <v>2.7589605413335567</v>
      </c>
      <c r="C1029">
        <f t="shared" si="31"/>
        <v>0.80135206698306893</v>
      </c>
    </row>
    <row r="1030" spans="1:3" x14ac:dyDescent="0.15">
      <c r="A1030">
        <v>10.26</v>
      </c>
      <c r="B1030">
        <f t="shared" ref="B1030:B1093" si="32">(1+($A$2-$B$2*C1029)*$E$2)*B1029</f>
        <v>2.7843392480143696</v>
      </c>
      <c r="C1030">
        <f t="shared" ref="C1030:C1093" si="33">(1+($C$2*B1029-$D$2)*$E$2)*C1029</f>
        <v>0.7937807260597427</v>
      </c>
    </row>
    <row r="1031" spans="1:3" x14ac:dyDescent="0.15">
      <c r="A1031">
        <v>10.27</v>
      </c>
      <c r="B1031">
        <f t="shared" si="32"/>
        <v>2.8099724856646278</v>
      </c>
      <c r="C1031">
        <f t="shared" si="33"/>
        <v>0.78628494976512231</v>
      </c>
    </row>
    <row r="1032" spans="1:3" x14ac:dyDescent="0.15">
      <c r="A1032">
        <v>10.28</v>
      </c>
      <c r="B1032">
        <f t="shared" si="32"/>
        <v>2.8358627714465419</v>
      </c>
      <c r="C1032">
        <f t="shared" si="33"/>
        <v>0.77886398808241752</v>
      </c>
    </row>
    <row r="1033" spans="1:3" x14ac:dyDescent="0.15">
      <c r="A1033">
        <v>10.29</v>
      </c>
      <c r="B1033">
        <f t="shared" si="32"/>
        <v>2.862012647773184</v>
      </c>
      <c r="C1033">
        <f t="shared" si="33"/>
        <v>0.77151709847915795</v>
      </c>
    </row>
    <row r="1034" spans="1:3" x14ac:dyDescent="0.15">
      <c r="A1034">
        <v>10.3</v>
      </c>
      <c r="B1034">
        <f t="shared" si="32"/>
        <v>2.8884246825570949</v>
      </c>
      <c r="C1034">
        <f t="shared" si="33"/>
        <v>0.76424354583313048</v>
      </c>
    </row>
    <row r="1035" spans="1:3" x14ac:dyDescent="0.15">
      <c r="A1035">
        <v>10.31</v>
      </c>
      <c r="B1035">
        <f t="shared" si="32"/>
        <v>2.9151014694613968</v>
      </c>
      <c r="C1035">
        <f t="shared" si="33"/>
        <v>0.75704260235905307</v>
      </c>
    </row>
    <row r="1036" spans="1:3" x14ac:dyDescent="0.15">
      <c r="A1036">
        <v>10.32</v>
      </c>
      <c r="B1036">
        <f t="shared" si="32"/>
        <v>2.9420456281534291</v>
      </c>
      <c r="C1036">
        <f t="shared" si="33"/>
        <v>0.74991354753597883</v>
      </c>
    </row>
    <row r="1037" spans="1:3" x14ac:dyDescent="0.15">
      <c r="A1037">
        <v>10.33</v>
      </c>
      <c r="B1037">
        <f t="shared" si="32"/>
        <v>2.9692598045609424</v>
      </c>
      <c r="C1037">
        <f t="shared" si="33"/>
        <v>0.74285566803542336</v>
      </c>
    </row>
    <row r="1038" spans="1:3" x14ac:dyDescent="0.15">
      <c r="A1038">
        <v>10.34</v>
      </c>
      <c r="B1038">
        <f t="shared" si="32"/>
        <v>2.9967466711308641</v>
      </c>
      <c r="C1038">
        <f t="shared" si="33"/>
        <v>0.73586825765020669</v>
      </c>
    </row>
    <row r="1039" spans="1:3" x14ac:dyDescent="0.15">
      <c r="A1039">
        <v>10.35</v>
      </c>
      <c r="B1039">
        <f t="shared" si="32"/>
        <v>3.0245089270906687</v>
      </c>
      <c r="C1039">
        <f t="shared" si="33"/>
        <v>0.72895061722400545</v>
      </c>
    </row>
    <row r="1040" spans="1:3" x14ac:dyDescent="0.15">
      <c r="A1040">
        <v>10.36</v>
      </c>
      <c r="B1040">
        <f t="shared" si="32"/>
        <v>3.0525492987123726</v>
      </c>
      <c r="C1040">
        <f t="shared" si="33"/>
        <v>0.72210205458160581</v>
      </c>
    </row>
    <row r="1041" spans="1:3" x14ac:dyDescent="0.15">
      <c r="A1041">
        <v>10.37</v>
      </c>
      <c r="B1041">
        <f t="shared" si="32"/>
        <v>3.0808705395791844</v>
      </c>
      <c r="C1041">
        <f t="shared" si="33"/>
        <v>0.71532188445985212</v>
      </c>
    </row>
    <row r="1042" spans="1:3" x14ac:dyDescent="0.15">
      <c r="A1042">
        <v>10.38</v>
      </c>
      <c r="B1042">
        <f t="shared" si="32"/>
        <v>3.109475430854828</v>
      </c>
      <c r="C1042">
        <f t="shared" si="33"/>
        <v>0.70860942843928332</v>
      </c>
    </row>
    <row r="1043" spans="1:3" x14ac:dyDescent="0.15">
      <c r="A1043">
        <v>10.39</v>
      </c>
      <c r="B1043">
        <f t="shared" si="32"/>
        <v>3.1383667815555727</v>
      </c>
      <c r="C1043">
        <f t="shared" si="33"/>
        <v>0.70196401487645121</v>
      </c>
    </row>
    <row r="1044" spans="1:3" x14ac:dyDescent="0.15">
      <c r="A1044">
        <v>10.4</v>
      </c>
      <c r="B1044">
        <f t="shared" si="32"/>
        <v>3.1675474288249927</v>
      </c>
      <c r="C1044">
        <f t="shared" si="33"/>
        <v>0.69538497883691386</v>
      </c>
    </row>
    <row r="1045" spans="1:3" x14ac:dyDescent="0.15">
      <c r="A1045">
        <v>10.41</v>
      </c>
      <c r="B1045">
        <f t="shared" si="32"/>
        <v>3.1970202382114841</v>
      </c>
      <c r="C1045">
        <f t="shared" si="33"/>
        <v>0.68887166202889638</v>
      </c>
    </row>
    <row r="1046" spans="1:3" x14ac:dyDescent="0.15">
      <c r="A1046">
        <v>10.42</v>
      </c>
      <c r="B1046">
        <f t="shared" si="32"/>
        <v>3.2267881039485626</v>
      </c>
      <c r="C1046">
        <f t="shared" si="33"/>
        <v>0.68242341273761475</v>
      </c>
    </row>
    <row r="1047" spans="1:3" x14ac:dyDescent="0.15">
      <c r="A1047">
        <v>10.43</v>
      </c>
      <c r="B1047">
        <f t="shared" si="32"/>
        <v>3.2568539492379704</v>
      </c>
      <c r="C1047">
        <f t="shared" si="33"/>
        <v>0.67603958576025414</v>
      </c>
    </row>
    <row r="1048" spans="1:3" x14ac:dyDescent="0.15">
      <c r="A1048">
        <v>10.44</v>
      </c>
      <c r="B1048">
        <f t="shared" si="32"/>
        <v>3.2872207265356255</v>
      </c>
      <c r="C1048">
        <f t="shared" si="33"/>
        <v>0.66971954234159647</v>
      </c>
    </row>
    <row r="1049" spans="1:3" x14ac:dyDescent="0.15">
      <c r="A1049">
        <v>10.45</v>
      </c>
      <c r="B1049">
        <f t="shared" si="32"/>
        <v>3.3178914178404306</v>
      </c>
      <c r="C1049">
        <f t="shared" si="33"/>
        <v>0.66346265011029071</v>
      </c>
    </row>
    <row r="1050" spans="1:3" x14ac:dyDescent="0.15">
      <c r="A1050">
        <v>10.46</v>
      </c>
      <c r="B1050">
        <f t="shared" si="32"/>
        <v>3.3488690349859764</v>
      </c>
      <c r="C1050">
        <f t="shared" si="33"/>
        <v>0.65726828301575957</v>
      </c>
    </row>
    <row r="1051" spans="1:3" x14ac:dyDescent="0.15">
      <c r="A1051">
        <v>10.47</v>
      </c>
      <c r="B1051">
        <f t="shared" si="32"/>
        <v>3.3801566199351667</v>
      </c>
      <c r="C1051">
        <f t="shared" si="33"/>
        <v>0.65113582126573588</v>
      </c>
    </row>
    <row r="1052" spans="1:3" x14ac:dyDescent="0.15">
      <c r="A1052">
        <v>10.48</v>
      </c>
      <c r="B1052">
        <f t="shared" si="32"/>
        <v>3.4117572450777902</v>
      </c>
      <c r="C1052">
        <f t="shared" si="33"/>
        <v>0.64506465126442425</v>
      </c>
    </row>
    <row r="1053" spans="1:3" x14ac:dyDescent="0.15">
      <c r="A1053">
        <v>10.49</v>
      </c>
      <c r="B1053">
        <f t="shared" si="32"/>
        <v>3.4436740135310733</v>
      </c>
      <c r="C1053">
        <f t="shared" si="33"/>
        <v>0.63905416555127892</v>
      </c>
    </row>
    <row r="1054" spans="1:3" x14ac:dyDescent="0.15">
      <c r="A1054">
        <v>10.5</v>
      </c>
      <c r="B1054">
        <f t="shared" si="32"/>
        <v>3.4759100594432364</v>
      </c>
      <c r="C1054">
        <f t="shared" si="33"/>
        <v>0.6331037627403957</v>
      </c>
    </row>
    <row r="1055" spans="1:3" x14ac:dyDescent="0.15">
      <c r="A1055">
        <v>10.51</v>
      </c>
      <c r="B1055">
        <f t="shared" si="32"/>
        <v>3.5084685483000877</v>
      </c>
      <c r="C1055">
        <f t="shared" si="33"/>
        <v>0.62721284746050787</v>
      </c>
    </row>
    <row r="1056" spans="1:3" x14ac:dyDescent="0.15">
      <c r="A1056">
        <v>10.52</v>
      </c>
      <c r="B1056">
        <f t="shared" si="32"/>
        <v>3.5413526772346837</v>
      </c>
      <c r="C1056">
        <f t="shared" si="33"/>
        <v>0.62138083029558377</v>
      </c>
    </row>
    <row r="1057" spans="1:3" x14ac:dyDescent="0.15">
      <c r="A1057">
        <v>10.53</v>
      </c>
      <c r="B1057">
        <f t="shared" si="32"/>
        <v>3.5745656753400814</v>
      </c>
      <c r="C1057">
        <f t="shared" si="33"/>
        <v>0.61560712772601789</v>
      </c>
    </row>
    <row r="1058" spans="1:3" x14ac:dyDescent="0.15">
      <c r="A1058">
        <v>10.54</v>
      </c>
      <c r="B1058">
        <f t="shared" si="32"/>
        <v>3.6081108039852179</v>
      </c>
      <c r="C1058">
        <f t="shared" si="33"/>
        <v>0.6098911620704105</v>
      </c>
    </row>
    <row r="1059" spans="1:3" x14ac:dyDescent="0.15">
      <c r="A1059">
        <v>10.55</v>
      </c>
      <c r="B1059">
        <f t="shared" si="32"/>
        <v>3.6419913571339486</v>
      </c>
      <c r="C1059">
        <f t="shared" si="33"/>
        <v>0.60423236142793069</v>
      </c>
    </row>
    <row r="1060" spans="1:3" x14ac:dyDescent="0.15">
      <c r="A1060">
        <v>10.56</v>
      </c>
      <c r="B1060">
        <f t="shared" si="32"/>
        <v>3.676210661667267</v>
      </c>
      <c r="C1060">
        <f t="shared" si="33"/>
        <v>0.59863015962125565</v>
      </c>
    </row>
    <row r="1061" spans="1:3" x14ac:dyDescent="0.15">
      <c r="A1061">
        <v>10.57</v>
      </c>
      <c r="B1061">
        <f t="shared" si="32"/>
        <v>3.7107720777087443</v>
      </c>
      <c r="C1061">
        <f t="shared" si="33"/>
        <v>0.59308399614008211</v>
      </c>
    </row>
    <row r="1062" spans="1:3" x14ac:dyDescent="0.15">
      <c r="A1062">
        <v>10.58</v>
      </c>
      <c r="B1062">
        <f t="shared" si="32"/>
        <v>3.7456789989532191</v>
      </c>
      <c r="C1062">
        <f t="shared" si="33"/>
        <v>0.58759331608520382</v>
      </c>
    </row>
    <row r="1063" spans="1:3" x14ac:dyDescent="0.15">
      <c r="A1063">
        <v>10.59</v>
      </c>
      <c r="B1063">
        <f t="shared" si="32"/>
        <v>3.7809348529987656</v>
      </c>
      <c r="C1063">
        <f t="shared" si="33"/>
        <v>0.58215757011314895</v>
      </c>
    </row>
    <row r="1064" spans="1:3" x14ac:dyDescent="0.15">
      <c r="A1064">
        <v>10.6</v>
      </c>
      <c r="B1064">
        <f t="shared" si="32"/>
        <v>3.8165431016819751</v>
      </c>
      <c r="C1064">
        <f t="shared" si="33"/>
        <v>0.57677621438137305</v>
      </c>
    </row>
    <row r="1065" spans="1:3" x14ac:dyDescent="0.15">
      <c r="A1065">
        <v>10.61</v>
      </c>
      <c r="B1065">
        <f t="shared" si="32"/>
        <v>3.8525072414165833</v>
      </c>
      <c r="C1065">
        <f t="shared" si="33"/>
        <v>0.57144871049400159</v>
      </c>
    </row>
    <row r="1066" spans="1:3" x14ac:dyDescent="0.15">
      <c r="A1066">
        <v>10.62</v>
      </c>
      <c r="B1066">
        <f t="shared" si="32"/>
        <v>3.8888308035354728</v>
      </c>
      <c r="C1066">
        <f t="shared" si="33"/>
        <v>0.56617452544811686</v>
      </c>
    </row>
    <row r="1067" spans="1:3" x14ac:dyDescent="0.15">
      <c r="A1067">
        <v>10.63</v>
      </c>
      <c r="B1067">
        <f t="shared" si="32"/>
        <v>3.9255173546360878</v>
      </c>
      <c r="C1067">
        <f t="shared" si="33"/>
        <v>0.56095313158058369</v>
      </c>
    </row>
    <row r="1068" spans="1:3" x14ac:dyDescent="0.15">
      <c r="A1068">
        <v>10.64</v>
      </c>
      <c r="B1068">
        <f t="shared" si="32"/>
        <v>3.9625704969292914</v>
      </c>
      <c r="C1068">
        <f t="shared" si="33"/>
        <v>0.55578400651540927</v>
      </c>
    </row>
    <row r="1069" spans="1:3" x14ac:dyDescent="0.15">
      <c r="A1069">
        <v>10.65</v>
      </c>
      <c r="B1069">
        <f t="shared" si="32"/>
        <v>3.9999938685917016</v>
      </c>
      <c r="C1069">
        <f t="shared" si="33"/>
        <v>0.55066663311163178</v>
      </c>
    </row>
    <row r="1070" spans="1:3" x14ac:dyDescent="0.15">
      <c r="A1070">
        <v>10.66</v>
      </c>
      <c r="B1070">
        <f t="shared" si="32"/>
        <v>4.0377911441215337</v>
      </c>
      <c r="C1070">
        <f t="shared" si="33"/>
        <v>0.54560049941173239</v>
      </c>
    </row>
    <row r="1071" spans="1:3" x14ac:dyDescent="0.15">
      <c r="A1071">
        <v>10.67</v>
      </c>
      <c r="B1071">
        <f t="shared" si="32"/>
        <v>4.0759660346979958</v>
      </c>
      <c r="C1071">
        <f t="shared" si="33"/>
        <v>0.54058509859056569</v>
      </c>
    </row>
    <row r="1072" spans="1:3" x14ac:dyDescent="0.15">
      <c r="A1072">
        <v>10.68</v>
      </c>
      <c r="B1072">
        <f t="shared" si="32"/>
        <v>4.1145222885442561</v>
      </c>
      <c r="C1072">
        <f t="shared" si="33"/>
        <v>0.53561992890480381</v>
      </c>
    </row>
    <row r="1073" spans="1:3" x14ac:dyDescent="0.15">
      <c r="A1073">
        <v>10.69</v>
      </c>
      <c r="B1073">
        <f t="shared" si="32"/>
        <v>4.1534636912940313</v>
      </c>
      <c r="C1073">
        <f t="shared" si="33"/>
        <v>0.53070449364288919</v>
      </c>
    </row>
    <row r="1074" spans="1:3" x14ac:dyDescent="0.15">
      <c r="A1074">
        <v>10.7</v>
      </c>
      <c r="B1074">
        <f t="shared" si="32"/>
        <v>4.1927940663618193</v>
      </c>
      <c r="C1074">
        <f t="shared" si="33"/>
        <v>0.52583830107549079</v>
      </c>
    </row>
    <row r="1075" spans="1:3" x14ac:dyDescent="0.15">
      <c r="A1075">
        <v>10.71</v>
      </c>
      <c r="B1075">
        <f t="shared" si="32"/>
        <v>4.2325172753168223</v>
      </c>
      <c r="C1075">
        <f t="shared" si="33"/>
        <v>0.52102086440645889</v>
      </c>
    </row>
    <row r="1076" spans="1:3" x14ac:dyDescent="0.15">
      <c r="A1076">
        <v>10.72</v>
      </c>
      <c r="B1076">
        <f t="shared" si="32"/>
        <v>4.2726372182605896</v>
      </c>
      <c r="C1076">
        <f t="shared" si="33"/>
        <v>0.51625170172427448</v>
      </c>
    </row>
    <row r="1077" spans="1:3" x14ac:dyDescent="0.15">
      <c r="A1077">
        <v>10.73</v>
      </c>
      <c r="B1077">
        <f t="shared" si="32"/>
        <v>4.3131578342084183</v>
      </c>
      <c r="C1077">
        <f t="shared" si="33"/>
        <v>0.51153033595398723</v>
      </c>
    </row>
    <row r="1078" spans="1:3" x14ac:dyDescent="0.15">
      <c r="A1078">
        <v>10.74</v>
      </c>
      <c r="B1078">
        <f t="shared" si="32"/>
        <v>4.3540831014745471</v>
      </c>
      <c r="C1078">
        <f t="shared" si="33"/>
        <v>0.50685629480963845</v>
      </c>
    </row>
    <row r="1079" spans="1:3" x14ac:dyDescent="0.15">
      <c r="A1079">
        <v>10.75</v>
      </c>
      <c r="B1079">
        <f t="shared" si="32"/>
        <v>4.3954170380611863</v>
      </c>
      <c r="C1079">
        <f t="shared" si="33"/>
        <v>0.50222911074716337</v>
      </c>
    </row>
    <row r="1080" spans="1:3" x14ac:dyDescent="0.15">
      <c r="A1080">
        <v>10.76</v>
      </c>
      <c r="B1080">
        <f t="shared" si="32"/>
        <v>4.437163702051409</v>
      </c>
      <c r="C1080">
        <f t="shared" si="33"/>
        <v>0.49764832091776939</v>
      </c>
    </row>
    <row r="1081" spans="1:3" x14ac:dyDescent="0.15">
      <c r="A1081">
        <v>10.77</v>
      </c>
      <c r="B1081">
        <f t="shared" si="32"/>
        <v>4.4793271920059601</v>
      </c>
      <c r="C1081">
        <f t="shared" si="33"/>
        <v>0.49311346712178433</v>
      </c>
    </row>
    <row r="1082" spans="1:3" x14ac:dyDescent="0.15">
      <c r="A1082">
        <v>10.78</v>
      </c>
      <c r="B1082">
        <f t="shared" si="32"/>
        <v>4.5219116473639964</v>
      </c>
      <c r="C1082">
        <f t="shared" si="33"/>
        <v>0.48862409576297111</v>
      </c>
    </row>
    <row r="1083" spans="1:3" x14ac:dyDescent="0.15">
      <c r="A1083">
        <v>10.79</v>
      </c>
      <c r="B1083">
        <f t="shared" si="32"/>
        <v>4.5649212488478232</v>
      </c>
      <c r="C1083">
        <f t="shared" si="33"/>
        <v>0.48417975780330402</v>
      </c>
    </row>
    <row r="1084" spans="1:3" x14ac:dyDescent="0.15">
      <c r="A1084">
        <v>10.8</v>
      </c>
      <c r="B1084">
        <f t="shared" si="32"/>
        <v>4.6083602188716437</v>
      </c>
      <c r="C1084">
        <f t="shared" si="33"/>
        <v>0.47978000871820264</v>
      </c>
    </row>
    <row r="1085" spans="1:3" x14ac:dyDescent="0.15">
      <c r="A1085">
        <v>10.81</v>
      </c>
      <c r="B1085">
        <f t="shared" si="32"/>
        <v>4.6522328219543736</v>
      </c>
      <c r="C1085">
        <f t="shared" si="33"/>
        <v>0.47542440845221801</v>
      </c>
    </row>
    <row r="1086" spans="1:3" x14ac:dyDescent="0.15">
      <c r="A1086">
        <v>10.82</v>
      </c>
      <c r="B1086">
        <f t="shared" si="32"/>
        <v>4.6965433651365576</v>
      </c>
      <c r="C1086">
        <f t="shared" si="33"/>
        <v>0.47111252137516774</v>
      </c>
    </row>
    <row r="1087" spans="1:3" x14ac:dyDescent="0.15">
      <c r="A1087">
        <v>10.83</v>
      </c>
      <c r="B1087">
        <f t="shared" si="32"/>
        <v>4.7412961984014252</v>
      </c>
      <c r="C1087">
        <f t="shared" si="33"/>
        <v>0.46684391623871552</v>
      </c>
    </row>
    <row r="1088" spans="1:3" x14ac:dyDescent="0.15">
      <c r="A1088">
        <v>10.84</v>
      </c>
      <c r="B1088">
        <f t="shared" si="32"/>
        <v>4.7864957151001297</v>
      </c>
      <c r="C1088">
        <f t="shared" si="33"/>
        <v>0.4626181661333903</v>
      </c>
    </row>
    <row r="1089" spans="1:3" x14ac:dyDescent="0.15">
      <c r="A1089">
        <v>10.85</v>
      </c>
      <c r="B1089">
        <f t="shared" si="32"/>
        <v>4.8321463523812067</v>
      </c>
      <c r="C1089">
        <f t="shared" si="33"/>
        <v>0.45843484844604138</v>
      </c>
    </row>
    <row r="1090" spans="1:3" x14ac:dyDescent="0.15">
      <c r="A1090">
        <v>10.86</v>
      </c>
      <c r="B1090">
        <f t="shared" si="32"/>
        <v>4.878252591624296</v>
      </c>
      <c r="C1090">
        <f t="shared" si="33"/>
        <v>0.4542935448177256</v>
      </c>
    </row>
    <row r="1091" spans="1:3" x14ac:dyDescent="0.15">
      <c r="A1091">
        <v>10.87</v>
      </c>
      <c r="B1091">
        <f t="shared" si="32"/>
        <v>4.9248189588781734</v>
      </c>
      <c r="C1091">
        <f t="shared" si="33"/>
        <v>0.45019384110202137</v>
      </c>
    </row>
    <row r="1092" spans="1:3" x14ac:dyDescent="0.15">
      <c r="A1092">
        <v>10.88</v>
      </c>
      <c r="B1092">
        <f t="shared" si="32"/>
        <v>4.9718500253031257</v>
      </c>
      <c r="C1092">
        <f t="shared" si="33"/>
        <v>0.44613532732376704</v>
      </c>
    </row>
    <row r="1093" spans="1:3" x14ac:dyDescent="0.15">
      <c r="A1093">
        <v>10.89</v>
      </c>
      <c r="B1093">
        <f t="shared" si="32"/>
        <v>5.019350407617714</v>
      </c>
      <c r="C1093">
        <f t="shared" si="33"/>
        <v>0.44211759763821801</v>
      </c>
    </row>
    <row r="1094" spans="1:3" x14ac:dyDescent="0.15">
      <c r="A1094">
        <v>10.9</v>
      </c>
      <c r="B1094">
        <f t="shared" ref="B1094:B1157" si="34">(1+($A$2-$B$2*C1093)*$E$2)*B1093</f>
        <v>5.0673247685499714</v>
      </c>
      <c r="C1094">
        <f t="shared" ref="C1094:C1157" si="35">(1+($C$2*B1093-$D$2)*$E$2)*C1093</f>
        <v>0.43814025029061993</v>
      </c>
    </row>
    <row r="1095" spans="1:3" x14ac:dyDescent="0.15">
      <c r="A1095">
        <v>10.91</v>
      </c>
      <c r="B1095">
        <f t="shared" si="34"/>
        <v>5.1157778172930746</v>
      </c>
      <c r="C1095">
        <f t="shared" si="35"/>
        <v>0.43420288757619302</v>
      </c>
    </row>
    <row r="1096" spans="1:3" x14ac:dyDescent="0.15">
      <c r="A1096">
        <v>10.92</v>
      </c>
      <c r="B1096">
        <f t="shared" si="34"/>
        <v>5.1647143099655386</v>
      </c>
      <c r="C1096">
        <f t="shared" si="35"/>
        <v>0.4303051158005245</v>
      </c>
    </row>
    <row r="1097" spans="1:3" x14ac:dyDescent="0.15">
      <c r="A1097">
        <v>10.93</v>
      </c>
      <c r="B1097">
        <f t="shared" si="34"/>
        <v>5.2141390500759677</v>
      </c>
      <c r="C1097">
        <f t="shared" si="35"/>
        <v>0.42644654524036452</v>
      </c>
    </row>
    <row r="1098" spans="1:3" x14ac:dyDescent="0.15">
      <c r="A1098">
        <v>10.94</v>
      </c>
      <c r="B1098">
        <f t="shared" si="34"/>
        <v>5.2640568889924193</v>
      </c>
      <c r="C1098">
        <f t="shared" si="35"/>
        <v>0.4226267901048224</v>
      </c>
    </row>
    <row r="1099" spans="1:3" x14ac:dyDescent="0.15">
      <c r="A1099">
        <v>10.95</v>
      </c>
      <c r="B1099">
        <f t="shared" si="34"/>
        <v>5.3144727264164198</v>
      </c>
      <c r="C1099">
        <f t="shared" si="35"/>
        <v>0.41884546849695897</v>
      </c>
    </row>
    <row r="1100" spans="1:3" x14ac:dyDescent="0.15">
      <c r="A1100">
        <v>10.96</v>
      </c>
      <c r="B1100">
        <f t="shared" si="34"/>
        <v>5.3653915108616737</v>
      </c>
      <c r="C1100">
        <f t="shared" si="35"/>
        <v>0.41510220237577145</v>
      </c>
    </row>
    <row r="1101" spans="1:3" x14ac:dyDescent="0.15">
      <c r="A1101">
        <v>10.97</v>
      </c>
      <c r="B1101">
        <f t="shared" si="34"/>
        <v>5.4168182401375233</v>
      </c>
      <c r="C1101">
        <f t="shared" si="35"/>
        <v>0.4113966175185671</v>
      </c>
    </row>
    <row r="1102" spans="1:3" x14ac:dyDescent="0.15">
      <c r="A1102">
        <v>10.98</v>
      </c>
      <c r="B1102">
        <f t="shared" si="34"/>
        <v>5.4687579618371931</v>
      </c>
      <c r="C1102">
        <f t="shared" si="35"/>
        <v>0.4077283434837225</v>
      </c>
    </row>
    <row r="1103" spans="1:3" x14ac:dyDescent="0.15">
      <c r="A1103">
        <v>10.99</v>
      </c>
      <c r="B1103">
        <f t="shared" si="34"/>
        <v>5.5212157738308711</v>
      </c>
      <c r="C1103">
        <f t="shared" si="35"/>
        <v>0.40409701357382394</v>
      </c>
    </row>
    <row r="1104" spans="1:3" x14ac:dyDescent="0.15">
      <c r="A1104">
        <v>11</v>
      </c>
      <c r="B1104">
        <f t="shared" si="34"/>
        <v>5.5741968247636775</v>
      </c>
      <c r="C1104">
        <f t="shared" si="35"/>
        <v>0.40050226479918605</v>
      </c>
    </row>
    <row r="1105" spans="1:3" x14ac:dyDescent="0.15">
      <c r="A1105">
        <v>11.01</v>
      </c>
      <c r="B1105">
        <f t="shared" si="34"/>
        <v>5.6277063145585595</v>
      </c>
      <c r="C1105">
        <f t="shared" si="35"/>
        <v>0.39694373784174503</v>
      </c>
    </row>
    <row r="1106" spans="1:3" x14ac:dyDescent="0.15">
      <c r="A1106">
        <v>11.02</v>
      </c>
      <c r="B1106">
        <f t="shared" si="34"/>
        <v>5.6817494949241691</v>
      </c>
      <c r="C1106">
        <f t="shared" si="35"/>
        <v>0.39342107701932288</v>
      </c>
    </row>
    <row r="1107" spans="1:3" x14ac:dyDescent="0.15">
      <c r="A1107">
        <v>11.03</v>
      </c>
      <c r="B1107">
        <f t="shared" si="34"/>
        <v>5.7363316698677638</v>
      </c>
      <c r="C1107">
        <f t="shared" si="35"/>
        <v>0.38993393025025908</v>
      </c>
    </row>
    <row r="1108" spans="1:3" x14ac:dyDescent="0.15">
      <c r="A1108">
        <v>11.04</v>
      </c>
      <c r="B1108">
        <f t="shared" si="34"/>
        <v>5.791458196213191</v>
      </c>
      <c r="C1108">
        <f t="shared" si="35"/>
        <v>0.3864819490184066</v>
      </c>
    </row>
    <row r="1109" spans="1:3" x14ac:dyDescent="0.15">
      <c r="A1109">
        <v>11.05</v>
      </c>
      <c r="B1109">
        <f t="shared" si="34"/>
        <v>5.8471344841239912</v>
      </c>
      <c r="C1109">
        <f t="shared" si="35"/>
        <v>0.38306478833848873</v>
      </c>
    </row>
    <row r="1110" spans="1:3" x14ac:dyDescent="0.15">
      <c r="A1110">
        <v>11.06</v>
      </c>
      <c r="B1110">
        <f t="shared" si="34"/>
        <v>5.9033659976316839</v>
      </c>
      <c r="C1110">
        <f t="shared" si="35"/>
        <v>0.37968210672181335</v>
      </c>
    </row>
    <row r="1111" spans="1:3" x14ac:dyDescent="0.15">
      <c r="A1111">
        <v>11.07</v>
      </c>
      <c r="B1111">
        <f t="shared" si="34"/>
        <v>5.9601582551692696</v>
      </c>
      <c r="C1111">
        <f t="shared" si="35"/>
        <v>0.37633356614234137</v>
      </c>
    </row>
    <row r="1112" spans="1:3" x14ac:dyDescent="0.15">
      <c r="A1112">
        <v>11.08</v>
      </c>
      <c r="B1112">
        <f t="shared" si="34"/>
        <v>6.0175168301100213</v>
      </c>
      <c r="C1112">
        <f t="shared" si="35"/>
        <v>0.37301883200310609</v>
      </c>
    </row>
    <row r="1113" spans="1:3" x14ac:dyDescent="0.15">
      <c r="A1113">
        <v>11.09</v>
      </c>
      <c r="B1113">
        <f t="shared" si="34"/>
        <v>6.0754473513115954</v>
      </c>
      <c r="C1113">
        <f t="shared" si="35"/>
        <v>0.36973757310298039</v>
      </c>
    </row>
    <row r="1114" spans="1:3" x14ac:dyDescent="0.15">
      <c r="A1114">
        <v>11.1</v>
      </c>
      <c r="B1114">
        <f t="shared" si="34"/>
        <v>6.1339555036655229</v>
      </c>
      <c r="C1114">
        <f t="shared" si="35"/>
        <v>0.36648946160378831</v>
      </c>
    </row>
    <row r="1115" spans="1:3" x14ac:dyDescent="0.15">
      <c r="A1115">
        <v>11.11</v>
      </c>
      <c r="B1115">
        <f t="shared" si="34"/>
        <v>6.1930470286521384</v>
      </c>
      <c r="C1115">
        <f t="shared" si="35"/>
        <v>0.36327417299775844</v>
      </c>
    </row>
    <row r="1116" spans="1:3" x14ac:dyDescent="0.15">
      <c r="A1116">
        <v>11.12</v>
      </c>
      <c r="B1116">
        <f t="shared" si="34"/>
        <v>6.25272772490099</v>
      </c>
      <c r="C1116">
        <f t="shared" si="35"/>
        <v>0.36009138607531482</v>
      </c>
    </row>
    <row r="1117" spans="1:3" x14ac:dyDescent="0.15">
      <c r="A1117">
        <v>11.13</v>
      </c>
      <c r="B1117">
        <f t="shared" si="34"/>
        <v>6.3130034487567892</v>
      </c>
      <c r="C1117">
        <f t="shared" si="35"/>
        <v>0.35694078289320391</v>
      </c>
    </row>
    <row r="1118" spans="1:3" x14ac:dyDescent="0.15">
      <c r="A1118">
        <v>11.14</v>
      </c>
      <c r="B1118">
        <f t="shared" si="34"/>
        <v>6.3738801148509507</v>
      </c>
      <c r="C1118">
        <f t="shared" si="35"/>
        <v>0.3538220487429532</v>
      </c>
    </row>
    <row r="1119" spans="1:3" x14ac:dyDescent="0.15">
      <c r="A1119">
        <v>11.15</v>
      </c>
      <c r="B1119">
        <f t="shared" si="34"/>
        <v>6.4353636966787819</v>
      </c>
      <c r="C1119">
        <f t="shared" si="35"/>
        <v>0.35073487211965937</v>
      </c>
    </row>
    <row r="1120" spans="1:3" x14ac:dyDescent="0.15">
      <c r="A1120">
        <v>11.16</v>
      </c>
      <c r="B1120">
        <f t="shared" si="34"/>
        <v>6.4974602271823718</v>
      </c>
      <c r="C1120">
        <f t="shared" si="35"/>
        <v>0.34767894469110244</v>
      </c>
    </row>
    <row r="1121" spans="1:3" x14ac:dyDescent="0.15">
      <c r="A1121">
        <v>11.17</v>
      </c>
      <c r="B1121">
        <f t="shared" si="34"/>
        <v>6.5601757993392367</v>
      </c>
      <c r="C1121">
        <f t="shared" si="35"/>
        <v>0.34465396126718323</v>
      </c>
    </row>
    <row r="1122" spans="1:3" x14ac:dyDescent="0.15">
      <c r="A1122">
        <v>11.18</v>
      </c>
      <c r="B1122">
        <f t="shared" si="34"/>
        <v>6.623516566756777</v>
      </c>
      <c r="C1122">
        <f t="shared" si="35"/>
        <v>0.34165961976968168</v>
      </c>
    </row>
    <row r="1123" spans="1:3" x14ac:dyDescent="0.15">
      <c r="A1123">
        <v>11.19</v>
      </c>
      <c r="B1123">
        <f t="shared" si="34"/>
        <v>6.687488744272609</v>
      </c>
      <c r="C1123">
        <f t="shared" si="35"/>
        <v>0.3386956212023321</v>
      </c>
    </row>
    <row r="1124" spans="1:3" x14ac:dyDescent="0.15">
      <c r="A1124">
        <v>11.2</v>
      </c>
      <c r="B1124">
        <f t="shared" si="34"/>
        <v>6.7520986085608099</v>
      </c>
      <c r="C1124">
        <f t="shared" si="35"/>
        <v>0.33576166962121379</v>
      </c>
    </row>
    <row r="1125" spans="1:3" x14ac:dyDescent="0.15">
      <c r="A1125">
        <v>11.21</v>
      </c>
      <c r="B1125">
        <f t="shared" si="34"/>
        <v>6.8173524987441612</v>
      </c>
      <c r="C1125">
        <f t="shared" si="35"/>
        <v>0.33285747210545313</v>
      </c>
    </row>
    <row r="1126" spans="1:3" x14ac:dyDescent="0.15">
      <c r="A1126">
        <v>11.22</v>
      </c>
      <c r="B1126">
        <f t="shared" si="34"/>
        <v>6.8832568170124189</v>
      </c>
      <c r="C1126">
        <f t="shared" si="35"/>
        <v>0.32998273872823536</v>
      </c>
    </row>
    <row r="1127" spans="1:3" x14ac:dyDescent="0.15">
      <c r="A1127">
        <v>11.23</v>
      </c>
      <c r="B1127">
        <f t="shared" si="34"/>
        <v>6.9498180292466962</v>
      </c>
      <c r="C1127">
        <f t="shared" si="35"/>
        <v>0.32713718252812252</v>
      </c>
    </row>
    <row r="1128" spans="1:3" x14ac:dyDescent="0.15">
      <c r="A1128">
        <v>11.24</v>
      </c>
      <c r="B1128">
        <f t="shared" si="34"/>
        <v>7.017042665649992</v>
      </c>
      <c r="C1128">
        <f t="shared" si="35"/>
        <v>0.32432051948067547</v>
      </c>
    </row>
    <row r="1129" spans="1:3" x14ac:dyDescent="0.15">
      <c r="A1129">
        <v>11.25</v>
      </c>
      <c r="B1129">
        <f t="shared" si="34"/>
        <v>7.0849373213839497</v>
      </c>
      <c r="C1129">
        <f t="shared" si="35"/>
        <v>0.32153246847037709</v>
      </c>
    </row>
    <row r="1130" spans="1:3" x14ac:dyDescent="0.15">
      <c r="A1130">
        <v>11.26</v>
      </c>
      <c r="B1130">
        <f t="shared" si="34"/>
        <v>7.1535086572118862</v>
      </c>
      <c r="C1130">
        <f t="shared" si="35"/>
        <v>0.31877275126285382</v>
      </c>
    </row>
    <row r="1131" spans="1:3" x14ac:dyDescent="0.15">
      <c r="A1131">
        <v>11.27</v>
      </c>
      <c r="B1131">
        <f t="shared" si="34"/>
        <v>7.2227634001481631</v>
      </c>
      <c r="C1131">
        <f t="shared" si="35"/>
        <v>0.3160410924773937</v>
      </c>
    </row>
    <row r="1132" spans="1:3" x14ac:dyDescent="0.15">
      <c r="A1132">
        <v>11.28</v>
      </c>
      <c r="B1132">
        <f t="shared" si="34"/>
        <v>7.2927083441139562</v>
      </c>
      <c r="C1132">
        <f t="shared" si="35"/>
        <v>0.31333721955975746</v>
      </c>
    </row>
    <row r="1133" spans="1:3" x14ac:dyDescent="0.15">
      <c r="A1133">
        <v>11.29</v>
      </c>
      <c r="B1133">
        <f t="shared" si="34"/>
        <v>7.3633503505994904</v>
      </c>
      <c r="C1133">
        <f t="shared" si="35"/>
        <v>0.31066086275528088</v>
      </c>
    </row>
    <row r="1134" spans="1:3" x14ac:dyDescent="0.15">
      <c r="A1134">
        <v>11.3</v>
      </c>
      <c r="B1134">
        <f t="shared" si="34"/>
        <v>7.4346963493327989</v>
      </c>
      <c r="C1134">
        <f t="shared" si="35"/>
        <v>0.30801175508226536</v>
      </c>
    </row>
    <row r="1135" spans="1:3" x14ac:dyDescent="0.15">
      <c r="A1135">
        <v>11.31</v>
      </c>
      <c r="B1135">
        <f t="shared" si="34"/>
        <v>7.5067533389550656</v>
      </c>
      <c r="C1135">
        <f t="shared" si="35"/>
        <v>0.30538963230565502</v>
      </c>
    </row>
    <row r="1136" spans="1:3" x14ac:dyDescent="0.15">
      <c r="A1136">
        <v>11.32</v>
      </c>
      <c r="B1136">
        <f t="shared" si="34"/>
        <v>7.5795283877026227</v>
      </c>
      <c r="C1136">
        <f t="shared" si="35"/>
        <v>0.302794232910997</v>
      </c>
    </row>
    <row r="1137" spans="1:3" x14ac:dyDescent="0.15">
      <c r="A1137">
        <v>11.33</v>
      </c>
      <c r="B1137">
        <f t="shared" si="34"/>
        <v>7.6530286340956675</v>
      </c>
      <c r="C1137">
        <f t="shared" si="35"/>
        <v>0.30022529807868337</v>
      </c>
    </row>
    <row r="1138" spans="1:3" x14ac:dyDescent="0.15">
      <c r="A1138">
        <v>11.34</v>
      </c>
      <c r="B1138">
        <f t="shared" si="34"/>
        <v>7.7272612876337483</v>
      </c>
      <c r="C1138">
        <f t="shared" si="35"/>
        <v>0.29768257165847178</v>
      </c>
    </row>
    <row r="1139" spans="1:3" x14ac:dyDescent="0.15">
      <c r="A1139">
        <v>11.35</v>
      </c>
      <c r="B1139">
        <f t="shared" si="34"/>
        <v>7.8022336294981054</v>
      </c>
      <c r="C1139">
        <f t="shared" si="35"/>
        <v>0.29516580014428301</v>
      </c>
    </row>
    <row r="1140" spans="1:3" x14ac:dyDescent="0.15">
      <c r="A1140">
        <v>11.36</v>
      </c>
      <c r="B1140">
        <f t="shared" si="34"/>
        <v>7.8779530132609237</v>
      </c>
      <c r="C1140">
        <f t="shared" si="35"/>
        <v>0.29267473264927285</v>
      </c>
    </row>
    <row r="1141" spans="1:3" x14ac:dyDescent="0.15">
      <c r="A1141">
        <v>11.37</v>
      </c>
      <c r="B1141">
        <f t="shared" si="34"/>
        <v>7.9544268656015538</v>
      </c>
      <c r="C1141">
        <f t="shared" si="35"/>
        <v>0.29020912088117606</v>
      </c>
    </row>
    <row r="1142" spans="1:3" x14ac:dyDescent="0.15">
      <c r="A1142">
        <v>11.38</v>
      </c>
      <c r="B1142">
        <f t="shared" si="34"/>
        <v>8.0316626870297902</v>
      </c>
      <c r="C1142">
        <f t="shared" si="35"/>
        <v>0.28776871911792029</v>
      </c>
    </row>
    <row r="1143" spans="1:3" x14ac:dyDescent="0.15">
      <c r="A1143">
        <v>11.39</v>
      </c>
      <c r="B1143">
        <f t="shared" si="34"/>
        <v>8.1096680526162555</v>
      </c>
      <c r="C1143">
        <f t="shared" si="35"/>
        <v>0.2853532841835078</v>
      </c>
    </row>
    <row r="1144" spans="1:3" x14ac:dyDescent="0.15">
      <c r="A1144">
        <v>11.4</v>
      </c>
      <c r="B1144">
        <f t="shared" si="34"/>
        <v>8.1884506127299659</v>
      </c>
      <c r="C1144">
        <f t="shared" si="35"/>
        <v>0.28296257542416314</v>
      </c>
    </row>
    <row r="1145" spans="1:3" x14ac:dyDescent="0.15">
      <c r="A1145">
        <v>11.41</v>
      </c>
      <c r="B1145">
        <f t="shared" si="34"/>
        <v>8.2680180937831533</v>
      </c>
      <c r="C1145">
        <f t="shared" si="35"/>
        <v>0.28059635468474386</v>
      </c>
    </row>
    <row r="1146" spans="1:3" x14ac:dyDescent="0.15">
      <c r="A1146">
        <v>11.42</v>
      </c>
      <c r="B1146">
        <f t="shared" si="34"/>
        <v>8.3483782989834019</v>
      </c>
      <c r="C1146">
        <f t="shared" si="35"/>
        <v>0.27825438628541305</v>
      </c>
    </row>
    <row r="1147" spans="1:3" x14ac:dyDescent="0.15">
      <c r="A1147">
        <v>11.43</v>
      </c>
      <c r="B1147">
        <f t="shared" si="34"/>
        <v>8.4295391090931737</v>
      </c>
      <c r="C1147">
        <f t="shared" si="35"/>
        <v>0.27593643699857134</v>
      </c>
    </row>
    <row r="1148" spans="1:3" x14ac:dyDescent="0.15">
      <c r="A1148">
        <v>11.44</v>
      </c>
      <c r="B1148">
        <f t="shared" si="34"/>
        <v>8.5115084831968009</v>
      </c>
      <c r="C1148">
        <f t="shared" si="35"/>
        <v>0.27364227602604629</v>
      </c>
    </row>
    <row r="1149" spans="1:3" x14ac:dyDescent="0.15">
      <c r="A1149">
        <v>11.45</v>
      </c>
      <c r="B1149">
        <f t="shared" si="34"/>
        <v>8.5942944594750106</v>
      </c>
      <c r="C1149">
        <f t="shared" si="35"/>
        <v>0.27137167497653719</v>
      </c>
    </row>
    <row r="1150" spans="1:3" x14ac:dyDescent="0.15">
      <c r="A1150">
        <v>11.46</v>
      </c>
      <c r="B1150">
        <f t="shared" si="34"/>
        <v>8.6779051559870517</v>
      </c>
      <c r="C1150">
        <f t="shared" si="35"/>
        <v>0.26912440784331371</v>
      </c>
    </row>
    <row r="1151" spans="1:3" x14ac:dyDescent="0.15">
      <c r="A1151">
        <v>11.47</v>
      </c>
      <c r="B1151">
        <f t="shared" si="34"/>
        <v>8.7623487714604984</v>
      </c>
      <c r="C1151">
        <f t="shared" si="35"/>
        <v>0.26690025098216569</v>
      </c>
    </row>
    <row r="1152" spans="1:3" x14ac:dyDescent="0.15">
      <c r="A1152">
        <v>11.48</v>
      </c>
      <c r="B1152">
        <f t="shared" si="34"/>
        <v>8.8476335860888078</v>
      </c>
      <c r="C1152">
        <f t="shared" si="35"/>
        <v>0.26469898308960327</v>
      </c>
    </row>
    <row r="1153" spans="1:3" x14ac:dyDescent="0.15">
      <c r="A1153">
        <v>11.49</v>
      </c>
      <c r="B1153">
        <f t="shared" si="34"/>
        <v>8.9337679623367077</v>
      </c>
      <c r="C1153">
        <f t="shared" si="35"/>
        <v>0.26252038518130466</v>
      </c>
    </row>
    <row r="1154" spans="1:3" x14ac:dyDescent="0.15">
      <c r="A1154">
        <v>11.5</v>
      </c>
      <c r="B1154">
        <f t="shared" si="34"/>
        <v>9.020760345753482</v>
      </c>
      <c r="C1154">
        <f t="shared" si="35"/>
        <v>0.2603642405708102</v>
      </c>
    </row>
    <row r="1155" spans="1:3" x14ac:dyDescent="0.15">
      <c r="A1155">
        <v>11.51</v>
      </c>
      <c r="B1155">
        <f t="shared" si="34"/>
        <v>9.1086192657942249</v>
      </c>
      <c r="C1155">
        <f t="shared" si="35"/>
        <v>0.25823033484846081</v>
      </c>
    </row>
    <row r="1156" spans="1:3" x14ac:dyDescent="0.15">
      <c r="A1156">
        <v>11.52</v>
      </c>
      <c r="B1156">
        <f t="shared" si="34"/>
        <v>9.1973533366491544</v>
      </c>
      <c r="C1156">
        <f t="shared" si="35"/>
        <v>0.25611845586057885</v>
      </c>
    </row>
    <row r="1157" spans="1:3" x14ac:dyDescent="0.15">
      <c r="A1157">
        <v>11.53</v>
      </c>
      <c r="B1157">
        <f t="shared" si="34"/>
        <v>9.2869712580810599</v>
      </c>
      <c r="C1157">
        <f t="shared" si="35"/>
        <v>0.25402839368889041</v>
      </c>
    </row>
    <row r="1158" spans="1:3" x14ac:dyDescent="0.15">
      <c r="A1158">
        <v>11.54</v>
      </c>
      <c r="B1158">
        <f t="shared" ref="B1158:B1221" si="36">(1+($A$2-$B$2*C1157)*$E$2)*B1157</f>
        <v>9.3774818162709455</v>
      </c>
      <c r="C1158">
        <f t="shared" ref="C1158:C1221" si="37">(1+($C$2*B1157-$D$2)*$E$2)*C1157</f>
        <v>0.25195994063018656</v>
      </c>
    </row>
    <row r="1159" spans="1:3" x14ac:dyDescent="0.15">
      <c r="A1159">
        <v>11.55</v>
      </c>
      <c r="B1159">
        <f t="shared" si="36"/>
        <v>9.4688938846719672</v>
      </c>
      <c r="C1159">
        <f t="shared" si="37"/>
        <v>0.24991289117622237</v>
      </c>
    </row>
    <row r="1160" spans="1:3" x14ac:dyDescent="0.15">
      <c r="A1160">
        <v>11.56</v>
      </c>
      <c r="B1160">
        <f t="shared" si="36"/>
        <v>9.5612164248717288</v>
      </c>
      <c r="C1160">
        <f t="shared" si="37"/>
        <v>0.247887041993852</v>
      </c>
    </row>
    <row r="1161" spans="1:3" x14ac:dyDescent="0.15">
      <c r="A1161">
        <v>11.57</v>
      </c>
      <c r="B1161">
        <f t="shared" si="36"/>
        <v>9.654458487463021</v>
      </c>
      <c r="C1161">
        <f t="shared" si="37"/>
        <v>0.24588219190539837</v>
      </c>
    </row>
    <row r="1162" spans="1:3" x14ac:dyDescent="0.15">
      <c r="A1162">
        <v>11.58</v>
      </c>
      <c r="B1162">
        <f t="shared" si="36"/>
        <v>9.7486292129230954</v>
      </c>
      <c r="C1162">
        <f t="shared" si="37"/>
        <v>0.24389814186925579</v>
      </c>
    </row>
    <row r="1163" spans="1:3" x14ac:dyDescent="0.15">
      <c r="A1163">
        <v>11.59</v>
      </c>
      <c r="B1163">
        <f t="shared" si="36"/>
        <v>9.843737832501521</v>
      </c>
      <c r="C1163">
        <f t="shared" si="37"/>
        <v>0.24193469496072412</v>
      </c>
    </row>
    <row r="1164" spans="1:3" x14ac:dyDescent="0.15">
      <c r="A1164">
        <v>11.6</v>
      </c>
      <c r="B1164">
        <f t="shared" si="36"/>
        <v>9.9397936691167565</v>
      </c>
      <c r="C1164">
        <f t="shared" si="37"/>
        <v>0.23999165635307279</v>
      </c>
    </row>
    <row r="1165" spans="1:3" x14ac:dyDescent="0.15">
      <c r="A1165">
        <v>11.61</v>
      </c>
      <c r="B1165">
        <f t="shared" si="36"/>
        <v>10.036806138261465</v>
      </c>
      <c r="C1165">
        <f t="shared" si="37"/>
        <v>0.23806883329883391</v>
      </c>
    </row>
    <row r="1166" spans="1:3" x14ac:dyDescent="0.15">
      <c r="A1166">
        <v>11.62</v>
      </c>
      <c r="B1166">
        <f t="shared" si="36"/>
        <v>10.134784748916697</v>
      </c>
      <c r="C1166">
        <f t="shared" si="37"/>
        <v>0.23616603511132206</v>
      </c>
    </row>
    <row r="1167" spans="1:3" x14ac:dyDescent="0.15">
      <c r="A1167">
        <v>11.63</v>
      </c>
      <c r="B1167">
        <f t="shared" si="36"/>
        <v>10.233739104475006</v>
      </c>
      <c r="C1167">
        <f t="shared" si="37"/>
        <v>0.23428307314638053</v>
      </c>
    </row>
    <row r="1168" spans="1:3" x14ac:dyDescent="0.15">
      <c r="A1168">
        <v>11.64</v>
      </c>
      <c r="B1168">
        <f t="shared" si="36"/>
        <v>10.333678903672583</v>
      </c>
      <c r="C1168">
        <f t="shared" si="37"/>
        <v>0.23241976078435164</v>
      </c>
    </row>
    <row r="1169" spans="1:3" x14ac:dyDescent="0.15">
      <c r="A1169">
        <v>11.65</v>
      </c>
      <c r="B1169">
        <f t="shared" si="36"/>
        <v>10.434613941530495</v>
      </c>
      <c r="C1169">
        <f t="shared" si="37"/>
        <v>0.23057591341227091</v>
      </c>
    </row>
    <row r="1170" spans="1:3" x14ac:dyDescent="0.15">
      <c r="A1170">
        <v>11.66</v>
      </c>
      <c r="B1170">
        <f t="shared" si="36"/>
        <v>10.536554110305127</v>
      </c>
      <c r="C1170">
        <f t="shared" si="37"/>
        <v>0.22875134840628275</v>
      </c>
    </row>
    <row r="1171" spans="1:3" x14ac:dyDescent="0.15">
      <c r="A1171">
        <v>11.67</v>
      </c>
      <c r="B1171">
        <f t="shared" si="36"/>
        <v>10.63950940044789</v>
      </c>
      <c r="C1171">
        <f t="shared" si="37"/>
        <v>0.22694588511427755</v>
      </c>
    </row>
    <row r="1172" spans="1:3" x14ac:dyDescent="0.15">
      <c r="A1172">
        <v>11.68</v>
      </c>
      <c r="B1172">
        <f t="shared" si="36"/>
        <v>10.743489901574304</v>
      </c>
      <c r="C1172">
        <f t="shared" si="37"/>
        <v>0.22515934483874803</v>
      </c>
    </row>
    <row r="1173" spans="1:3" x14ac:dyDescent="0.15">
      <c r="A1173">
        <v>11.69</v>
      </c>
      <c r="B1173">
        <f t="shared" si="36"/>
        <v>10.848505803442526</v>
      </c>
      <c r="C1173">
        <f t="shared" si="37"/>
        <v>0.22339155081986459</v>
      </c>
    </row>
    <row r="1174" spans="1:3" x14ac:dyDescent="0.15">
      <c r="A1174">
        <v>11.7</v>
      </c>
      <c r="B1174">
        <f t="shared" si="36"/>
        <v>10.954567396941442</v>
      </c>
      <c r="C1174">
        <f t="shared" si="37"/>
        <v>0.22164232821876781</v>
      </c>
    </row>
    <row r="1175" spans="1:3" x14ac:dyDescent="0.15">
      <c r="A1175">
        <v>11.71</v>
      </c>
      <c r="B1175">
        <f t="shared" si="36"/>
        <v>11.061685075088368</v>
      </c>
      <c r="C1175">
        <f t="shared" si="37"/>
        <v>0.21991150410107763</v>
      </c>
    </row>
    <row r="1176" spans="1:3" x14ac:dyDescent="0.15">
      <c r="A1176">
        <v>11.72</v>
      </c>
      <c r="B1176">
        <f t="shared" si="36"/>
        <v>11.169869334036497</v>
      </c>
      <c r="C1176">
        <f t="shared" si="37"/>
        <v>0.21819890742061787</v>
      </c>
    </row>
    <row r="1177" spans="1:3" x14ac:dyDescent="0.15">
      <c r="A1177">
        <v>11.73</v>
      </c>
      <c r="B1177">
        <f t="shared" si="36"/>
        <v>11.279130774092144</v>
      </c>
      <c r="C1177">
        <f t="shared" si="37"/>
        <v>0.21650436900335526</v>
      </c>
    </row>
    <row r="1178" spans="1:3" x14ac:dyDescent="0.15">
      <c r="A1178">
        <v>11.74</v>
      </c>
      <c r="B1178">
        <f t="shared" si="36"/>
        <v>11.389480100741913</v>
      </c>
      <c r="C1178">
        <f t="shared" si="37"/>
        <v>0.21482772153155194</v>
      </c>
    </row>
    <row r="1179" spans="1:3" x14ac:dyDescent="0.15">
      <c r="A1179">
        <v>11.75</v>
      </c>
      <c r="B1179">
        <f t="shared" si="36"/>
        <v>11.500928125689862</v>
      </c>
      <c r="C1179">
        <f t="shared" si="37"/>
        <v>0.2131687995281307</v>
      </c>
    </row>
    <row r="1180" spans="1:3" x14ac:dyDescent="0.15">
      <c r="A1180">
        <v>11.76</v>
      </c>
      <c r="B1180">
        <f t="shared" si="36"/>
        <v>11.613485767904749</v>
      </c>
      <c r="C1180">
        <f t="shared" si="37"/>
        <v>0.21152743934125193</v>
      </c>
    </row>
    <row r="1181" spans="1:3" x14ac:dyDescent="0.15">
      <c r="A1181">
        <v>11.77</v>
      </c>
      <c r="B1181">
        <f t="shared" si="36"/>
        <v>11.727164054677484</v>
      </c>
      <c r="C1181">
        <f t="shared" si="37"/>
        <v>0.20990347912910159</v>
      </c>
    </row>
    <row r="1182" spans="1:3" x14ac:dyDescent="0.15">
      <c r="A1182">
        <v>11.78</v>
      </c>
      <c r="B1182">
        <f t="shared" si="36"/>
        <v>11.841974122688864</v>
      </c>
      <c r="C1182">
        <f t="shared" si="37"/>
        <v>0.20829675884488949</v>
      </c>
    </row>
    <row r="1183" spans="1:3" x14ac:dyDescent="0.15">
      <c r="A1183">
        <v>11.79</v>
      </c>
      <c r="B1183">
        <f t="shared" si="36"/>
        <v>11.957927219087672</v>
      </c>
      <c r="C1183">
        <f t="shared" si="37"/>
        <v>0.20670712022205681</v>
      </c>
    </row>
    <row r="1184" spans="1:3" x14ac:dyDescent="0.15">
      <c r="A1184">
        <v>11.8</v>
      </c>
      <c r="B1184">
        <f t="shared" si="36"/>
        <v>12.075034702579266</v>
      </c>
      <c r="C1184">
        <f t="shared" si="37"/>
        <v>0.20513440675969277</v>
      </c>
    </row>
    <row r="1185" spans="1:3" x14ac:dyDescent="0.15">
      <c r="A1185">
        <v>11.81</v>
      </c>
      <c r="B1185">
        <f t="shared" si="36"/>
        <v>12.193308044524743</v>
      </c>
      <c r="C1185">
        <f t="shared" si="37"/>
        <v>0.2035784637081591</v>
      </c>
    </row>
    <row r="1186" spans="1:3" x14ac:dyDescent="0.15">
      <c r="A1186">
        <v>11.82</v>
      </c>
      <c r="B1186">
        <f t="shared" si="36"/>
        <v>12.312758830050765</v>
      </c>
      <c r="C1186">
        <f t="shared" si="37"/>
        <v>0.20203913805492243</v>
      </c>
    </row>
    <row r="1187" spans="1:3" x14ac:dyDescent="0.15">
      <c r="A1187">
        <v>11.83</v>
      </c>
      <c r="B1187">
        <f t="shared" si="36"/>
        <v>12.433398759170172</v>
      </c>
      <c r="C1187">
        <f t="shared" si="37"/>
        <v>0.20051627851059353</v>
      </c>
    </row>
    <row r="1188" spans="1:3" x14ac:dyDescent="0.15">
      <c r="A1188">
        <v>11.84</v>
      </c>
      <c r="B1188">
        <f t="shared" si="36"/>
        <v>12.555239647913448</v>
      </c>
      <c r="C1188">
        <f t="shared" si="37"/>
        <v>0.19900973549517301</v>
      </c>
    </row>
    <row r="1189" spans="1:3" x14ac:dyDescent="0.15">
      <c r="A1189">
        <v>11.85</v>
      </c>
      <c r="B1189">
        <f t="shared" si="36"/>
        <v>12.678293429471173</v>
      </c>
      <c r="C1189">
        <f t="shared" si="37"/>
        <v>0.19751936112450322</v>
      </c>
    </row>
    <row r="1190" spans="1:3" x14ac:dyDescent="0.15">
      <c r="A1190">
        <v>11.86</v>
      </c>
      <c r="B1190">
        <f t="shared" si="36"/>
        <v>12.802572155347546</v>
      </c>
      <c r="C1190">
        <f t="shared" si="37"/>
        <v>0.1960450091969258</v>
      </c>
    </row>
    <row r="1191" spans="1:3" x14ac:dyDescent="0.15">
      <c r="A1191">
        <v>11.87</v>
      </c>
      <c r="B1191">
        <f t="shared" si="36"/>
        <v>12.928087996525083</v>
      </c>
      <c r="C1191">
        <f t="shared" si="37"/>
        <v>0.19458653518014443</v>
      </c>
    </row>
    <row r="1192" spans="1:3" x14ac:dyDescent="0.15">
      <c r="A1192">
        <v>11.88</v>
      </c>
      <c r="B1192">
        <f t="shared" si="36"/>
        <v>13.054853244640585</v>
      </c>
      <c r="C1192">
        <f t="shared" si="37"/>
        <v>0.19314379619829256</v>
      </c>
    </row>
    <row r="1193" spans="1:3" x14ac:dyDescent="0.15">
      <c r="A1193">
        <v>11.89</v>
      </c>
      <c r="B1193">
        <f t="shared" si="36"/>
        <v>13.182880313172507</v>
      </c>
      <c r="C1193">
        <f t="shared" si="37"/>
        <v>0.19171665101920593</v>
      </c>
    </row>
    <row r="1194" spans="1:3" x14ac:dyDescent="0.15">
      <c r="A1194">
        <v>11.9</v>
      </c>
      <c r="B1194">
        <f t="shared" si="36"/>
        <v>13.312181738639804</v>
      </c>
      <c r="C1194">
        <f t="shared" si="37"/>
        <v>0.19030496004189956</v>
      </c>
    </row>
    <row r="1195" spans="1:3" x14ac:dyDescent="0.15">
      <c r="A1195">
        <v>11.91</v>
      </c>
      <c r="B1195">
        <f t="shared" si="36"/>
        <v>13.442770181812362</v>
      </c>
      <c r="C1195">
        <f t="shared" si="37"/>
        <v>0.18890858528424903</v>
      </c>
    </row>
    <row r="1196" spans="1:3" x14ac:dyDescent="0.15">
      <c r="A1196">
        <v>11.92</v>
      </c>
      <c r="B1196">
        <f t="shared" si="36"/>
        <v>13.574658428933139</v>
      </c>
      <c r="C1196">
        <f t="shared" si="37"/>
        <v>0.18752739037087604</v>
      </c>
    </row>
    <row r="1197" spans="1:3" x14ac:dyDescent="0.15">
      <c r="A1197">
        <v>11.93</v>
      </c>
      <c r="B1197">
        <f t="shared" si="36"/>
        <v>13.707859392952116</v>
      </c>
      <c r="C1197">
        <f t="shared" si="37"/>
        <v>0.18616124052123806</v>
      </c>
    </row>
    <row r="1198" spans="1:3" x14ac:dyDescent="0.15">
      <c r="A1198">
        <v>11.94</v>
      </c>
      <c r="B1198">
        <f t="shared" si="36"/>
        <v>13.842386114772156</v>
      </c>
      <c r="C1198">
        <f t="shared" si="37"/>
        <v>0.18481000253792221</v>
      </c>
    </row>
    <row r="1199" spans="1:3" x14ac:dyDescent="0.15">
      <c r="A1199">
        <v>11.95</v>
      </c>
      <c r="B1199">
        <f t="shared" si="36"/>
        <v>13.978251764506876</v>
      </c>
      <c r="C1199">
        <f t="shared" si="37"/>
        <v>0.18347354479514338</v>
      </c>
    </row>
    <row r="1200" spans="1:3" x14ac:dyDescent="0.15">
      <c r="A1200">
        <v>11.96</v>
      </c>
      <c r="B1200">
        <f t="shared" si="36"/>
        <v>14.115469642750671</v>
      </c>
      <c r="C1200">
        <f t="shared" si="37"/>
        <v>0.18215173722744657</v>
      </c>
    </row>
    <row r="1201" spans="1:3" x14ac:dyDescent="0.15">
      <c r="A1201">
        <v>11.97</v>
      </c>
      <c r="B1201">
        <f t="shared" si="36"/>
        <v>14.254053181860971</v>
      </c>
      <c r="C1201">
        <f t="shared" si="37"/>
        <v>0.18084445131861376</v>
      </c>
    </row>
    <row r="1202" spans="1:3" x14ac:dyDescent="0.15">
      <c r="A1202">
        <v>11.98</v>
      </c>
      <c r="B1202">
        <f t="shared" si="36"/>
        <v>14.394015947252839</v>
      </c>
      <c r="C1202">
        <f t="shared" si="37"/>
        <v>0.17955156009077561</v>
      </c>
    </row>
    <row r="1203" spans="1:3" x14ac:dyDescent="0.15">
      <c r="A1203">
        <v>11.99</v>
      </c>
      <c r="B1203">
        <f t="shared" si="36"/>
        <v>14.535371638706065</v>
      </c>
      <c r="C1203">
        <f t="shared" si="37"/>
        <v>0.17827293809372799</v>
      </c>
    </row>
    <row r="1204" spans="1:3" x14ac:dyDescent="0.15">
      <c r="A1204">
        <v>12</v>
      </c>
      <c r="B1204">
        <f t="shared" si="36"/>
        <v>14.678134091684811</v>
      </c>
      <c r="C1204">
        <f t="shared" si="37"/>
        <v>0.17700846139445398</v>
      </c>
    </row>
    <row r="1205" spans="1:3" x14ac:dyDescent="0.15">
      <c r="A1205">
        <v>12.01</v>
      </c>
      <c r="B1205">
        <f t="shared" si="36"/>
        <v>14.822317278669948</v>
      </c>
      <c r="C1205">
        <f t="shared" si="37"/>
        <v>0.17575800756685156</v>
      </c>
    </row>
    <row r="1206" spans="1:3" x14ac:dyDescent="0.15">
      <c r="A1206">
        <v>12.02</v>
      </c>
      <c r="B1206">
        <f t="shared" si="36"/>
        <v>14.967935310504226</v>
      </c>
      <c r="C1206">
        <f t="shared" si="37"/>
        <v>0.1745214556816676</v>
      </c>
    </row>
    <row r="1207" spans="1:3" x14ac:dyDescent="0.15">
      <c r="A1207">
        <v>12.03</v>
      </c>
      <c r="B1207">
        <f t="shared" si="36"/>
        <v>15.115002437750331</v>
      </c>
      <c r="C1207">
        <f t="shared" si="37"/>
        <v>0.17329868629663858</v>
      </c>
    </row>
    <row r="1208" spans="1:3" x14ac:dyDescent="0.15">
      <c r="A1208">
        <v>12.040000000000001</v>
      </c>
      <c r="B1208">
        <f t="shared" si="36"/>
        <v>15.263533052062003</v>
      </c>
      <c r="C1208">
        <f t="shared" si="37"/>
        <v>0.17208958144683872</v>
      </c>
    </row>
    <row r="1209" spans="1:3" x14ac:dyDescent="0.15">
      <c r="A1209">
        <v>12.05</v>
      </c>
      <c r="B1209">
        <f t="shared" si="36"/>
        <v>15.413541687568296</v>
      </c>
      <c r="C1209">
        <f t="shared" si="37"/>
        <v>0.1708940246352362</v>
      </c>
    </row>
    <row r="1210" spans="1:3" x14ac:dyDescent="0.15">
      <c r="A1210">
        <v>12.06</v>
      </c>
      <c r="B1210">
        <f t="shared" si="36"/>
        <v>15.565043022271109</v>
      </c>
      <c r="C1210">
        <f t="shared" si="37"/>
        <v>0.16971190082345816</v>
      </c>
    </row>
    <row r="1211" spans="1:3" x14ac:dyDescent="0.15">
      <c r="A1211">
        <v>12.07</v>
      </c>
      <c r="B1211">
        <f t="shared" si="36"/>
        <v>15.718051879456111</v>
      </c>
      <c r="C1211">
        <f t="shared" si="37"/>
        <v>0.16854309642276527</v>
      </c>
    </row>
    <row r="1212" spans="1:3" x14ac:dyDescent="0.15">
      <c r="A1212">
        <v>12.08</v>
      </c>
      <c r="B1212">
        <f t="shared" si="36"/>
        <v>15.872583229117176</v>
      </c>
      <c r="C1212">
        <f t="shared" si="37"/>
        <v>0.16738749928523708</v>
      </c>
    </row>
    <row r="1213" spans="1:3" x14ac:dyDescent="0.15">
      <c r="A1213">
        <v>12.09</v>
      </c>
      <c r="B1213">
        <f t="shared" si="36"/>
        <v>16.028652189394428</v>
      </c>
      <c r="C1213">
        <f t="shared" si="37"/>
        <v>0.16624499869516846</v>
      </c>
    </row>
    <row r="1214" spans="1:3" x14ac:dyDescent="0.15">
      <c r="A1214">
        <v>12.1</v>
      </c>
      <c r="B1214">
        <f t="shared" si="36"/>
        <v>16.186274028026062</v>
      </c>
      <c r="C1214">
        <f t="shared" si="37"/>
        <v>0.16511548536067899</v>
      </c>
    </row>
    <row r="1215" spans="1:3" x14ac:dyDescent="0.15">
      <c r="A1215">
        <v>12.11</v>
      </c>
      <c r="B1215">
        <f t="shared" si="36"/>
        <v>16.345464163814007</v>
      </c>
      <c r="C1215">
        <f t="shared" si="37"/>
        <v>0.16399885140553588</v>
      </c>
    </row>
    <row r="1216" spans="1:3" x14ac:dyDescent="0.15">
      <c r="A1216">
        <v>12.12</v>
      </c>
      <c r="B1216">
        <f t="shared" si="36"/>
        <v>16.506238168103593</v>
      </c>
      <c r="C1216">
        <f t="shared" si="37"/>
        <v>0.16289499036119168</v>
      </c>
    </row>
    <row r="1217" spans="1:3" x14ac:dyDescent="0.15">
      <c r="A1217">
        <v>12.13</v>
      </c>
      <c r="B1217">
        <f t="shared" si="36"/>
        <v>16.668611766277337</v>
      </c>
      <c r="C1217">
        <f t="shared" si="37"/>
        <v>0.16180379715903831</v>
      </c>
    </row>
    <row r="1218" spans="1:3" x14ac:dyDescent="0.15">
      <c r="A1218">
        <v>12.14</v>
      </c>
      <c r="B1218">
        <f t="shared" si="36"/>
        <v>16.832600839262955</v>
      </c>
      <c r="C1218">
        <f t="shared" si="37"/>
        <v>0.16072516812287863</v>
      </c>
    </row>
    <row r="1219" spans="1:3" x14ac:dyDescent="0.15">
      <c r="A1219">
        <v>12.15</v>
      </c>
      <c r="B1219">
        <f t="shared" si="36"/>
        <v>16.99822142505575</v>
      </c>
      <c r="C1219">
        <f t="shared" si="37"/>
        <v>0.159659000961617</v>
      </c>
    </row>
    <row r="1220" spans="1:3" x14ac:dyDescent="0.15">
      <c r="A1220">
        <v>12.16</v>
      </c>
      <c r="B1220">
        <f t="shared" si="36"/>
        <v>17.165489720255458</v>
      </c>
      <c r="C1220">
        <f t="shared" si="37"/>
        <v>0.15860519476217058</v>
      </c>
    </row>
    <row r="1221" spans="1:3" x14ac:dyDescent="0.15">
      <c r="A1221">
        <v>12.17</v>
      </c>
      <c r="B1221">
        <f t="shared" si="36"/>
        <v>17.334422081617742</v>
      </c>
      <c r="C1221">
        <f t="shared" si="37"/>
        <v>0.15756364998260272</v>
      </c>
    </row>
    <row r="1222" spans="1:3" x14ac:dyDescent="0.15">
      <c r="A1222">
        <v>12.18</v>
      </c>
      <c r="B1222">
        <f t="shared" ref="B1222:B1285" si="38">(1+($A$2-$B$2*C1221)*$E$2)*B1221</f>
        <v>17.505035027620401</v>
      </c>
      <c r="C1222">
        <f t="shared" ref="C1222:C1285" si="39">(1+($C$2*B1221-$D$2)*$E$2)*C1221</f>
        <v>0.15653426844548043</v>
      </c>
    </row>
    <row r="1223" spans="1:3" x14ac:dyDescent="0.15">
      <c r="A1223">
        <v>12.19</v>
      </c>
      <c r="B1223">
        <f t="shared" si="38"/>
        <v>17.677345240044442</v>
      </c>
      <c r="C1223">
        <f t="shared" si="39"/>
        <v>0.15551695333145785</v>
      </c>
    </row>
    <row r="1224" spans="1:3" x14ac:dyDescent="0.15">
      <c r="A1224">
        <v>12.2</v>
      </c>
      <c r="B1224">
        <f t="shared" si="38"/>
        <v>17.851369565570167</v>
      </c>
      <c r="C1224">
        <f t="shared" si="39"/>
        <v>0.15451160917308729</v>
      </c>
    </row>
    <row r="1225" spans="1:3" x14ac:dyDescent="0.15">
      <c r="A1225">
        <v>12.21</v>
      </c>
      <c r="B1225">
        <f t="shared" si="38"/>
        <v>18.02712501738835</v>
      </c>
      <c r="C1225">
        <f t="shared" si="39"/>
        <v>0.15351814184886037</v>
      </c>
    </row>
    <row r="1226" spans="1:3" x14ac:dyDescent="0.15">
      <c r="A1226">
        <v>12.22</v>
      </c>
      <c r="B1226">
        <f t="shared" si="38"/>
        <v>18.204628776826688</v>
      </c>
      <c r="C1226">
        <f t="shared" si="39"/>
        <v>0.15253645857748108</v>
      </c>
    </row>
    <row r="1227" spans="1:3" x14ac:dyDescent="0.15">
      <c r="A1227">
        <v>12.23</v>
      </c>
      <c r="B1227">
        <f t="shared" si="38"/>
        <v>18.38389819499162</v>
      </c>
      <c r="C1227">
        <f t="shared" si="39"/>
        <v>0.15156646791237324</v>
      </c>
    </row>
    <row r="1228" spans="1:3" x14ac:dyDescent="0.15">
      <c r="A1228">
        <v>12.24</v>
      </c>
      <c r="B1228">
        <f t="shared" si="38"/>
        <v>18.564950794425659</v>
      </c>
      <c r="C1228">
        <f t="shared" si="39"/>
        <v>0.15060807973642462</v>
      </c>
    </row>
    <row r="1229" spans="1:3" x14ac:dyDescent="0.15">
      <c r="A1229">
        <v>12.25</v>
      </c>
      <c r="B1229">
        <f t="shared" si="38"/>
        <v>18.747804270780367</v>
      </c>
      <c r="C1229">
        <f t="shared" si="39"/>
        <v>0.1496612052569703</v>
      </c>
    </row>
    <row r="1230" spans="1:3" x14ac:dyDescent="0.15">
      <c r="A1230">
        <v>12.26</v>
      </c>
      <c r="B1230">
        <f t="shared" si="38"/>
        <v>18.932476494505085</v>
      </c>
      <c r="C1230">
        <f t="shared" si="39"/>
        <v>0.14872575700101795</v>
      </c>
    </row>
    <row r="1231" spans="1:3" x14ac:dyDescent="0.15">
      <c r="A1231">
        <v>12.27</v>
      </c>
      <c r="B1231">
        <f t="shared" si="38"/>
        <v>19.118985512551589</v>
      </c>
      <c r="C1231">
        <f t="shared" si="39"/>
        <v>0.14780164881071764</v>
      </c>
    </row>
    <row r="1232" spans="1:3" x14ac:dyDescent="0.15">
      <c r="A1232">
        <v>12.28</v>
      </c>
      <c r="B1232">
        <f t="shared" si="38"/>
        <v>19.307349550094759</v>
      </c>
      <c r="C1232">
        <f t="shared" si="39"/>
        <v>0.14688879583907913</v>
      </c>
    </row>
    <row r="1233" spans="1:3" x14ac:dyDescent="0.15">
      <c r="A1233">
        <v>12.290000000000001</v>
      </c>
      <c r="B1233">
        <f t="shared" si="38"/>
        <v>19.497587012269449</v>
      </c>
      <c r="C1233">
        <f t="shared" si="39"/>
        <v>0.14598711454593988</v>
      </c>
    </row>
    <row r="1234" spans="1:3" x14ac:dyDescent="0.15">
      <c r="A1234">
        <v>12.3</v>
      </c>
      <c r="B1234">
        <f t="shared" si="38"/>
        <v>19.689716485923615</v>
      </c>
      <c r="C1234">
        <f t="shared" si="39"/>
        <v>0.14509652269418641</v>
      </c>
    </row>
    <row r="1235" spans="1:3" x14ac:dyDescent="0.15">
      <c r="A1235">
        <v>12.31</v>
      </c>
      <c r="B1235">
        <f t="shared" si="38"/>
        <v>19.883756741387909</v>
      </c>
      <c r="C1235">
        <f t="shared" si="39"/>
        <v>0.14421693934623292</v>
      </c>
    </row>
    <row r="1236" spans="1:3" x14ac:dyDescent="0.15">
      <c r="A1236">
        <v>12.32</v>
      </c>
      <c r="B1236">
        <f t="shared" si="38"/>
        <v>20.07972673426184</v>
      </c>
      <c r="C1236">
        <f t="shared" si="39"/>
        <v>0.14334828486076018</v>
      </c>
    </row>
    <row r="1237" spans="1:3" x14ac:dyDescent="0.15">
      <c r="A1237">
        <v>12.33</v>
      </c>
      <c r="B1237">
        <f t="shared" si="38"/>
        <v>20.27764560721663</v>
      </c>
      <c r="C1237">
        <f t="shared" si="39"/>
        <v>0.14249048088971841</v>
      </c>
    </row>
    <row r="1238" spans="1:3" x14ac:dyDescent="0.15">
      <c r="A1238">
        <v>12.34</v>
      </c>
      <c r="B1238">
        <f t="shared" si="38"/>
        <v>20.477532691814911</v>
      </c>
      <c r="C1238">
        <f t="shared" si="39"/>
        <v>0.14164345037559795</v>
      </c>
    </row>
    <row r="1239" spans="1:3" x14ac:dyDescent="0.15">
      <c r="A1239">
        <v>12.35</v>
      </c>
      <c r="B1239">
        <f t="shared" si="38"/>
        <v>20.679407510347414</v>
      </c>
      <c r="C1239">
        <f t="shared" si="39"/>
        <v>0.14080711754897152</v>
      </c>
    </row>
    <row r="1240" spans="1:3" x14ac:dyDescent="0.15">
      <c r="A1240">
        <v>12.36</v>
      </c>
      <c r="B1240">
        <f t="shared" si="38"/>
        <v>20.883289777686734</v>
      </c>
      <c r="C1240">
        <f t="shared" si="39"/>
        <v>0.13998140792631231</v>
      </c>
    </row>
    <row r="1241" spans="1:3" x14ac:dyDescent="0.15">
      <c r="A1241">
        <v>12.37</v>
      </c>
      <c r="B1241">
        <f t="shared" si="38"/>
        <v>21.089199403158386</v>
      </c>
      <c r="C1241">
        <f t="shared" si="39"/>
        <v>0.13916624830809193</v>
      </c>
    </row>
    <row r="1242" spans="1:3" x14ac:dyDescent="0.15">
      <c r="A1242">
        <v>12.38</v>
      </c>
      <c r="B1242">
        <f t="shared" si="38"/>
        <v>21.29715649242921</v>
      </c>
      <c r="C1242">
        <f t="shared" si="39"/>
        <v>0.13836156677716277</v>
      </c>
    </row>
    <row r="1243" spans="1:3" x14ac:dyDescent="0.15">
      <c r="A1243">
        <v>12.39</v>
      </c>
      <c r="B1243">
        <f t="shared" si="38"/>
        <v>21.507181349413312</v>
      </c>
      <c r="C1243">
        <f t="shared" si="39"/>
        <v>0.13756729269742932</v>
      </c>
    </row>
    <row r="1244" spans="1:3" x14ac:dyDescent="0.15">
      <c r="A1244">
        <v>12.4</v>
      </c>
      <c r="B1244">
        <f t="shared" si="38"/>
        <v>21.71929447819565</v>
      </c>
      <c r="C1244">
        <f t="shared" si="39"/>
        <v>0.1367833567128133</v>
      </c>
    </row>
    <row r="1245" spans="1:3" x14ac:dyDescent="0.15">
      <c r="A1245">
        <v>12.41</v>
      </c>
      <c r="B1245">
        <f t="shared" si="38"/>
        <v>21.933516584973447</v>
      </c>
      <c r="C1245">
        <f t="shared" si="39"/>
        <v>0.1360096907465175</v>
      </c>
    </row>
    <row r="1246" spans="1:3" x14ac:dyDescent="0.15">
      <c r="A1246">
        <v>12.42</v>
      </c>
      <c r="B1246">
        <f t="shared" si="38"/>
        <v>22.149868580015475</v>
      </c>
      <c r="C1246">
        <f t="shared" si="39"/>
        <v>0.13524622800059349</v>
      </c>
    </row>
    <row r="1247" spans="1:3" x14ac:dyDescent="0.15">
      <c r="A1247">
        <v>12.43</v>
      </c>
      <c r="B1247">
        <f t="shared" si="38"/>
        <v>22.368371579639472</v>
      </c>
      <c r="C1247">
        <f t="shared" si="39"/>
        <v>0.13449290295581875</v>
      </c>
    </row>
    <row r="1248" spans="1:3" x14ac:dyDescent="0.15">
      <c r="A1248">
        <v>12.44</v>
      </c>
      <c r="B1248">
        <f t="shared" si="38"/>
        <v>22.589046908207727</v>
      </c>
      <c r="C1248">
        <f t="shared" si="39"/>
        <v>0.1337496513718886</v>
      </c>
    </row>
    <row r="1249" spans="1:3" x14ac:dyDescent="0.15">
      <c r="A1249">
        <v>12.45</v>
      </c>
      <c r="B1249">
        <f t="shared" si="38"/>
        <v>22.811916100141012</v>
      </c>
      <c r="C1249">
        <f t="shared" si="39"/>
        <v>0.13301641028792893</v>
      </c>
    </row>
    <row r="1250" spans="1:3" x14ac:dyDescent="0.15">
      <c r="A1250">
        <v>12.46</v>
      </c>
      <c r="B1250">
        <f t="shared" si="38"/>
        <v>23.037000901950993</v>
      </c>
      <c r="C1250">
        <f t="shared" si="39"/>
        <v>0.13229311802333568</v>
      </c>
    </row>
    <row r="1251" spans="1:3" x14ac:dyDescent="0.15">
      <c r="A1251">
        <v>12.47</v>
      </c>
      <c r="B1251">
        <f t="shared" si="38"/>
        <v>23.264323274291275</v>
      </c>
      <c r="C1251">
        <f t="shared" si="39"/>
        <v>0.13157971417894743</v>
      </c>
    </row>
    <row r="1252" spans="1:3" x14ac:dyDescent="0.15">
      <c r="A1252">
        <v>12.48</v>
      </c>
      <c r="B1252">
        <f t="shared" si="38"/>
        <v>23.493905394027188</v>
      </c>
      <c r="C1252">
        <f t="shared" si="39"/>
        <v>0.13087613963855751</v>
      </c>
    </row>
    <row r="1253" spans="1:3" x14ac:dyDescent="0.15">
      <c r="A1253">
        <v>12.49</v>
      </c>
      <c r="B1253">
        <f t="shared" si="38"/>
        <v>23.725769656324456</v>
      </c>
      <c r="C1253">
        <f t="shared" si="39"/>
        <v>0.13018233657077269</v>
      </c>
    </row>
    <row r="1254" spans="1:3" x14ac:dyDescent="0.15">
      <c r="A1254">
        <v>12.5</v>
      </c>
      <c r="B1254">
        <f t="shared" si="38"/>
        <v>23.959938676756902</v>
      </c>
      <c r="C1254">
        <f t="shared" si="39"/>
        <v>0.12949824843122501</v>
      </c>
    </row>
    <row r="1255" spans="1:3" x14ac:dyDescent="0.15">
      <c r="A1255">
        <v>12.51</v>
      </c>
      <c r="B1255">
        <f t="shared" si="38"/>
        <v>24.196435293433311</v>
      </c>
      <c r="C1255">
        <f t="shared" si="39"/>
        <v>0.12882381996514466</v>
      </c>
    </row>
    <row r="1256" spans="1:3" x14ac:dyDescent="0.15">
      <c r="A1256">
        <v>12.52</v>
      </c>
      <c r="B1256">
        <f t="shared" si="38"/>
        <v>24.435282569143602</v>
      </c>
      <c r="C1256">
        <f t="shared" si="39"/>
        <v>0.12815899721030111</v>
      </c>
    </row>
    <row r="1257" spans="1:3" x14ac:dyDescent="0.15">
      <c r="A1257">
        <v>12.53</v>
      </c>
      <c r="B1257">
        <f t="shared" si="38"/>
        <v>24.676503793524425</v>
      </c>
      <c r="C1257">
        <f t="shared" si="39"/>
        <v>0.12750372750032046</v>
      </c>
    </row>
    <row r="1258" spans="1:3" x14ac:dyDescent="0.15">
      <c r="A1258">
        <v>12.540000000000001</v>
      </c>
      <c r="B1258">
        <f t="shared" si="38"/>
        <v>24.920122485244317</v>
      </c>
      <c r="C1258">
        <f t="shared" si="39"/>
        <v>0.12685795946838729</v>
      </c>
    </row>
    <row r="1259" spans="1:3" x14ac:dyDescent="0.15">
      <c r="A1259">
        <v>12.55</v>
      </c>
      <c r="B1259">
        <f t="shared" si="38"/>
        <v>25.16616239420858</v>
      </c>
      <c r="C1259">
        <f t="shared" si="39"/>
        <v>0.12622164305133948</v>
      </c>
    </row>
    <row r="1260" spans="1:3" x14ac:dyDescent="0.15">
      <c r="A1260">
        <v>12.56</v>
      </c>
      <c r="B1260">
        <f t="shared" si="38"/>
        <v>25.414647503783971</v>
      </c>
      <c r="C1260">
        <f t="shared" si="39"/>
        <v>0.12559472949416486</v>
      </c>
    </row>
    <row r="1261" spans="1:3" x14ac:dyDescent="0.15">
      <c r="A1261">
        <v>12.57</v>
      </c>
      <c r="B1261">
        <f t="shared" si="38"/>
        <v>25.665602033043381</v>
      </c>
      <c r="C1261">
        <f t="shared" si="39"/>
        <v>0.12497717135490868</v>
      </c>
    </row>
    <row r="1262" spans="1:3" x14ac:dyDescent="0.15">
      <c r="A1262">
        <v>12.58</v>
      </c>
      <c r="B1262">
        <f t="shared" si="38"/>
        <v>25.919050439030602</v>
      </c>
      <c r="C1262">
        <f t="shared" si="39"/>
        <v>0.12436892251000171</v>
      </c>
    </row>
    <row r="1263" spans="1:3" x14ac:dyDescent="0.15">
      <c r="A1263">
        <v>12.59</v>
      </c>
      <c r="B1263">
        <f t="shared" si="38"/>
        <v>26.175017419045322</v>
      </c>
      <c r="C1263">
        <f t="shared" si="39"/>
        <v>0.12376993816001862</v>
      </c>
    </row>
    <row r="1264" spans="1:3" x14ac:dyDescent="0.15">
      <c r="A1264">
        <v>12.6</v>
      </c>
      <c r="B1264">
        <f t="shared" si="38"/>
        <v>26.433527912948485</v>
      </c>
      <c r="C1264">
        <f t="shared" si="39"/>
        <v>0.12318017483587697</v>
      </c>
    </row>
    <row r="1265" spans="1:3" x14ac:dyDescent="0.15">
      <c r="A1265">
        <v>12.61</v>
      </c>
      <c r="B1265">
        <f t="shared" si="38"/>
        <v>26.694607105488124</v>
      </c>
      <c r="C1265">
        <f t="shared" si="39"/>
        <v>0.1225995904054874</v>
      </c>
    </row>
    <row r="1266" spans="1:3" x14ac:dyDescent="0.15">
      <c r="A1266">
        <v>12.62</v>
      </c>
      <c r="B1266">
        <f t="shared" si="38"/>
        <v>26.958280428645836</v>
      </c>
      <c r="C1266">
        <f t="shared" si="39"/>
        <v>0.12202814408086618</v>
      </c>
    </row>
    <row r="1267" spans="1:3" x14ac:dyDescent="0.15">
      <c r="A1267">
        <v>12.63</v>
      </c>
      <c r="B1267">
        <f t="shared" si="38"/>
        <v>27.224573564003975</v>
      </c>
      <c r="C1267">
        <f t="shared" si="39"/>
        <v>0.12146579642572136</v>
      </c>
    </row>
    <row r="1268" spans="1:3" x14ac:dyDescent="0.15">
      <c r="A1268">
        <v>12.64</v>
      </c>
      <c r="B1268">
        <f t="shared" si="38"/>
        <v>27.493512445133714</v>
      </c>
      <c r="C1268">
        <f t="shared" si="39"/>
        <v>0.12091250936352463</v>
      </c>
    </row>
    <row r="1269" spans="1:3" x14ac:dyDescent="0.15">
      <c r="A1269">
        <v>12.65</v>
      </c>
      <c r="B1269">
        <f t="shared" si="38"/>
        <v>27.765123260004092</v>
      </c>
      <c r="C1269">
        <f t="shared" si="39"/>
        <v>0.12036824618608107</v>
      </c>
    </row>
    <row r="1270" spans="1:3" x14ac:dyDescent="0.15">
      <c r="A1270">
        <v>12.66</v>
      </c>
      <c r="B1270">
        <f t="shared" si="38"/>
        <v>28.039432453412186</v>
      </c>
      <c r="C1270">
        <f t="shared" si="39"/>
        <v>0.11983297156260966</v>
      </c>
    </row>
    <row r="1271" spans="1:3" x14ac:dyDescent="0.15">
      <c r="A1271">
        <v>12.67</v>
      </c>
      <c r="B1271">
        <f t="shared" si="38"/>
        <v>28.316466729434488</v>
      </c>
      <c r="C1271">
        <f t="shared" si="39"/>
        <v>0.11930665154934786</v>
      </c>
    </row>
    <row r="1272" spans="1:3" x14ac:dyDescent="0.15">
      <c r="A1272">
        <v>12.68</v>
      </c>
      <c r="B1272">
        <f t="shared" si="38"/>
        <v>28.596253053899634</v>
      </c>
      <c r="C1272">
        <f t="shared" si="39"/>
        <v>0.11878925359969385</v>
      </c>
    </row>
    <row r="1273" spans="1:3" x14ac:dyDescent="0.15">
      <c r="A1273">
        <v>12.69</v>
      </c>
      <c r="B1273">
        <f t="shared" si="38"/>
        <v>28.878818656882611</v>
      </c>
      <c r="C1273">
        <f t="shared" si="39"/>
        <v>0.11828074657490105</v>
      </c>
    </row>
    <row r="1274" spans="1:3" x14ac:dyDescent="0.15">
      <c r="A1274">
        <v>12.7</v>
      </c>
      <c r="B1274">
        <f t="shared" si="38"/>
        <v>29.164191035220501</v>
      </c>
      <c r="C1274">
        <f t="shared" si="39"/>
        <v>0.1177811007553395</v>
      </c>
    </row>
    <row r="1275" spans="1:3" x14ac:dyDescent="0.15">
      <c r="A1275">
        <v>12.71</v>
      </c>
      <c r="B1275">
        <f t="shared" si="38"/>
        <v>29.452397955049939</v>
      </c>
      <c r="C1275">
        <f t="shared" si="39"/>
        <v>0.11729028785233955</v>
      </c>
    </row>
    <row r="1276" spans="1:3" x14ac:dyDescent="0.15">
      <c r="A1276">
        <v>12.72</v>
      </c>
      <c r="B1276">
        <f t="shared" si="38"/>
        <v>29.74346745436635</v>
      </c>
      <c r="C1276">
        <f t="shared" si="39"/>
        <v>0.11680828102063405</v>
      </c>
    </row>
    <row r="1277" spans="1:3" x14ac:dyDescent="0.15">
      <c r="A1277">
        <v>12.73</v>
      </c>
      <c r="B1277">
        <f t="shared" si="38"/>
        <v>30.037427845605077</v>
      </c>
      <c r="C1277">
        <f t="shared" si="39"/>
        <v>0.11633505487141525</v>
      </c>
    </row>
    <row r="1278" spans="1:3" x14ac:dyDescent="0.15">
      <c r="A1278">
        <v>12.74</v>
      </c>
      <c r="B1278">
        <f t="shared" si="38"/>
        <v>30.334307718244514</v>
      </c>
      <c r="C1278">
        <f t="shared" si="39"/>
        <v>0.11587058548602402</v>
      </c>
    </row>
    <row r="1279" spans="1:3" x14ac:dyDescent="0.15">
      <c r="A1279">
        <v>12.75</v>
      </c>
      <c r="B1279">
        <f t="shared" si="38"/>
        <v>30.634135941431332</v>
      </c>
      <c r="C1279">
        <f t="shared" si="39"/>
        <v>0.11541485043028903</v>
      </c>
    </row>
    <row r="1280" spans="1:3" x14ac:dyDescent="0.15">
      <c r="A1280">
        <v>12.76</v>
      </c>
      <c r="B1280">
        <f t="shared" si="38"/>
        <v>30.936941666627902</v>
      </c>
      <c r="C1280">
        <f t="shared" si="39"/>
        <v>0.11496782876953443</v>
      </c>
    </row>
    <row r="1281" spans="1:3" x14ac:dyDescent="0.15">
      <c r="A1281">
        <v>12.77</v>
      </c>
      <c r="B1281">
        <f t="shared" si="38"/>
        <v>31.242754330282001</v>
      </c>
      <c r="C1281">
        <f t="shared" si="39"/>
        <v>0.11452950108427547</v>
      </c>
    </row>
    <row r="1282" spans="1:3" x14ac:dyDescent="0.15">
      <c r="A1282">
        <v>12.78</v>
      </c>
      <c r="B1282">
        <f t="shared" si="38"/>
        <v>31.551603656518875</v>
      </c>
      <c r="C1282">
        <f t="shared" si="39"/>
        <v>0.11409984948662186</v>
      </c>
    </row>
    <row r="1283" spans="1:3" x14ac:dyDescent="0.15">
      <c r="A1283">
        <v>12.790000000000001</v>
      </c>
      <c r="B1283">
        <f t="shared" si="38"/>
        <v>31.863519659855793</v>
      </c>
      <c r="C1283">
        <f t="shared" si="39"/>
        <v>0.1136788576374097</v>
      </c>
    </row>
    <row r="1284" spans="1:3" x14ac:dyDescent="0.15">
      <c r="A1284">
        <v>12.8</v>
      </c>
      <c r="B1284">
        <f t="shared" si="38"/>
        <v>32.178532647939107</v>
      </c>
      <c r="C1284">
        <f t="shared" si="39"/>
        <v>0.11326651076408352</v>
      </c>
    </row>
    <row r="1285" spans="1:3" x14ac:dyDescent="0.15">
      <c r="A1285">
        <v>12.81</v>
      </c>
      <c r="B1285">
        <f t="shared" si="38"/>
        <v>32.496673224303954</v>
      </c>
      <c r="C1285">
        <f t="shared" si="39"/>
        <v>0.11286279567935072</v>
      </c>
    </row>
    <row r="1286" spans="1:3" x14ac:dyDescent="0.15">
      <c r="A1286">
        <v>12.82</v>
      </c>
      <c r="B1286">
        <f t="shared" ref="B1286:B1349" si="40">(1+($A$2-$B$2*C1285)*$E$2)*B1285</f>
        <v>32.817972291156615</v>
      </c>
      <c r="C1286">
        <f t="shared" ref="C1286:C1349" si="41">(1+($C$2*B1285-$D$2)*$E$2)*C1285</f>
        <v>0.11246770080063187</v>
      </c>
    </row>
    <row r="1287" spans="1:3" x14ac:dyDescent="0.15">
      <c r="A1287">
        <v>12.83</v>
      </c>
      <c r="B1287">
        <f t="shared" si="40"/>
        <v>33.142461052179655</v>
      </c>
      <c r="C1287">
        <f t="shared" si="41"/>
        <v>0.11208121617033059</v>
      </c>
    </row>
    <row r="1288" spans="1:3" x14ac:dyDescent="0.15">
      <c r="A1288">
        <v>12.84</v>
      </c>
      <c r="B1288">
        <f t="shared" si="40"/>
        <v>33.470171015359846</v>
      </c>
      <c r="C1288">
        <f t="shared" si="41"/>
        <v>0.11170333347694851</v>
      </c>
    </row>
    <row r="1289" spans="1:3" x14ac:dyDescent="0.15">
      <c r="A1289">
        <v>12.85</v>
      </c>
      <c r="B1289">
        <f t="shared" si="40"/>
        <v>33.801133995838981</v>
      </c>
      <c r="C1289">
        <f t="shared" si="41"/>
        <v>0.11133404607707088</v>
      </c>
    </row>
    <row r="1290" spans="1:3" x14ac:dyDescent="0.15">
      <c r="A1290">
        <v>12.86</v>
      </c>
      <c r="B1290">
        <f t="shared" si="40"/>
        <v>34.135382118787625</v>
      </c>
      <c r="C1290">
        <f t="shared" si="41"/>
        <v>0.11097334901825016</v>
      </c>
    </row>
    <row r="1291" spans="1:3" x14ac:dyDescent="0.15">
      <c r="A1291">
        <v>12.87</v>
      </c>
      <c r="B1291">
        <f t="shared" si="40"/>
        <v>34.472947822301762</v>
      </c>
      <c r="C1291">
        <f t="shared" si="41"/>
        <v>0.11062123906281558</v>
      </c>
    </row>
    <row r="1292" spans="1:3" x14ac:dyDescent="0.15">
      <c r="A1292">
        <v>12.88</v>
      </c>
      <c r="B1292">
        <f t="shared" si="40"/>
        <v>34.813863860322527</v>
      </c>
      <c r="C1292">
        <f t="shared" si="41"/>
        <v>0.11027771471263759</v>
      </c>
    </row>
    <row r="1293" spans="1:3" x14ac:dyDescent="0.15">
      <c r="A1293">
        <v>12.89</v>
      </c>
      <c r="B1293">
        <f t="shared" si="40"/>
        <v>35.158163305578924</v>
      </c>
      <c r="C1293">
        <f t="shared" si="41"/>
        <v>0.10994277623487786</v>
      </c>
    </row>
    <row r="1294" spans="1:3" x14ac:dyDescent="0.15">
      <c r="A1294">
        <v>12.9</v>
      </c>
      <c r="B1294">
        <f t="shared" si="40"/>
        <v>35.505879552553573</v>
      </c>
      <c r="C1294">
        <f t="shared" si="41"/>
        <v>0.109616425688756</v>
      </c>
    </row>
    <row r="1295" spans="1:3" x14ac:dyDescent="0.15">
      <c r="A1295">
        <v>12.91</v>
      </c>
      <c r="B1295">
        <f t="shared" si="40"/>
        <v>35.857046320471618</v>
      </c>
      <c r="C1295">
        <f t="shared" si="41"/>
        <v>0.10929866695336572</v>
      </c>
    </row>
    <row r="1296" spans="1:3" x14ac:dyDescent="0.15">
      <c r="A1296">
        <v>12.92</v>
      </c>
      <c r="B1296">
        <f t="shared" si="40"/>
        <v>36.211697656312623</v>
      </c>
      <c r="C1296">
        <f t="shared" si="41"/>
        <v>0.1089895057565746</v>
      </c>
    </row>
    <row r="1297" spans="1:3" x14ac:dyDescent="0.15">
      <c r="A1297">
        <v>12.93</v>
      </c>
      <c r="B1297">
        <f t="shared" si="40"/>
        <v>36.569867937845579</v>
      </c>
      <c r="C1297">
        <f t="shared" si="41"/>
        <v>0.10868894970504245</v>
      </c>
    </row>
    <row r="1298" spans="1:3" x14ac:dyDescent="0.15">
      <c r="A1298">
        <v>12.94</v>
      </c>
      <c r="B1298">
        <f t="shared" si="40"/>
        <v>36.931591876687015</v>
      </c>
      <c r="C1298">
        <f t="shared" si="41"/>
        <v>0.10839700831539534</v>
      </c>
    </row>
    <row r="1299" spans="1:3" x14ac:dyDescent="0.15">
      <c r="A1299">
        <v>12.95</v>
      </c>
      <c r="B1299">
        <f t="shared" si="40"/>
        <v>37.296904521382132</v>
      </c>
      <c r="C1299">
        <f t="shared" si="41"/>
        <v>0.10811369304659299</v>
      </c>
    </row>
    <row r="1300" spans="1:3" x14ac:dyDescent="0.15">
      <c r="A1300">
        <v>12.96</v>
      </c>
      <c r="B1300">
        <f t="shared" si="40"/>
        <v>37.665841260508941</v>
      </c>
      <c r="C1300">
        <f t="shared" si="41"/>
        <v>0.10783901733352962</v>
      </c>
    </row>
    <row r="1301" spans="1:3" x14ac:dyDescent="0.15">
      <c r="A1301">
        <v>12.97</v>
      </c>
      <c r="B1301">
        <f t="shared" si="40"/>
        <v>38.03843782580546</v>
      </c>
      <c r="C1301">
        <f t="shared" si="41"/>
        <v>0.10757299662190913</v>
      </c>
    </row>
    <row r="1302" spans="1:3" x14ac:dyDescent="0.15">
      <c r="A1302">
        <v>12.98</v>
      </c>
      <c r="B1302">
        <f t="shared" si="40"/>
        <v>38.414730295319771</v>
      </c>
      <c r="C1302">
        <f t="shared" si="41"/>
        <v>0.10731564840443765</v>
      </c>
    </row>
    <row r="1303" spans="1:3" x14ac:dyDescent="0.15">
      <c r="A1303">
        <v>12.99</v>
      </c>
      <c r="B1303">
        <f t="shared" si="40"/>
        <v>38.794755096583046</v>
      </c>
      <c r="C1303">
        <f t="shared" si="41"/>
        <v>0.10706699225837804</v>
      </c>
    </row>
    <row r="1304" spans="1:3" x14ac:dyDescent="0.15">
      <c r="A1304">
        <v>13</v>
      </c>
      <c r="B1304">
        <f t="shared" si="40"/>
        <v>39.17854900980528</v>
      </c>
      <c r="C1304">
        <f t="shared" si="41"/>
        <v>0.10682704988451255</v>
      </c>
    </row>
    <row r="1305" spans="1:3" x14ac:dyDescent="0.15">
      <c r="A1305">
        <v>13.01</v>
      </c>
      <c r="B1305">
        <f t="shared" si="40"/>
        <v>39.566149171093862</v>
      </c>
      <c r="C1305">
        <f t="shared" si="41"/>
        <v>0.10659584514756208</v>
      </c>
    </row>
    <row r="1306" spans="1:3" x14ac:dyDescent="0.15">
      <c r="A1306">
        <v>13.02</v>
      </c>
      <c r="B1306">
        <f t="shared" si="40"/>
        <v>39.957593075694675</v>
      </c>
      <c r="C1306">
        <f t="shared" si="41"/>
        <v>0.10637340411811191</v>
      </c>
    </row>
    <row r="1307" spans="1:3" x14ac:dyDescent="0.15">
      <c r="A1307">
        <v>13.03</v>
      </c>
      <c r="B1307">
        <f t="shared" si="40"/>
        <v>40.352918581255786</v>
      </c>
      <c r="C1307">
        <f t="shared" si="41"/>
        <v>0.10615975511609638</v>
      </c>
    </row>
    <row r="1308" spans="1:3" x14ac:dyDescent="0.15">
      <c r="A1308">
        <v>13.040000000000001</v>
      </c>
      <c r="B1308">
        <f t="shared" si="40"/>
        <v>40.752163911113534</v>
      </c>
      <c r="C1308">
        <f t="shared" si="41"/>
        <v>0.10595492875589659</v>
      </c>
    </row>
    <row r="1309" spans="1:3" x14ac:dyDescent="0.15">
      <c r="A1309">
        <v>13.05</v>
      </c>
      <c r="B1309">
        <f t="shared" si="40"/>
        <v>41.15536765760082</v>
      </c>
      <c r="C1309">
        <f t="shared" si="41"/>
        <v>0.10575895799310775</v>
      </c>
    </row>
    <row r="1310" spans="1:3" x14ac:dyDescent="0.15">
      <c r="A1310">
        <v>13.06</v>
      </c>
      <c r="B1310">
        <f t="shared" si="40"/>
        <v>41.562568785377536</v>
      </c>
      <c r="C1310">
        <f t="shared" si="41"/>
        <v>0.1055718781730349</v>
      </c>
    </row>
    <row r="1311" spans="1:3" x14ac:dyDescent="0.15">
      <c r="A1311">
        <v>13.07</v>
      </c>
      <c r="B1311">
        <f t="shared" si="40"/>
        <v>41.973806634782946</v>
      </c>
      <c r="C1311">
        <f t="shared" si="41"/>
        <v>0.1053937270809782</v>
      </c>
    </row>
    <row r="1312" spans="1:3" x14ac:dyDescent="0.15">
      <c r="A1312">
        <v>13.08</v>
      </c>
      <c r="B1312">
        <f t="shared" si="40"/>
        <v>42.38912092520976</v>
      </c>
      <c r="C1312">
        <f t="shared" si="41"/>
        <v>0.10522454499437163</v>
      </c>
    </row>
    <row r="1313" spans="1:3" x14ac:dyDescent="0.15">
      <c r="A1313">
        <v>13.09</v>
      </c>
      <c r="B1313">
        <f t="shared" si="40"/>
        <v>42.808551758499789</v>
      </c>
      <c r="C1313">
        <f t="shared" si="41"/>
        <v>0.10506437473684123</v>
      </c>
    </row>
    <row r="1314" spans="1:3" x14ac:dyDescent="0.15">
      <c r="A1314">
        <v>13.1</v>
      </c>
      <c r="B1314">
        <f t="shared" si="40"/>
        <v>43.23213962236089</v>
      </c>
      <c r="C1314">
        <f t="shared" si="41"/>
        <v>0.10491326173425211</v>
      </c>
    </row>
    <row r="1315" spans="1:3" x14ac:dyDescent="0.15">
      <c r="A1315">
        <v>13.11</v>
      </c>
      <c r="B1315">
        <f t="shared" si="40"/>
        <v>43.659925393804961</v>
      </c>
      <c r="C1315">
        <f t="shared" si="41"/>
        <v>0.10477125407281609</v>
      </c>
    </row>
    <row r="1316" spans="1:3" x14ac:dyDescent="0.15">
      <c r="A1316">
        <v>13.12</v>
      </c>
      <c r="B1316">
        <f t="shared" si="40"/>
        <v>44.091950342606772</v>
      </c>
      <c r="C1316">
        <f t="shared" si="41"/>
        <v>0.10463840255933485</v>
      </c>
    </row>
    <row r="1317" spans="1:3" x14ac:dyDescent="0.15">
      <c r="A1317">
        <v>13.13</v>
      </c>
      <c r="B1317">
        <f t="shared" si="40"/>
        <v>44.528256134783263</v>
      </c>
      <c r="C1317">
        <f t="shared" si="41"/>
        <v>0.10451476078365668</v>
      </c>
    </row>
    <row r="1318" spans="1:3" x14ac:dyDescent="0.15">
      <c r="A1318">
        <v>13.14</v>
      </c>
      <c r="B1318">
        <f t="shared" si="40"/>
        <v>44.968884836093054</v>
      </c>
      <c r="C1318">
        <f t="shared" si="41"/>
        <v>0.10440038518342816</v>
      </c>
    </row>
    <row r="1319" spans="1:3" x14ac:dyDescent="0.15">
      <c r="A1319">
        <v>13.15</v>
      </c>
      <c r="B1319">
        <f t="shared" si="40"/>
        <v>45.413878915555834</v>
      </c>
      <c r="C1319">
        <f t="shared" si="41"/>
        <v>0.10429533511122534</v>
      </c>
    </row>
    <row r="1320" spans="1:3" x14ac:dyDescent="0.15">
      <c r="A1320">
        <v>13.16</v>
      </c>
      <c r="B1320">
        <f t="shared" si="40"/>
        <v>45.8632812489912</v>
      </c>
      <c r="C1320">
        <f t="shared" si="41"/>
        <v>0.10419967290415279</v>
      </c>
    </row>
    <row r="1321" spans="1:3" x14ac:dyDescent="0.15">
      <c r="A1321">
        <v>13.17</v>
      </c>
      <c r="B1321">
        <f t="shared" si="40"/>
        <v>46.317135122576659</v>
      </c>
      <c r="C1321">
        <f t="shared" si="41"/>
        <v>0.10411346395600246</v>
      </c>
    </row>
    <row r="1322" spans="1:3" x14ac:dyDescent="0.15">
      <c r="A1322">
        <v>13.18</v>
      </c>
      <c r="B1322">
        <f t="shared" si="40"/>
        <v>46.77548423642429</v>
      </c>
      <c r="C1322">
        <f t="shared" si="41"/>
        <v>0.10403677679206837</v>
      </c>
    </row>
    <row r="1323" spans="1:3" x14ac:dyDescent="0.15">
      <c r="A1323">
        <v>13.19</v>
      </c>
      <c r="B1323">
        <f t="shared" si="40"/>
        <v>47.238372708175682</v>
      </c>
      <c r="C1323">
        <f t="shared" si="41"/>
        <v>0.10396968314671684</v>
      </c>
    </row>
    <row r="1324" spans="1:3" x14ac:dyDescent="0.15">
      <c r="A1324">
        <v>13.2</v>
      </c>
      <c r="B1324">
        <f t="shared" si="40"/>
        <v>47.705845076614608</v>
      </c>
      <c r="C1324">
        <f t="shared" si="41"/>
        <v>0.10391225804381679</v>
      </c>
    </row>
    <row r="1325" spans="1:3" x14ac:dyDescent="0.15">
      <c r="A1325">
        <v>13.21</v>
      </c>
      <c r="B1325">
        <f t="shared" si="40"/>
        <v>48.177946305296956</v>
      </c>
      <c r="C1325">
        <f t="shared" si="41"/>
        <v>0.10386457988013853</v>
      </c>
    </row>
    <row r="1326" spans="1:3" x14ac:dyDescent="0.15">
      <c r="A1326">
        <v>13.22</v>
      </c>
      <c r="B1326">
        <f t="shared" si="40"/>
        <v>48.654721786197442</v>
      </c>
      <c r="C1326">
        <f t="shared" si="41"/>
        <v>0.10382673051183466</v>
      </c>
    </row>
    <row r="1327" spans="1:3" x14ac:dyDescent="0.15">
      <c r="A1327">
        <v>13.23</v>
      </c>
      <c r="B1327">
        <f t="shared" si="40"/>
        <v>49.136217343372394</v>
      </c>
      <c r="C1327">
        <f t="shared" si="41"/>
        <v>0.10379879534412108</v>
      </c>
    </row>
    <row r="1328" spans="1:3" x14ac:dyDescent="0.15">
      <c r="A1328">
        <v>13.24</v>
      </c>
      <c r="B1328">
        <f t="shared" si="40"/>
        <v>49.622479236638114</v>
      </c>
      <c r="C1328">
        <f t="shared" si="41"/>
        <v>0.10378086342428165</v>
      </c>
    </row>
    <row r="1329" spans="1:3" x14ac:dyDescent="0.15">
      <c r="A1329">
        <v>13.25</v>
      </c>
      <c r="B1329">
        <f t="shared" si="40"/>
        <v>50.113554165264063</v>
      </c>
      <c r="C1329">
        <f t="shared" si="41"/>
        <v>0.1037730275381252</v>
      </c>
    </row>
    <row r="1330" spans="1:3" x14ac:dyDescent="0.15">
      <c r="A1330">
        <v>13.26</v>
      </c>
      <c r="B1330">
        <f t="shared" si="40"/>
        <v>50.609489271680275</v>
      </c>
      <c r="C1330">
        <f t="shared" si="41"/>
        <v>0.103775384310029</v>
      </c>
    </row>
    <row r="1331" spans="1:3" x14ac:dyDescent="0.15">
      <c r="A1331">
        <v>13.27</v>
      </c>
      <c r="B1331">
        <f t="shared" si="40"/>
        <v>51.110332145198171</v>
      </c>
      <c r="C1331">
        <f t="shared" si="41"/>
        <v>0.10378803430670928</v>
      </c>
    </row>
    <row r="1332" spans="1:3" x14ac:dyDescent="0.15">
      <c r="A1332">
        <v>13.28</v>
      </c>
      <c r="B1332">
        <f t="shared" si="40"/>
        <v>51.616130825744044</v>
      </c>
      <c r="C1332">
        <f t="shared" si="41"/>
        <v>0.10381108214486481</v>
      </c>
    </row>
    <row r="1333" spans="1:3" x14ac:dyDescent="0.15">
      <c r="A1333">
        <v>13.290000000000001</v>
      </c>
      <c r="B1333">
        <f t="shared" si="40"/>
        <v>52.126933807604331</v>
      </c>
      <c r="C1333">
        <f t="shared" si="41"/>
        <v>0.10384463660284646</v>
      </c>
    </row>
    <row r="1334" spans="1:3" x14ac:dyDescent="0.15">
      <c r="A1334">
        <v>13.3</v>
      </c>
      <c r="B1334">
        <f t="shared" si="40"/>
        <v>52.642790043181904</v>
      </c>
      <c r="C1334">
        <f t="shared" si="41"/>
        <v>0.10388881073651227</v>
      </c>
    </row>
    <row r="1335" spans="1:3" x14ac:dyDescent="0.15">
      <c r="A1335">
        <v>13.31</v>
      </c>
      <c r="B1335">
        <f t="shared" si="40"/>
        <v>53.163748946762283</v>
      </c>
      <c r="C1335">
        <f t="shared" si="41"/>
        <v>0.10394372199943475</v>
      </c>
    </row>
    <row r="1336" spans="1:3" x14ac:dyDescent="0.15">
      <c r="A1336">
        <v>13.32</v>
      </c>
      <c r="B1336">
        <f t="shared" si="40"/>
        <v>53.689860398288936</v>
      </c>
      <c r="C1336">
        <f t="shared" si="41"/>
        <v>0.10400949236763439</v>
      </c>
    </row>
    <row r="1337" spans="1:3" x14ac:dyDescent="0.15">
      <c r="A1337">
        <v>13.33</v>
      </c>
      <c r="B1337">
        <f t="shared" si="40"/>
        <v>54.221174747146506</v>
      </c>
      <c r="C1337">
        <f t="shared" si="41"/>
        <v>0.10408624846902109</v>
      </c>
    </row>
    <row r="1338" spans="1:3" x14ac:dyDescent="0.15">
      <c r="A1338">
        <v>13.34</v>
      </c>
      <c r="B1338">
        <f t="shared" si="40"/>
        <v>54.757742815950948</v>
      </c>
      <c r="C1338">
        <f t="shared" si="41"/>
        <v>0.10417412171773362</v>
      </c>
    </row>
    <row r="1339" spans="1:3" x14ac:dyDescent="0.15">
      <c r="A1339">
        <v>13.35</v>
      </c>
      <c r="B1339">
        <f t="shared" si="40"/>
        <v>55.299615904345359</v>
      </c>
      <c r="C1339">
        <f t="shared" si="41"/>
        <v>0.10427324845357572</v>
      </c>
    </row>
    <row r="1340" spans="1:3" x14ac:dyDescent="0.15">
      <c r="A1340">
        <v>13.36</v>
      </c>
      <c r="B1340">
        <f t="shared" si="40"/>
        <v>55.846845792800238</v>
      </c>
      <c r="C1340">
        <f t="shared" si="41"/>
        <v>0.10438377008675617</v>
      </c>
    </row>
    <row r="1341" spans="1:3" x14ac:dyDescent="0.15">
      <c r="A1341">
        <v>13.37</v>
      </c>
      <c r="B1341">
        <f t="shared" si="40"/>
        <v>56.399484746416938</v>
      </c>
      <c r="C1341">
        <f t="shared" si="41"/>
        <v>0.10450583324814985</v>
      </c>
    </row>
    <row r="1342" spans="1:3" x14ac:dyDescent="0.15">
      <c r="A1342">
        <v>13.38</v>
      </c>
      <c r="B1342">
        <f t="shared" si="40"/>
        <v>56.95758551873292</v>
      </c>
      <c r="C1342">
        <f t="shared" si="41"/>
        <v>0.10463958994530648</v>
      </c>
    </row>
    <row r="1343" spans="1:3" x14ac:dyDescent="0.15">
      <c r="A1343">
        <v>13.39</v>
      </c>
      <c r="B1343">
        <f t="shared" si="40"/>
        <v>57.521201355527296</v>
      </c>
      <c r="C1343">
        <f t="shared" si="41"/>
        <v>0.1047851977244444</v>
      </c>
    </row>
    <row r="1344" spans="1:3" x14ac:dyDescent="0.15">
      <c r="A1344">
        <v>13.4</v>
      </c>
      <c r="B1344">
        <f t="shared" si="40"/>
        <v>58.09038599862518</v>
      </c>
      <c r="C1344">
        <f t="shared" si="41"/>
        <v>0.10494281983867726</v>
      </c>
    </row>
    <row r="1345" spans="1:3" x14ac:dyDescent="0.15">
      <c r="A1345">
        <v>13.41</v>
      </c>
      <c r="B1345">
        <f t="shared" si="40"/>
        <v>58.665193689699215</v>
      </c>
      <c r="C1345">
        <f t="shared" si="41"/>
        <v>0.10511262542273307</v>
      </c>
    </row>
    <row r="1346" spans="1:3" x14ac:dyDescent="0.15">
      <c r="A1346">
        <v>13.42</v>
      </c>
      <c r="B1346">
        <f t="shared" si="40"/>
        <v>59.245679174066545</v>
      </c>
      <c r="C1346">
        <f t="shared" si="41"/>
        <v>0.10529478967443724</v>
      </c>
    </row>
    <row r="1347" spans="1:3" x14ac:dyDescent="0.15">
      <c r="A1347">
        <v>13.43</v>
      </c>
      <c r="B1347">
        <f t="shared" si="40"/>
        <v>59.831897704479459</v>
      </c>
      <c r="C1347">
        <f t="shared" si="41"/>
        <v>0.10548949404324338</v>
      </c>
    </row>
    <row r="1348" spans="1:3" x14ac:dyDescent="0.15">
      <c r="A1348">
        <v>13.44</v>
      </c>
      <c r="B1348">
        <f t="shared" si="40"/>
        <v>60.423905044907755</v>
      </c>
      <c r="C1348">
        <f t="shared" si="41"/>
        <v>0.10569692642610948</v>
      </c>
    </row>
    <row r="1349" spans="1:3" x14ac:dyDescent="0.15">
      <c r="A1349">
        <v>13.45</v>
      </c>
      <c r="B1349">
        <f t="shared" si="40"/>
        <v>61.021757474310924</v>
      </c>
      <c r="C1349">
        <f t="shared" si="41"/>
        <v>0.10591728137103035</v>
      </c>
    </row>
    <row r="1350" spans="1:3" x14ac:dyDescent="0.15">
      <c r="A1350">
        <v>13.46</v>
      </c>
      <c r="B1350">
        <f t="shared" ref="B1350:B1413" si="42">(1+($A$2-$B$2*C1349)*$E$2)*B1349</f>
        <v>61.625511790397866</v>
      </c>
      <c r="C1350">
        <f t="shared" ref="C1350:C1413" si="43">(1+($C$2*B1349-$D$2)*$E$2)*C1349</f>
        <v>0.10615076028855232</v>
      </c>
    </row>
    <row r="1351" spans="1:3" x14ac:dyDescent="0.15">
      <c r="A1351">
        <v>13.47</v>
      </c>
      <c r="B1351">
        <f t="shared" si="42"/>
        <v>62.235225313372119</v>
      </c>
      <c r="C1351">
        <f t="shared" si="43"/>
        <v>0.10639757167161117</v>
      </c>
    </row>
    <row r="1352" spans="1:3" x14ac:dyDescent="0.15">
      <c r="A1352">
        <v>13.48</v>
      </c>
      <c r="B1352">
        <f t="shared" si="42"/>
        <v>62.850955889660071</v>
      </c>
      <c r="C1352">
        <f t="shared" si="43"/>
        <v>0.10665793132405073</v>
      </c>
    </row>
    <row r="1353" spans="1:3" x14ac:dyDescent="0.15">
      <c r="A1353">
        <v>13.49</v>
      </c>
      <c r="B1353">
        <f t="shared" si="42"/>
        <v>63.47276189561974</v>
      </c>
      <c r="C1353">
        <f t="shared" si="43"/>
        <v>0.10693206259819629</v>
      </c>
    </row>
    <row r="1354" spans="1:3" x14ac:dyDescent="0.15">
      <c r="A1354">
        <v>13.5</v>
      </c>
      <c r="B1354">
        <f t="shared" si="42"/>
        <v>64.100702241227637</v>
      </c>
      <c r="C1354">
        <f t="shared" si="43"/>
        <v>0.10722019664187489</v>
      </c>
    </row>
    <row r="1355" spans="1:3" x14ac:dyDescent="0.15">
      <c r="A1355">
        <v>13.51</v>
      </c>
      <c r="B1355">
        <f t="shared" si="42"/>
        <v>64.73483637374072</v>
      </c>
      <c r="C1355">
        <f t="shared" si="43"/>
        <v>0.10752257265529348</v>
      </c>
    </row>
    <row r="1356" spans="1:3" x14ac:dyDescent="0.15">
      <c r="A1356">
        <v>13.52</v>
      </c>
      <c r="B1356">
        <f t="shared" si="42"/>
        <v>65.375224281330802</v>
      </c>
      <c r="C1356">
        <f t="shared" si="43"/>
        <v>0.10783943815820536</v>
      </c>
    </row>
    <row r="1357" spans="1:3" x14ac:dyDescent="0.15">
      <c r="A1357">
        <v>13.53</v>
      </c>
      <c r="B1357">
        <f t="shared" si="42"/>
        <v>66.021926496688152</v>
      </c>
      <c r="C1357">
        <f t="shared" si="43"/>
        <v>0.10817104926781639</v>
      </c>
    </row>
    <row r="1358" spans="1:3" x14ac:dyDescent="0.15">
      <c r="A1358">
        <v>13.540000000000001</v>
      </c>
      <c r="B1358">
        <f t="shared" si="42"/>
        <v>66.67500410059121</v>
      </c>
      <c r="C1358">
        <f t="shared" si="43"/>
        <v>0.10851767098790409</v>
      </c>
    </row>
    <row r="1359" spans="1:3" x14ac:dyDescent="0.15">
      <c r="A1359">
        <v>13.55</v>
      </c>
      <c r="B1359">
        <f t="shared" si="42"/>
        <v>67.334518725439025</v>
      </c>
      <c r="C1359">
        <f t="shared" si="43"/>
        <v>0.10887957750964608</v>
      </c>
    </row>
    <row r="1360" spans="1:3" x14ac:dyDescent="0.15">
      <c r="A1360">
        <v>13.56</v>
      </c>
      <c r="B1360">
        <f t="shared" si="42"/>
        <v>68.000532558742776</v>
      </c>
      <c r="C1360">
        <f t="shared" si="43"/>
        <v>0.10925705252467785</v>
      </c>
    </row>
    <row r="1361" spans="1:3" x14ac:dyDescent="0.15">
      <c r="A1361">
        <v>13.57</v>
      </c>
      <c r="B1361">
        <f t="shared" si="42"/>
        <v>68.673108346572718</v>
      </c>
      <c r="C1361">
        <f t="shared" si="43"/>
        <v>0.1096503895509264</v>
      </c>
    </row>
    <row r="1362" spans="1:3" x14ac:dyDescent="0.15">
      <c r="A1362">
        <v>13.58</v>
      </c>
      <c r="B1362">
        <f t="shared" si="42"/>
        <v>69.352309396956571</v>
      </c>
      <c r="C1362">
        <f t="shared" si="43"/>
        <v>0.11005989227179208</v>
      </c>
    </row>
    <row r="1363" spans="1:3" x14ac:dyDescent="0.15">
      <c r="A1363">
        <v>13.59</v>
      </c>
      <c r="B1363">
        <f t="shared" si="42"/>
        <v>70.038199583225108</v>
      </c>
      <c r="C1363">
        <f t="shared" si="43"/>
        <v>0.11048587488927995</v>
      </c>
    </row>
    <row r="1364" spans="1:3" x14ac:dyDescent="0.15">
      <c r="A1364">
        <v>13.6</v>
      </c>
      <c r="B1364">
        <f t="shared" si="42"/>
        <v>70.730843347300734</v>
      </c>
      <c r="C1364">
        <f t="shared" si="43"/>
        <v>0.11092866249171168</v>
      </c>
    </row>
    <row r="1365" spans="1:3" x14ac:dyDescent="0.15">
      <c r="A1365">
        <v>13.61</v>
      </c>
      <c r="B1365">
        <f t="shared" si="42"/>
        <v>71.430305702924315</v>
      </c>
      <c r="C1365">
        <f t="shared" si="43"/>
        <v>0.11138859143667994</v>
      </c>
    </row>
    <row r="1366" spans="1:3" x14ac:dyDescent="0.15">
      <c r="A1366">
        <v>13.62</v>
      </c>
      <c r="B1366">
        <f t="shared" si="42"/>
        <v>72.136652238815415</v>
      </c>
      <c r="C1366">
        <f t="shared" si="43"/>
        <v>0.11186600974994117</v>
      </c>
    </row>
    <row r="1367" spans="1:3" x14ac:dyDescent="0.15">
      <c r="A1367">
        <v>13.63</v>
      </c>
      <c r="B1367">
        <f t="shared" si="42"/>
        <v>72.849949121760901</v>
      </c>
      <c r="C1367">
        <f t="shared" si="43"/>
        <v>0.11236127754097684</v>
      </c>
    </row>
    <row r="1368" spans="1:3" x14ac:dyDescent="0.15">
      <c r="A1368">
        <v>13.64</v>
      </c>
      <c r="B1368">
        <f t="shared" si="42"/>
        <v>73.570263099626402</v>
      </c>
      <c r="C1368">
        <f t="shared" si="43"/>
        <v>0.1128747674359903</v>
      </c>
    </row>
    <row r="1369" spans="1:3" x14ac:dyDescent="0.15">
      <c r="A1369">
        <v>13.65</v>
      </c>
      <c r="B1369">
        <f t="shared" si="42"/>
        <v>74.297661504285102</v>
      </c>
      <c r="C1369">
        <f t="shared" si="43"/>
        <v>0.11340686502914538</v>
      </c>
    </row>
    <row r="1370" spans="1:3" x14ac:dyDescent="0.15">
      <c r="A1370">
        <v>13.66</v>
      </c>
      <c r="B1370">
        <f t="shared" si="42"/>
        <v>75.032212254457747</v>
      </c>
      <c r="C1370">
        <f t="shared" si="43"/>
        <v>0.11395796935289346</v>
      </c>
    </row>
    <row r="1371" spans="1:3" x14ac:dyDescent="0.15">
      <c r="A1371">
        <v>13.67</v>
      </c>
      <c r="B1371">
        <f t="shared" si="42"/>
        <v>75.77398385845774</v>
      </c>
      <c r="C1371">
        <f t="shared" si="43"/>
        <v>0.11452849336827918</v>
      </c>
    </row>
    <row r="1372" spans="1:3" x14ac:dyDescent="0.15">
      <c r="A1372">
        <v>13.68</v>
      </c>
      <c r="B1372">
        <f t="shared" si="42"/>
        <v>76.523045416834492</v>
      </c>
      <c r="C1372">
        <f t="shared" si="43"/>
        <v>0.1151188644761607</v>
      </c>
    </row>
    <row r="1373" spans="1:3" x14ac:dyDescent="0.15">
      <c r="A1373">
        <v>13.69</v>
      </c>
      <c r="B1373">
        <f t="shared" si="42"/>
        <v>77.279466624908196</v>
      </c>
      <c r="C1373">
        <f t="shared" si="43"/>
        <v>0.11572952505032781</v>
      </c>
    </row>
    <row r="1374" spans="1:3" x14ac:dyDescent="0.15">
      <c r="A1374">
        <v>13.7</v>
      </c>
      <c r="B1374">
        <f t="shared" si="42"/>
        <v>78.04331777518864</v>
      </c>
      <c r="C1374">
        <f t="shared" si="43"/>
        <v>0.11636093299355318</v>
      </c>
    </row>
    <row r="1375" spans="1:3" x14ac:dyDescent="0.15">
      <c r="A1375">
        <v>13.71</v>
      </c>
      <c r="B1375">
        <f t="shared" si="42"/>
        <v>78.814669759670295</v>
      </c>
      <c r="C1375">
        <f t="shared" si="43"/>
        <v>0.1170135623176643</v>
      </c>
    </row>
    <row r="1376" spans="1:3" x14ac:dyDescent="0.15">
      <c r="A1376">
        <v>13.72</v>
      </c>
      <c r="B1376">
        <f t="shared" si="42"/>
        <v>79.593594071995525</v>
      </c>
      <c r="C1376">
        <f t="shared" si="43"/>
        <v>0.11768790374878152</v>
      </c>
    </row>
    <row r="1377" spans="1:3" x14ac:dyDescent="0.15">
      <c r="A1377">
        <v>13.73</v>
      </c>
      <c r="B1377">
        <f t="shared" si="42"/>
        <v>80.380162809477312</v>
      </c>
      <c r="C1377">
        <f t="shared" si="43"/>
        <v>0.11838446535892663</v>
      </c>
    </row>
    <row r="1378" spans="1:3" x14ac:dyDescent="0.15">
      <c r="A1378">
        <v>13.74</v>
      </c>
      <c r="B1378">
        <f t="shared" si="42"/>
        <v>81.174448674972425</v>
      </c>
      <c r="C1378">
        <f t="shared" si="43"/>
        <v>0.11910377322527005</v>
      </c>
    </row>
    <row r="1379" spans="1:3" x14ac:dyDescent="0.15">
      <c r="A1379">
        <v>13.75</v>
      </c>
      <c r="B1379">
        <f t="shared" si="42"/>
        <v>81.976524978595478</v>
      </c>
      <c r="C1379">
        <f t="shared" si="43"/>
        <v>0.11984637211835139</v>
      </c>
    </row>
    <row r="1380" spans="1:3" x14ac:dyDescent="0.15">
      <c r="A1380">
        <v>13.76</v>
      </c>
      <c r="B1380">
        <f t="shared" si="42"/>
        <v>82.786465639263881</v>
      </c>
      <c r="C1380">
        <f t="shared" si="43"/>
        <v>0.12061282622067869</v>
      </c>
    </row>
    <row r="1381" spans="1:3" x14ac:dyDescent="0.15">
      <c r="A1381">
        <v>13.77</v>
      </c>
      <c r="B1381">
        <f t="shared" si="42"/>
        <v>83.604345186062943</v>
      </c>
      <c r="C1381">
        <f t="shared" si="43"/>
        <v>0.12140371987718646</v>
      </c>
    </row>
    <row r="1382" spans="1:3" x14ac:dyDescent="0.15">
      <c r="A1382">
        <v>13.78</v>
      </c>
      <c r="B1382">
        <f t="shared" si="42"/>
        <v>84.430238759420092</v>
      </c>
      <c r="C1382">
        <f t="shared" si="43"/>
        <v>0.12221965837911149</v>
      </c>
    </row>
    <row r="1383" spans="1:3" x14ac:dyDescent="0.15">
      <c r="A1383">
        <v>13.790000000000001</v>
      </c>
      <c r="B1383">
        <f t="shared" si="42"/>
        <v>85.26422211207624</v>
      </c>
      <c r="C1383">
        <f t="shared" si="43"/>
        <v>0.12306126878292899</v>
      </c>
    </row>
    <row r="1384" spans="1:3" x14ac:dyDescent="0.15">
      <c r="A1384">
        <v>13.8</v>
      </c>
      <c r="B1384">
        <f t="shared" si="42"/>
        <v>86.1063716098421</v>
      </c>
      <c r="C1384">
        <f t="shared" si="43"/>
        <v>0.12392920076607999</v>
      </c>
    </row>
    <row r="1385" spans="1:3" x14ac:dyDescent="0.15">
      <c r="A1385">
        <v>13.81</v>
      </c>
      <c r="B1385">
        <f t="shared" si="42"/>
        <v>86.956764232126062</v>
      </c>
      <c r="C1385">
        <f t="shared" si="43"/>
        <v>0.12482412752131415</v>
      </c>
    </row>
    <row r="1386" spans="1:3" x14ac:dyDescent="0.15">
      <c r="A1386">
        <v>13.82</v>
      </c>
      <c r="B1386">
        <f t="shared" si="42"/>
        <v>87.815477572219962</v>
      </c>
      <c r="C1386">
        <f t="shared" si="43"/>
        <v>0.12574674669157135</v>
      </c>
    </row>
    <row r="1387" spans="1:3" x14ac:dyDescent="0.15">
      <c r="A1387">
        <v>13.83</v>
      </c>
      <c r="B1387">
        <f t="shared" si="42"/>
        <v>88.682589837328294</v>
      </c>
      <c r="C1387">
        <f t="shared" si="43"/>
        <v>0.12669778134743029</v>
      </c>
    </row>
    <row r="1388" spans="1:3" x14ac:dyDescent="0.15">
      <c r="A1388">
        <v>13.84</v>
      </c>
      <c r="B1388">
        <f t="shared" si="42"/>
        <v>89.55817984832504</v>
      </c>
      <c r="C1388">
        <f t="shared" si="43"/>
        <v>0.1276779810092627</v>
      </c>
    </row>
    <row r="1389" spans="1:3" x14ac:dyDescent="0.15">
      <c r="A1389">
        <v>13.85</v>
      </c>
      <c r="B1389">
        <f t="shared" si="42"/>
        <v>90.442327039222391</v>
      </c>
      <c r="C1389">
        <f t="shared" si="43"/>
        <v>0.12868812271634977</v>
      </c>
    </row>
    <row r="1390" spans="1:3" x14ac:dyDescent="0.15">
      <c r="A1390">
        <v>13.86</v>
      </c>
      <c r="B1390">
        <f t="shared" si="42"/>
        <v>91.335111456333848</v>
      </c>
      <c r="C1390">
        <f t="shared" si="43"/>
        <v>0.12972901214534144</v>
      </c>
    </row>
    <row r="1391" spans="1:3" x14ac:dyDescent="0.15">
      <c r="A1391">
        <v>13.87</v>
      </c>
      <c r="B1391">
        <f t="shared" si="42"/>
        <v>92.236613757113773</v>
      </c>
      <c r="C1391">
        <f t="shared" si="43"/>
        <v>0.13080148478057099</v>
      </c>
    </row>
    <row r="1392" spans="1:3" x14ac:dyDescent="0.15">
      <c r="A1392">
        <v>13.88</v>
      </c>
      <c r="B1392">
        <f t="shared" si="42"/>
        <v>93.146915208654349</v>
      </c>
      <c r="C1392">
        <f t="shared" si="43"/>
        <v>0.1319064071388778</v>
      </c>
    </row>
    <row r="1393" spans="1:3" x14ac:dyDescent="0.15">
      <c r="A1393">
        <v>13.89</v>
      </c>
      <c r="B1393">
        <f t="shared" si="42"/>
        <v>94.066097685819656</v>
      </c>
      <c r="C1393">
        <f t="shared" si="43"/>
        <v>0.13304467805173767</v>
      </c>
    </row>
    <row r="1394" spans="1:3" x14ac:dyDescent="0.15">
      <c r="A1394">
        <v>13.9</v>
      </c>
      <c r="B1394">
        <f t="shared" si="42"/>
        <v>94.994243668995665</v>
      </c>
      <c r="C1394">
        <f t="shared" si="43"/>
        <v>0.13421723000765892</v>
      </c>
    </row>
    <row r="1395" spans="1:3" x14ac:dyDescent="0.15">
      <c r="A1395">
        <v>13.91</v>
      </c>
      <c r="B1395">
        <f t="shared" si="42"/>
        <v>95.931436241433701</v>
      </c>
      <c r="C1395">
        <f t="shared" si="43"/>
        <v>0.13542503055796737</v>
      </c>
    </row>
    <row r="1396" spans="1:3" x14ac:dyDescent="0.15">
      <c r="A1396">
        <v>13.92</v>
      </c>
      <c r="B1396">
        <f t="shared" si="42"/>
        <v>96.877759086163564</v>
      </c>
      <c r="C1396">
        <f t="shared" si="43"/>
        <v>0.13666908378928086</v>
      </c>
    </row>
    <row r="1397" spans="1:3" x14ac:dyDescent="0.15">
      <c r="A1397">
        <v>13.93</v>
      </c>
      <c r="B1397">
        <f t="shared" si="42"/>
        <v>97.833296482451331</v>
      </c>
      <c r="C1397">
        <f t="shared" si="43"/>
        <v>0.13795043186616099</v>
      </c>
    </row>
    <row r="1398" spans="1:3" x14ac:dyDescent="0.15">
      <c r="A1398">
        <v>13.94</v>
      </c>
      <c r="B1398">
        <f t="shared" si="42"/>
        <v>98.798133301775195</v>
      </c>
      <c r="C1398">
        <f t="shared" si="43"/>
        <v>0.13927015664762823</v>
      </c>
    </row>
    <row r="1399" spans="1:3" x14ac:dyDescent="0.15">
      <c r="A1399">
        <v>13.95</v>
      </c>
      <c r="B1399">
        <f t="shared" si="42"/>
        <v>99.772355003291523</v>
      </c>
      <c r="C1399">
        <f t="shared" si="43"/>
        <v>0.14062938138143824</v>
      </c>
    </row>
    <row r="1400" spans="1:3" x14ac:dyDescent="0.15">
      <c r="A1400">
        <v>13.96</v>
      </c>
      <c r="B1400">
        <f t="shared" si="42"/>
        <v>100.75604762876135</v>
      </c>
      <c r="C1400">
        <f t="shared" si="43"/>
        <v>0.14202927248024028</v>
      </c>
    </row>
    <row r="1401" spans="1:3" x14ac:dyDescent="0.15">
      <c r="A1401">
        <v>13.97</v>
      </c>
      <c r="B1401">
        <f t="shared" si="42"/>
        <v>101.74929779690626</v>
      </c>
      <c r="C1401">
        <f t="shared" si="43"/>
        <v>0.14347104138397737</v>
      </c>
    </row>
    <row r="1402" spans="1:3" x14ac:dyDescent="0.15">
      <c r="A1402">
        <v>13.98</v>
      </c>
      <c r="B1402">
        <f t="shared" si="42"/>
        <v>102.75219269716032</v>
      </c>
      <c r="C1402">
        <f t="shared" si="43"/>
        <v>0.1449559465131397</v>
      </c>
    </row>
    <row r="1403" spans="1:3" x14ac:dyDescent="0.15">
      <c r="A1403">
        <v>13.99</v>
      </c>
      <c r="B1403">
        <f t="shared" si="42"/>
        <v>103.7648200827832</v>
      </c>
      <c r="C1403">
        <f t="shared" si="43"/>
        <v>0.14648529531775178</v>
      </c>
    </row>
    <row r="1404" spans="1:3" x14ac:dyDescent="0.15">
      <c r="A1404">
        <v>14</v>
      </c>
      <c r="B1404">
        <f t="shared" si="42"/>
        <v>104.78726826329762</v>
      </c>
      <c r="C1404">
        <f t="shared" si="43"/>
        <v>0.14806044642725824</v>
      </c>
    </row>
    <row r="1405" spans="1:3" x14ac:dyDescent="0.15">
      <c r="A1405">
        <v>14.01</v>
      </c>
      <c r="B1405">
        <f t="shared" si="42"/>
        <v>105.81962609621164</v>
      </c>
      <c r="C1405">
        <f t="shared" si="43"/>
        <v>0.14968281190677701</v>
      </c>
    </row>
    <row r="1406" spans="1:3" x14ac:dyDescent="0.15">
      <c r="A1406">
        <v>14.02</v>
      </c>
      <c r="B1406">
        <f t="shared" si="42"/>
        <v>106.86198297798475</v>
      </c>
      <c r="C1406">
        <f t="shared" si="43"/>
        <v>0.15135385962551021</v>
      </c>
    </row>
    <row r="1407" spans="1:3" x14ac:dyDescent="0.15">
      <c r="A1407">
        <v>14.03</v>
      </c>
      <c r="B1407">
        <f t="shared" si="42"/>
        <v>107.91442883419363</v>
      </c>
      <c r="C1407">
        <f t="shared" si="43"/>
        <v>0.15307511574344582</v>
      </c>
    </row>
    <row r="1408" spans="1:3" x14ac:dyDescent="0.15">
      <c r="A1408">
        <v>14.040000000000001</v>
      </c>
      <c r="B1408">
        <f t="shared" si="42"/>
        <v>108.97705410885138</v>
      </c>
      <c r="C1408">
        <f t="shared" si="43"/>
        <v>0.15484816732284776</v>
      </c>
    </row>
    <row r="1409" spans="1:3" x14ac:dyDescent="0.15">
      <c r="A1409">
        <v>14.05</v>
      </c>
      <c r="B1409">
        <f t="shared" si="42"/>
        <v>110.0499497528309</v>
      </c>
      <c r="C1409">
        <f t="shared" si="43"/>
        <v>0.15667466507141897</v>
      </c>
    </row>
    <row r="1410" spans="1:3" x14ac:dyDescent="0.15">
      <c r="A1410">
        <v>14.06</v>
      </c>
      <c r="B1410">
        <f t="shared" si="42"/>
        <v>111.13320721134056</v>
      </c>
      <c r="C1410">
        <f t="shared" si="43"/>
        <v>0.15855632622443502</v>
      </c>
    </row>
    <row r="1411" spans="1:3" x14ac:dyDescent="0.15">
      <c r="A1411">
        <v>14.07</v>
      </c>
      <c r="B1411">
        <f t="shared" si="42"/>
        <v>112.22691841039699</v>
      </c>
      <c r="C1411">
        <f t="shared" si="43"/>
        <v>0.16049493757358446</v>
      </c>
    </row>
    <row r="1412" spans="1:3" x14ac:dyDescent="0.15">
      <c r="A1412">
        <v>14.08</v>
      </c>
      <c r="B1412">
        <f t="shared" si="42"/>
        <v>113.33117574223661</v>
      </c>
      <c r="C1412">
        <f t="shared" si="43"/>
        <v>0.16249235865071912</v>
      </c>
    </row>
    <row r="1413" spans="1:3" x14ac:dyDescent="0.15">
      <c r="A1413">
        <v>14.09</v>
      </c>
      <c r="B1413">
        <f t="shared" si="42"/>
        <v>114.44607204960396</v>
      </c>
      <c r="C1413">
        <f t="shared" si="43"/>
        <v>0.16455052507521495</v>
      </c>
    </row>
    <row r="1414" spans="1:3" x14ac:dyDescent="0.15">
      <c r="A1414">
        <v>14.1</v>
      </c>
      <c r="B1414">
        <f t="shared" ref="B1414:B1477" si="44">(1+($A$2-$B$2*C1413)*$E$2)*B1413</f>
        <v>115.57170060885144</v>
      </c>
      <c r="C1414">
        <f t="shared" ref="C1414:C1477" si="45">(1+($C$2*B1413-$D$2)*$E$2)*C1413</f>
        <v>0.16667145207417444</v>
      </c>
    </row>
    <row r="1415" spans="1:3" x14ac:dyDescent="0.15">
      <c r="A1415">
        <v>14.11</v>
      </c>
      <c r="B1415">
        <f t="shared" si="44"/>
        <v>116.70815511178078</v>
      </c>
      <c r="C1415">
        <f t="shared" si="45"/>
        <v>0.16885723818526452</v>
      </c>
    </row>
    <row r="1416" spans="1:3" x14ac:dyDescent="0.15">
      <c r="A1416">
        <v>14.12</v>
      </c>
      <c r="B1416">
        <f t="shared" si="44"/>
        <v>117.85552964615272</v>
      </c>
      <c r="C1416">
        <f t="shared" si="45"/>
        <v>0.17111006915258642</v>
      </c>
    </row>
    <row r="1417" spans="1:3" x14ac:dyDescent="0.15">
      <c r="A1417">
        <v>14.13</v>
      </c>
      <c r="B1417">
        <f t="shared" si="44"/>
        <v>119.01391867478648</v>
      </c>
      <c r="C1417">
        <f t="shared" si="45"/>
        <v>0.17343222202661412</v>
      </c>
    </row>
    <row r="1418" spans="1:3" x14ac:dyDescent="0.15">
      <c r="A1418">
        <v>14.14</v>
      </c>
      <c r="B1418">
        <f t="shared" si="44"/>
        <v>120.18341701316649</v>
      </c>
      <c r="C1418">
        <f t="shared" si="45"/>
        <v>0.17582606947992058</v>
      </c>
    </row>
    <row r="1419" spans="1:3" x14ac:dyDescent="0.15">
      <c r="A1419">
        <v>14.15</v>
      </c>
      <c r="B1419">
        <f t="shared" si="44"/>
        <v>121.36411980546806</v>
      </c>
      <c r="C1419">
        <f t="shared" si="45"/>
        <v>0.17829408435113964</v>
      </c>
    </row>
    <row r="1420" spans="1:3" x14ac:dyDescent="0.15">
      <c r="A1420">
        <v>14.16</v>
      </c>
      <c r="B1420">
        <f t="shared" si="44"/>
        <v>122.55612249890895</v>
      </c>
      <c r="C1420">
        <f t="shared" si="45"/>
        <v>0.18083884443038784</v>
      </c>
    </row>
    <row r="1421" spans="1:3" x14ac:dyDescent="0.15">
      <c r="A1421">
        <v>14.17</v>
      </c>
      <c r="B1421">
        <f t="shared" si="44"/>
        <v>123.75952081632747</v>
      </c>
      <c r="C1421">
        <f t="shared" si="45"/>
        <v>0.18346303750019832</v>
      </c>
    </row>
    <row r="1422" spans="1:3" x14ac:dyDescent="0.15">
      <c r="A1422">
        <v>14.18</v>
      </c>
      <c r="B1422">
        <f t="shared" si="44"/>
        <v>124.97441072688221</v>
      </c>
      <c r="C1422">
        <f t="shared" si="45"/>
        <v>0.18616946664690284</v>
      </c>
    </row>
    <row r="1423" spans="1:3" x14ac:dyDescent="0.15">
      <c r="A1423">
        <v>14.19</v>
      </c>
      <c r="B1423">
        <f t="shared" si="44"/>
        <v>126.20088841476149</v>
      </c>
      <c r="C1423">
        <f t="shared" si="45"/>
        <v>0.18896105585834075</v>
      </c>
    </row>
    <row r="1424" spans="1:3" x14ac:dyDescent="0.15">
      <c r="A1424">
        <v>14.2</v>
      </c>
      <c r="B1424">
        <f t="shared" si="44"/>
        <v>127.439050245784</v>
      </c>
      <c r="C1424">
        <f t="shared" si="45"/>
        <v>0.19184085592478012</v>
      </c>
    </row>
    <row r="1425" spans="1:3" x14ac:dyDescent="0.15">
      <c r="A1425">
        <v>14.21</v>
      </c>
      <c r="B1425">
        <f t="shared" si="44"/>
        <v>128.68899273176447</v>
      </c>
      <c r="C1425">
        <f t="shared" si="45"/>
        <v>0.19481205066101079</v>
      </c>
    </row>
    <row r="1426" spans="1:3" x14ac:dyDescent="0.15">
      <c r="A1426">
        <v>14.22</v>
      </c>
      <c r="B1426">
        <f t="shared" si="44"/>
        <v>129.95081249251055</v>
      </c>
      <c r="C1426">
        <f t="shared" si="45"/>
        <v>0.19787796346871567</v>
      </c>
    </row>
    <row r="1427" spans="1:3" x14ac:dyDescent="0.15">
      <c r="A1427">
        <v>14.23</v>
      </c>
      <c r="B1427">
        <f t="shared" si="44"/>
        <v>131.22460621530851</v>
      </c>
      <c r="C1427">
        <f t="shared" si="45"/>
        <v>0.20104206425945312</v>
      </c>
    </row>
    <row r="1428" spans="1:3" x14ac:dyDescent="0.15">
      <c r="A1428">
        <v>14.24</v>
      </c>
      <c r="B1428">
        <f t="shared" si="44"/>
        <v>132.51047061174643</v>
      </c>
      <c r="C1428">
        <f t="shared" si="45"/>
        <v>0.20430797675989049</v>
      </c>
    </row>
    <row r="1429" spans="1:3" x14ac:dyDescent="0.15">
      <c r="A1429">
        <v>14.25</v>
      </c>
      <c r="B1429">
        <f t="shared" si="44"/>
        <v>133.8085023717137</v>
      </c>
      <c r="C1429">
        <f t="shared" si="45"/>
        <v>0.20767948622232896</v>
      </c>
    </row>
    <row r="1430" spans="1:3" x14ac:dyDescent="0.15">
      <c r="A1430">
        <v>14.26</v>
      </c>
      <c r="B1430">
        <f t="shared" si="44"/>
        <v>135.1187981144061</v>
      </c>
      <c r="C1430">
        <f t="shared" si="45"/>
        <v>0.21116054756505304</v>
      </c>
    </row>
    <row r="1431" spans="1:3" x14ac:dyDescent="0.15">
      <c r="A1431">
        <v>14.27</v>
      </c>
      <c r="B1431">
        <f t="shared" si="44"/>
        <v>136.44145433615401</v>
      </c>
      <c r="C1431">
        <f t="shared" si="45"/>
        <v>0.21475529396863649</v>
      </c>
    </row>
    <row r="1432" spans="1:3" x14ac:dyDescent="0.15">
      <c r="A1432">
        <v>14.28</v>
      </c>
      <c r="B1432">
        <f t="shared" si="44"/>
        <v>137.77656735488009</v>
      </c>
      <c r="C1432">
        <f t="shared" si="45"/>
        <v>0.21846804595604391</v>
      </c>
    </row>
    <row r="1433" spans="1:3" x14ac:dyDescent="0.15">
      <c r="A1433">
        <v>14.290000000000001</v>
      </c>
      <c r="B1433">
        <f t="shared" si="44"/>
        <v>139.12423325098032</v>
      </c>
      <c r="C1433">
        <f t="shared" si="45"/>
        <v>0.22230332098619388</v>
      </c>
    </row>
    <row r="1434" spans="1:3" x14ac:dyDescent="0.15">
      <c r="A1434">
        <v>14.3</v>
      </c>
      <c r="B1434">
        <f t="shared" si="44"/>
        <v>140.48454780440878</v>
      </c>
      <c r="C1434">
        <f t="shared" si="45"/>
        <v>0.22626584359260207</v>
      </c>
    </row>
    <row r="1435" spans="1:3" x14ac:dyDescent="0.15">
      <c r="A1435">
        <v>14.31</v>
      </c>
      <c r="B1435">
        <f t="shared" si="44"/>
        <v>141.85760642773218</v>
      </c>
      <c r="C1435">
        <f t="shared" si="45"/>
        <v>0.23036055610081402</v>
      </c>
    </row>
    <row r="1436" spans="1:3" x14ac:dyDescent="0.15">
      <c r="A1436">
        <v>14.32</v>
      </c>
      <c r="B1436">
        <f t="shared" si="44"/>
        <v>143.24350409490566</v>
      </c>
      <c r="C1436">
        <f t="shared" si="45"/>
        <v>0.23459262996057043</v>
      </c>
    </row>
    <row r="1437" spans="1:3" x14ac:dyDescent="0.15">
      <c r="A1437">
        <v>14.33</v>
      </c>
      <c r="B1437">
        <f t="shared" si="44"/>
        <v>144.64233526550433</v>
      </c>
      <c r="C1437">
        <f t="shared" si="45"/>
        <v>0.23896747773104304</v>
      </c>
    </row>
    <row r="1438" spans="1:3" x14ac:dyDescent="0.15">
      <c r="A1438">
        <v>14.34</v>
      </c>
      <c r="B1438">
        <f t="shared" si="44"/>
        <v>146.05419380412786</v>
      </c>
      <c r="C1438">
        <f t="shared" si="45"/>
        <v>0.24349076576003773</v>
      </c>
    </row>
    <row r="1439" spans="1:3" x14ac:dyDescent="0.15">
      <c r="A1439">
        <v>14.35</v>
      </c>
      <c r="B1439">
        <f t="shared" si="44"/>
        <v>147.4791728946773</v>
      </c>
      <c r="C1439">
        <f t="shared" si="45"/>
        <v>0.24816842760080376</v>
      </c>
    </row>
    <row r="1440" spans="1:3" x14ac:dyDescent="0.15">
      <c r="A1440">
        <v>14.36</v>
      </c>
      <c r="B1440">
        <f t="shared" si="44"/>
        <v>148.91736494918294</v>
      </c>
      <c r="C1440">
        <f t="shared" si="45"/>
        <v>0.25300667821302358</v>
      </c>
    </row>
    <row r="1441" spans="1:3" x14ac:dyDescent="0.15">
      <c r="A1441">
        <v>14.37</v>
      </c>
      <c r="B1441">
        <f t="shared" si="44"/>
        <v>150.36886151084076</v>
      </c>
      <c r="C1441">
        <f t="shared" si="45"/>
        <v>0.25801202899769921</v>
      </c>
    </row>
    <row r="1442" spans="1:3" x14ac:dyDescent="0.15">
      <c r="A1442">
        <v>14.38</v>
      </c>
      <c r="B1442">
        <f t="shared" si="44"/>
        <v>151.83375315089268</v>
      </c>
      <c r="C1442">
        <f t="shared" si="45"/>
        <v>0.26319130371901944</v>
      </c>
    </row>
    <row r="1443" spans="1:3" x14ac:dyDescent="0.15">
      <c r="A1443">
        <v>14.39</v>
      </c>
      <c r="B1443">
        <f t="shared" si="44"/>
        <v>153.31212935896127</v>
      </c>
      <c r="C1443">
        <f t="shared" si="45"/>
        <v>0.26855165536989628</v>
      </c>
    </row>
    <row r="1444" spans="1:3" x14ac:dyDescent="0.15">
      <c r="A1444">
        <v>14.4</v>
      </c>
      <c r="B1444">
        <f t="shared" si="44"/>
        <v>154.80407842642325</v>
      </c>
      <c r="C1444">
        <f t="shared" si="45"/>
        <v>0.27410058404172388</v>
      </c>
    </row>
    <row r="1445" spans="1:3" x14ac:dyDescent="0.15">
      <c r="A1445">
        <v>14.41</v>
      </c>
      <c r="B1445">
        <f t="shared" si="44"/>
        <v>156.30968732237878</v>
      </c>
      <c r="C1445">
        <f t="shared" si="45"/>
        <v>0.27984595586305133</v>
      </c>
    </row>
    <row r="1446" spans="1:3" x14ac:dyDescent="0.15">
      <c r="A1446">
        <v>14.42</v>
      </c>
      <c r="B1446">
        <f t="shared" si="44"/>
        <v>157.82904156174317</v>
      </c>
      <c r="C1446">
        <f t="shared" si="45"/>
        <v>0.28579602307629798</v>
      </c>
    </row>
    <row r="1447" spans="1:3" x14ac:dyDescent="0.15">
      <c r="A1447">
        <v>14.43</v>
      </c>
      <c r="B1447">
        <f t="shared" si="44"/>
        <v>159.36222506495633</v>
      </c>
      <c r="C1447">
        <f t="shared" si="45"/>
        <v>0.29195944532639301</v>
      </c>
    </row>
    <row r="1448" spans="1:3" x14ac:dyDescent="0.15">
      <c r="A1448">
        <v>14.44</v>
      </c>
      <c r="B1448">
        <f t="shared" si="44"/>
        <v>160.90932000876995</v>
      </c>
      <c r="C1448">
        <f t="shared" si="45"/>
        <v>0.29834531224031796</v>
      </c>
    </row>
    <row r="1449" spans="1:3" x14ac:dyDescent="0.15">
      <c r="A1449">
        <v>14.45</v>
      </c>
      <c r="B1449">
        <f t="shared" si="44"/>
        <v>162.47040666753728</v>
      </c>
      <c r="C1449">
        <f t="shared" si="45"/>
        <v>0.30496316738199353</v>
      </c>
    </row>
    <row r="1450" spans="1:3" x14ac:dyDescent="0.15">
      <c r="A1450">
        <v>14.46</v>
      </c>
      <c r="B1450">
        <f t="shared" si="44"/>
        <v>164.04556324438948</v>
      </c>
      <c r="C1450">
        <f t="shared" si="45"/>
        <v>0.31182303367280817</v>
      </c>
    </row>
    <row r="1451" spans="1:3" x14ac:dyDescent="0.15">
      <c r="A1451">
        <v>14.47</v>
      </c>
      <c r="B1451">
        <f t="shared" si="44"/>
        <v>165.63486569164198</v>
      </c>
      <c r="C1451">
        <f t="shared" si="45"/>
        <v>0.31893544037436611</v>
      </c>
    </row>
    <row r="1452" spans="1:3" x14ac:dyDescent="0.15">
      <c r="A1452">
        <v>14.48</v>
      </c>
      <c r="B1452">
        <f t="shared" si="44"/>
        <v>167.2383875197277</v>
      </c>
      <c r="C1452">
        <f t="shared" si="45"/>
        <v>0.32631145173676501</v>
      </c>
    </row>
    <row r="1453" spans="1:3" x14ac:dyDescent="0.15">
      <c r="A1453">
        <v>14.49</v>
      </c>
      <c r="B1453">
        <f t="shared" si="44"/>
        <v>168.85619959390732</v>
      </c>
      <c r="C1453">
        <f t="shared" si="45"/>
        <v>0.333962697422933</v>
      </c>
    </row>
    <row r="1454" spans="1:3" x14ac:dyDescent="0.15">
      <c r="A1454">
        <v>14.5</v>
      </c>
      <c r="B1454">
        <f t="shared" si="44"/>
        <v>170.48836991795341</v>
      </c>
      <c r="C1454">
        <f t="shared" si="45"/>
        <v>0.34190140482729697</v>
      </c>
    </row>
    <row r="1455" spans="1:3" x14ac:dyDescent="0.15">
      <c r="A1455">
        <v>14.51</v>
      </c>
      <c r="B1455">
        <f t="shared" si="44"/>
        <v>172.13496340395128</v>
      </c>
      <c r="C1455">
        <f t="shared" si="45"/>
        <v>0.35014043341535683</v>
      </c>
    </row>
    <row r="1456" spans="1:3" x14ac:dyDescent="0.15">
      <c r="A1456">
        <v>14.52</v>
      </c>
      <c r="B1456">
        <f t="shared" si="44"/>
        <v>173.79604162729859</v>
      </c>
      <c r="C1456">
        <f t="shared" si="45"/>
        <v>0.35869331121964249</v>
      </c>
    </row>
    <row r="1457" spans="1:3" x14ac:dyDescent="0.15">
      <c r="A1457">
        <v>14.53</v>
      </c>
      <c r="B1457">
        <f t="shared" si="44"/>
        <v>175.47166256592342</v>
      </c>
      <c r="C1457">
        <f t="shared" si="45"/>
        <v>0.36757427363707856</v>
      </c>
    </row>
    <row r="1458" spans="1:3" x14ac:dyDescent="0.15">
      <c r="A1458">
        <v>14.540000000000001</v>
      </c>
      <c r="B1458">
        <f t="shared" si="44"/>
        <v>177.1618803226711</v>
      </c>
      <c r="C1458">
        <f t="shared" si="45"/>
        <v>0.37679830468301978</v>
      </c>
    </row>
    <row r="1459" spans="1:3" x14ac:dyDescent="0.15">
      <c r="A1459">
        <v>14.55</v>
      </c>
      <c r="B1459">
        <f t="shared" si="44"/>
        <v>178.86674482973777</v>
      </c>
      <c r="C1459">
        <f t="shared" si="45"/>
        <v>0.38638118086819734</v>
      </c>
    </row>
    <row r="1460" spans="1:3" x14ac:dyDescent="0.15">
      <c r="A1460">
        <v>14.56</v>
      </c>
      <c r="B1460">
        <f t="shared" si="44"/>
        <v>180.58630153394978</v>
      </c>
      <c r="C1460">
        <f t="shared" si="45"/>
        <v>0.39633951787658828</v>
      </c>
    </row>
    <row r="1461" spans="1:3" x14ac:dyDescent="0.15">
      <c r="A1461">
        <v>14.57</v>
      </c>
      <c r="B1461">
        <f t="shared" si="44"/>
        <v>182.3205910616042</v>
      </c>
      <c r="C1461">
        <f t="shared" si="45"/>
        <v>0.40669082023483882</v>
      </c>
    </row>
    <row r="1462" spans="1:3" x14ac:dyDescent="0.15">
      <c r="A1462">
        <v>14.58</v>
      </c>
      <c r="B1462">
        <f t="shared" si="44"/>
        <v>184.06964886149569</v>
      </c>
      <c r="C1462">
        <f t="shared" si="45"/>
        <v>0.41745353417739933</v>
      </c>
    </row>
    <row r="1463" spans="1:3" x14ac:dyDescent="0.15">
      <c r="A1463">
        <v>14.59</v>
      </c>
      <c r="B1463">
        <f t="shared" si="44"/>
        <v>185.83350482465863</v>
      </c>
      <c r="C1463">
        <f t="shared" si="45"/>
        <v>0.42864710392603017</v>
      </c>
    </row>
    <row r="1464" spans="1:3" x14ac:dyDescent="0.15">
      <c r="A1464">
        <v>14.6</v>
      </c>
      <c r="B1464">
        <f t="shared" si="44"/>
        <v>187.6121828792497</v>
      </c>
      <c r="C1464">
        <f t="shared" si="45"/>
        <v>0.44029203161787261</v>
      </c>
    </row>
    <row r="1465" spans="1:3" x14ac:dyDescent="0.15">
      <c r="A1465">
        <v>14.61</v>
      </c>
      <c r="B1465">
        <f t="shared" si="44"/>
        <v>189.40570055888605</v>
      </c>
      <c r="C1465">
        <f t="shared" si="45"/>
        <v>0.45240994113292765</v>
      </c>
    </row>
    <row r="1466" spans="1:3" x14ac:dyDescent="0.15">
      <c r="A1466">
        <v>14.62</v>
      </c>
      <c r="B1466">
        <f t="shared" si="44"/>
        <v>191.21406854263483</v>
      </c>
      <c r="C1466">
        <f t="shared" si="45"/>
        <v>0.46502364608961566</v>
      </c>
    </row>
    <row r="1467" spans="1:3" x14ac:dyDescent="0.15">
      <c r="A1467">
        <v>14.63</v>
      </c>
      <c r="B1467">
        <f t="shared" si="44"/>
        <v>193.03729016472386</v>
      </c>
      <c r="C1467">
        <f t="shared" si="45"/>
        <v>0.47815722229618463</v>
      </c>
    </row>
    <row r="1468" spans="1:3" x14ac:dyDescent="0.15">
      <c r="A1468">
        <v>14.64</v>
      </c>
      <c r="B1468">
        <f t="shared" si="44"/>
        <v>194.87536089190633</v>
      </c>
      <c r="C1468">
        <f t="shared" si="45"/>
        <v>0.49183608496617215</v>
      </c>
    </row>
    <row r="1469" spans="1:3" x14ac:dyDescent="0.15">
      <c r="A1469">
        <v>14.65</v>
      </c>
      <c r="B1469">
        <f t="shared" si="44"/>
        <v>196.72826776626795</v>
      </c>
      <c r="C1469">
        <f t="shared" si="45"/>
        <v>0.50608707102799944</v>
      </c>
    </row>
    <row r="1470" spans="1:3" x14ac:dyDescent="0.15">
      <c r="A1470">
        <v>14.66</v>
      </c>
      <c r="B1470">
        <f t="shared" si="44"/>
        <v>198.59598881110838</v>
      </c>
      <c r="C1470">
        <f t="shared" si="45"/>
        <v>0.52093852688216802</v>
      </c>
    </row>
    <row r="1471" spans="1:3" x14ac:dyDescent="0.15">
      <c r="A1471">
        <v>14.67</v>
      </c>
      <c r="B1471">
        <f t="shared" si="44"/>
        <v>200.47849239736348</v>
      </c>
      <c r="C1471">
        <f t="shared" si="45"/>
        <v>0.53642040198453966</v>
      </c>
    </row>
    <row r="1472" spans="1:3" x14ac:dyDescent="0.15">
      <c r="A1472">
        <v>14.68</v>
      </c>
      <c r="B1472">
        <f t="shared" si="44"/>
        <v>202.37573656785605</v>
      </c>
      <c r="C1472">
        <f t="shared" si="45"/>
        <v>0.55256434866090387</v>
      </c>
    </row>
    <row r="1473" spans="1:3" x14ac:dyDescent="0.15">
      <c r="A1473">
        <v>14.69</v>
      </c>
      <c r="B1473">
        <f t="shared" si="44"/>
        <v>204.2876683164732</v>
      </c>
      <c r="C1473">
        <f t="shared" si="45"/>
        <v>0.56940382858657246</v>
      </c>
    </row>
    <row r="1474" spans="1:3" x14ac:dyDescent="0.15">
      <c r="A1474">
        <v>14.7</v>
      </c>
      <c r="B1474">
        <f t="shared" si="44"/>
        <v>206.21422281916551</v>
      </c>
      <c r="C1474">
        <f t="shared" si="45"/>
        <v>0.58697422639519148</v>
      </c>
    </row>
    <row r="1475" spans="1:3" x14ac:dyDescent="0.15">
      <c r="A1475">
        <v>14.71</v>
      </c>
      <c r="B1475">
        <f t="shared" si="44"/>
        <v>208.15532261344617</v>
      </c>
      <c r="C1475">
        <f t="shared" si="45"/>
        <v>0.60531297091343261</v>
      </c>
    </row>
    <row r="1476" spans="1:3" x14ac:dyDescent="0.15">
      <c r="A1476">
        <v>14.72</v>
      </c>
      <c r="B1476">
        <f t="shared" si="44"/>
        <v>210.11087672283807</v>
      </c>
      <c r="C1476">
        <f t="shared" si="45"/>
        <v>0.6244596645528161</v>
      </c>
    </row>
    <row r="1477" spans="1:3" x14ac:dyDescent="0.15">
      <c r="A1477">
        <v>14.73</v>
      </c>
      <c r="B1477">
        <f t="shared" si="44"/>
        <v>212.0807797224692</v>
      </c>
      <c r="C1477">
        <f t="shared" si="45"/>
        <v>0.6444562214267362</v>
      </c>
    </row>
    <row r="1478" spans="1:3" x14ac:dyDescent="0.15">
      <c r="A1478">
        <v>14.74</v>
      </c>
      <c r="B1478">
        <f t="shared" ref="B1478:B1541" si="46">(1+($A$2-$B$2*C1477)*$E$2)*B1477</f>
        <v>214.06491074175673</v>
      </c>
      <c r="C1478">
        <f t="shared" ref="C1478:C1541" si="47">(1+($C$2*B1477-$D$2)*$E$2)*C1477</f>
        <v>0.66534701479990443</v>
      </c>
    </row>
    <row r="1479" spans="1:3" x14ac:dyDescent="0.15">
      <c r="A1479">
        <v>14.75</v>
      </c>
      <c r="B1479">
        <f t="shared" si="46"/>
        <v>216.06313239983885</v>
      </c>
      <c r="C1479">
        <f t="shared" si="47"/>
        <v>0.68717903451899254</v>
      </c>
    </row>
    <row r="1480" spans="1:3" x14ac:dyDescent="0.15">
      <c r="A1480">
        <v>14.76</v>
      </c>
      <c r="B1480">
        <f t="shared" si="46"/>
        <v>218.07528966911954</v>
      </c>
      <c r="C1480">
        <f t="shared" si="47"/>
        <v>0.71000205511733672</v>
      </c>
    </row>
    <row r="1481" spans="1:3" x14ac:dyDescent="0.15">
      <c r="A1481">
        <v>14.77</v>
      </c>
      <c r="B1481">
        <f t="shared" si="46"/>
        <v>220.10120866197533</v>
      </c>
      <c r="C1481">
        <f t="shared" si="47"/>
        <v>0.73386881533324</v>
      </c>
    </row>
    <row r="1482" spans="1:3" x14ac:dyDescent="0.15">
      <c r="A1482">
        <v>14.78</v>
      </c>
      <c r="B1482">
        <f t="shared" si="46"/>
        <v>222.14069533534089</v>
      </c>
      <c r="C1482">
        <f t="shared" si="47"/>
        <v>0.75883520983074326</v>
      </c>
    </row>
    <row r="1483" spans="1:3" x14ac:dyDescent="0.15">
      <c r="A1483">
        <v>14.790000000000001</v>
      </c>
      <c r="B1483">
        <f t="shared" si="46"/>
        <v>224.19353410753757</v>
      </c>
      <c r="C1483">
        <f t="shared" si="47"/>
        <v>0.78496049396378398</v>
      </c>
    </row>
    <row r="1484" spans="1:3" x14ac:dyDescent="0.15">
      <c r="A1484">
        <v>14.8</v>
      </c>
      <c r="B1484">
        <f t="shared" si="46"/>
        <v>226.25948638133642</v>
      </c>
      <c r="C1484">
        <f t="shared" si="47"/>
        <v>0.81230750247945394</v>
      </c>
    </row>
    <row r="1485" spans="1:3" x14ac:dyDescent="0.15">
      <c r="A1485">
        <v>14.81</v>
      </c>
      <c r="B1485">
        <f t="shared" si="46"/>
        <v>228.33828896685506</v>
      </c>
      <c r="C1485">
        <f t="shared" si="47"/>
        <v>0.84094288311360077</v>
      </c>
    </row>
    <row r="1486" spans="1:3" x14ac:dyDescent="0.15">
      <c r="A1486">
        <v>14.82</v>
      </c>
      <c r="B1486">
        <f t="shared" si="46"/>
        <v>230.42965239747463</v>
      </c>
      <c r="C1486">
        <f t="shared" si="47"/>
        <v>0.87093734609226747</v>
      </c>
    </row>
    <row r="1487" spans="1:3" x14ac:dyDescent="0.15">
      <c r="A1487">
        <v>14.83</v>
      </c>
      <c r="B1487">
        <f t="shared" si="46"/>
        <v>232.53325913152938</v>
      </c>
      <c r="C1487">
        <f t="shared" si="47"/>
        <v>0.90236593061534887</v>
      </c>
    </row>
    <row r="1488" spans="1:3" x14ac:dyDescent="0.15">
      <c r="A1488">
        <v>14.84</v>
      </c>
      <c r="B1488">
        <f t="shared" si="46"/>
        <v>234.64876163206944</v>
      </c>
      <c r="C1488">
        <f t="shared" si="47"/>
        <v>0.93530828946424394</v>
      </c>
    </row>
    <row r="1489" spans="1:3" x14ac:dyDescent="0.15">
      <c r="A1489">
        <v>14.85</v>
      </c>
      <c r="B1489">
        <f t="shared" si="46"/>
        <v>236.77578031652311</v>
      </c>
      <c r="C1489">
        <f t="shared" si="47"/>
        <v>0.9698489929430002</v>
      </c>
    </row>
    <row r="1490" spans="1:3" x14ac:dyDescent="0.15">
      <c r="A1490">
        <v>14.86</v>
      </c>
      <c r="B1490">
        <f t="shared" si="46"/>
        <v>238.91390136759506</v>
      </c>
      <c r="C1490">
        <f t="shared" si="47"/>
        <v>1.0060778534322248</v>
      </c>
    </row>
    <row r="1491" spans="1:3" x14ac:dyDescent="0.15">
      <c r="A1491">
        <v>14.87</v>
      </c>
      <c r="B1491">
        <f t="shared" si="46"/>
        <v>241.06267439622798</v>
      </c>
      <c r="C1491">
        <f t="shared" si="47"/>
        <v>1.0440902719065084</v>
      </c>
    </row>
    <row r="1492" spans="1:3" x14ac:dyDescent="0.15">
      <c r="A1492">
        <v>14.88</v>
      </c>
      <c r="B1492">
        <f t="shared" si="46"/>
        <v>243.2216099469334</v>
      </c>
      <c r="C1492">
        <f t="shared" si="47"/>
        <v>1.0839876078388169</v>
      </c>
    </row>
    <row r="1493" spans="1:3" x14ac:dyDescent="0.15">
      <c r="A1493">
        <v>14.89</v>
      </c>
      <c r="B1493">
        <f t="shared" si="46"/>
        <v>245.39017683526166</v>
      </c>
      <c r="C1493">
        <f t="shared" si="47"/>
        <v>1.1258775739886451</v>
      </c>
    </row>
    <row r="1494" spans="1:3" x14ac:dyDescent="0.15">
      <c r="A1494">
        <v>14.9</v>
      </c>
      <c r="B1494">
        <f t="shared" si="46"/>
        <v>247.56779930663834</v>
      </c>
      <c r="C1494">
        <f t="shared" si="47"/>
        <v>1.1698746576439445</v>
      </c>
    </row>
    <row r="1495" spans="1:3" x14ac:dyDescent="0.15">
      <c r="A1495">
        <v>14.91</v>
      </c>
      <c r="B1495">
        <f t="shared" si="46"/>
        <v>249.75385400524723</v>
      </c>
      <c r="C1495">
        <f t="shared" si="47"/>
        <v>1.2161005699590086</v>
      </c>
    </row>
    <row r="1496" spans="1:3" x14ac:dyDescent="0.15">
      <c r="A1496">
        <v>14.92</v>
      </c>
      <c r="B1496">
        <f t="shared" si="46"/>
        <v>251.94766674109448</v>
      </c>
      <c r="C1496">
        <f t="shared" si="47"/>
        <v>1.2646847251004665</v>
      </c>
    </row>
    <row r="1497" spans="1:3" x14ac:dyDescent="0.15">
      <c r="A1497">
        <v>14.93</v>
      </c>
      <c r="B1497">
        <f t="shared" si="46"/>
        <v>254.14850904285325</v>
      </c>
      <c r="C1497">
        <f t="shared" si="47"/>
        <v>1.3157647509798949</v>
      </c>
    </row>
    <row r="1498" spans="1:3" x14ac:dyDescent="0.15">
      <c r="A1498">
        <v>14.94</v>
      </c>
      <c r="B1498">
        <f t="shared" si="46"/>
        <v>256.35559448356912</v>
      </c>
      <c r="C1498">
        <f t="shared" si="47"/>
        <v>1.3694870334126321</v>
      </c>
    </row>
    <row r="1499" spans="1:3" x14ac:dyDescent="0.15">
      <c r="A1499">
        <v>14.95</v>
      </c>
      <c r="B1499">
        <f t="shared" si="46"/>
        <v>258.56807476581679</v>
      </c>
      <c r="C1499">
        <f t="shared" si="47"/>
        <v>1.4260072955961127</v>
      </c>
    </row>
    <row r="1500" spans="1:3" x14ac:dyDescent="0.15">
      <c r="A1500">
        <v>14.96</v>
      </c>
      <c r="B1500">
        <f t="shared" si="46"/>
        <v>260.78503555245067</v>
      </c>
      <c r="C1500">
        <f t="shared" si="47"/>
        <v>1.4854912148450108</v>
      </c>
    </row>
    <row r="1501" spans="1:3" x14ac:dyDescent="0.15">
      <c r="A1501">
        <v>14.97</v>
      </c>
      <c r="B1501">
        <f t="shared" si="46"/>
        <v>263.005492028699</v>
      </c>
      <c r="C1501">
        <f t="shared" si="47"/>
        <v>1.5481150785518025</v>
      </c>
    </row>
    <row r="1502" spans="1:3" x14ac:dyDescent="0.15">
      <c r="A1502">
        <v>14.98</v>
      </c>
      <c r="B1502">
        <f t="shared" si="46"/>
        <v>265.22838418103441</v>
      </c>
      <c r="C1502">
        <f t="shared" si="47"/>
        <v>1.6140664813565977</v>
      </c>
    </row>
    <row r="1503" spans="1:3" x14ac:dyDescent="0.15">
      <c r="A1503">
        <v>14.99</v>
      </c>
      <c r="B1503">
        <f t="shared" si="46"/>
        <v>267.45257177803376</v>
      </c>
      <c r="C1503">
        <f t="shared" si="47"/>
        <v>1.6835450655052273</v>
      </c>
    </row>
    <row r="1504" spans="1:3" x14ac:dyDescent="0.15">
      <c r="A1504">
        <v>15</v>
      </c>
      <c r="B1504">
        <f t="shared" si="46"/>
        <v>269.67682903834049</v>
      </c>
      <c r="C1504">
        <f t="shared" si="47"/>
        <v>1.7567633063448933</v>
      </c>
    </row>
    <row r="1505" spans="1:3" x14ac:dyDescent="0.15">
      <c r="A1505">
        <v>15.01</v>
      </c>
      <c r="B1505">
        <f t="shared" si="46"/>
        <v>271.89983897089792</v>
      </c>
      <c r="C1505">
        <f t="shared" si="47"/>
        <v>1.8339473448466446</v>
      </c>
    </row>
    <row r="1506" spans="1:3" x14ac:dyDescent="0.15">
      <c r="A1506">
        <v>15.02</v>
      </c>
      <c r="B1506">
        <f t="shared" si="46"/>
        <v>274.12018737286195</v>
      </c>
      <c r="C1506">
        <f t="shared" si="47"/>
        <v>1.9153378689471598</v>
      </c>
    </row>
    <row r="1507" spans="1:3" x14ac:dyDescent="0.15">
      <c r="A1507">
        <v>15.03</v>
      </c>
      <c r="B1507">
        <f t="shared" si="46"/>
        <v>276.33635647107246</v>
      </c>
      <c r="C1507">
        <f t="shared" si="47"/>
        <v>2.0011910453613146</v>
      </c>
    </row>
    <row r="1508" spans="1:3" x14ac:dyDescent="0.15">
      <c r="A1508">
        <v>15.040000000000001</v>
      </c>
      <c r="B1508">
        <f t="shared" si="46"/>
        <v>278.54671819370554</v>
      </c>
      <c r="C1508">
        <f t="shared" si="47"/>
        <v>2.091779503323238</v>
      </c>
    </row>
    <row r="1509" spans="1:3" x14ac:dyDescent="0.15">
      <c r="A1509">
        <v>15.05</v>
      </c>
      <c r="B1509">
        <f t="shared" si="46"/>
        <v>280.74952705980706</v>
      </c>
      <c r="C1509">
        <f t="shared" si="47"/>
        <v>2.187393371457115</v>
      </c>
    </row>
    <row r="1510" spans="1:3" x14ac:dyDescent="0.15">
      <c r="A1510">
        <v>15.06</v>
      </c>
      <c r="B1510">
        <f t="shared" si="46"/>
        <v>282.94291267587477</v>
      </c>
      <c r="C1510">
        <f t="shared" si="47"/>
        <v>2.288341368648612</v>
      </c>
    </row>
    <row r="1511" spans="1:3" x14ac:dyDescent="0.15">
      <c r="A1511">
        <v>15.07</v>
      </c>
      <c r="B1511">
        <f t="shared" si="46"/>
        <v>285.12487183059142</v>
      </c>
      <c r="C1511">
        <f t="shared" si="47"/>
        <v>2.3949519493705536</v>
      </c>
    </row>
    <row r="1512" spans="1:3" x14ac:dyDescent="0.15">
      <c r="A1512">
        <v>15.08</v>
      </c>
      <c r="B1512">
        <f t="shared" si="46"/>
        <v>287.29326018129262</v>
      </c>
      <c r="C1512">
        <f t="shared" si="47"/>
        <v>2.5075745033977888</v>
      </c>
    </row>
    <row r="1513" spans="1:3" x14ac:dyDescent="0.15">
      <c r="A1513">
        <v>15.09</v>
      </c>
      <c r="B1513">
        <f t="shared" si="46"/>
        <v>289.44578352887692</v>
      </c>
      <c r="C1513">
        <f t="shared" si="47"/>
        <v>2.6265806092095381</v>
      </c>
    </row>
    <row r="1514" spans="1:3" x14ac:dyDescent="0.15">
      <c r="A1514">
        <v>15.1</v>
      </c>
      <c r="B1514">
        <f t="shared" si="46"/>
        <v>291.57998868173127</v>
      </c>
      <c r="C1514">
        <f t="shared" si="47"/>
        <v>2.7523653396043244</v>
      </c>
    </row>
    <row r="1515" spans="1:3" x14ac:dyDescent="0.15">
      <c r="A1515">
        <v>15.11</v>
      </c>
      <c r="B1515">
        <f t="shared" si="46"/>
        <v>293.69325391397871</v>
      </c>
      <c r="C1515">
        <f t="shared" si="47"/>
        <v>2.8853486171222449</v>
      </c>
    </row>
    <row r="1516" spans="1:3" x14ac:dyDescent="0.15">
      <c r="A1516">
        <v>15.12</v>
      </c>
      <c r="B1516">
        <f t="shared" si="46"/>
        <v>295.78277902907968</v>
      </c>
      <c r="C1516">
        <f t="shared" si="47"/>
        <v>3.0259766157587888</v>
      </c>
    </row>
    <row r="1517" spans="1:3" x14ac:dyDescent="0.15">
      <c r="A1517">
        <v>15.13</v>
      </c>
      <c r="B1517">
        <f t="shared" si="46"/>
        <v>297.84557504668436</v>
      </c>
      <c r="C1517">
        <f t="shared" si="47"/>
        <v>3.1747232041384299</v>
      </c>
    </row>
    <row r="1518" spans="1:3" x14ac:dyDescent="0.15">
      <c r="A1518">
        <v>15.14</v>
      </c>
      <c r="B1518">
        <f t="shared" si="46"/>
        <v>299.87845353880056</v>
      </c>
      <c r="C1518">
        <f t="shared" si="47"/>
        <v>3.3320914237671784</v>
      </c>
    </row>
    <row r="1519" spans="1:3" x14ac:dyDescent="0.15">
      <c r="A1519">
        <v>15.15</v>
      </c>
      <c r="B1519">
        <f t="shared" si="46"/>
        <v>301.87801565097936</v>
      </c>
      <c r="C1519">
        <f t="shared" si="47"/>
        <v>3.4986149941713474</v>
      </c>
    </row>
    <row r="1520" spans="1:3" x14ac:dyDescent="0.15">
      <c r="A1520">
        <v>15.16</v>
      </c>
      <c r="B1520">
        <f t="shared" si="46"/>
        <v>303.84064085552194</v>
      </c>
      <c r="C1520">
        <f t="shared" si="47"/>
        <v>3.6748598346230756</v>
      </c>
    </row>
    <row r="1521" spans="1:3" x14ac:dyDescent="0.15">
      <c r="A1521">
        <v>15.17</v>
      </c>
      <c r="B1521">
        <f t="shared" si="46"/>
        <v>305.7624754968711</v>
      </c>
      <c r="C1521">
        <f t="shared" si="47"/>
        <v>3.8614255897180634</v>
      </c>
    </row>
    <row r="1522" spans="1:3" x14ac:dyDescent="0.15">
      <c r="A1522">
        <v>15.18</v>
      </c>
      <c r="B1522">
        <f t="shared" si="46"/>
        <v>307.63942120458069</v>
      </c>
      <c r="C1522">
        <f t="shared" si="47"/>
        <v>4.0589471432727153</v>
      </c>
    </row>
    <row r="1523" spans="1:3" x14ac:dyDescent="0.15">
      <c r="A1523">
        <v>15.19</v>
      </c>
      <c r="B1523">
        <f t="shared" si="46"/>
        <v>309.46712326677005</v>
      </c>
      <c r="C1523">
        <f t="shared" si="47"/>
        <v>4.2680961018112686</v>
      </c>
    </row>
    <row r="1524" spans="1:3" x14ac:dyDescent="0.15">
      <c r="A1524">
        <v>15.2</v>
      </c>
      <c r="B1524">
        <f t="shared" si="46"/>
        <v>311.2409590769841</v>
      </c>
      <c r="C1524">
        <f t="shared" si="47"/>
        <v>4.4895822252838853</v>
      </c>
    </row>
    <row r="1525" spans="1:3" x14ac:dyDescent="0.15">
      <c r="A1525">
        <v>15.21</v>
      </c>
      <c r="B1525">
        <f t="shared" si="46"/>
        <v>312.95602679010159</v>
      </c>
      <c r="C1525">
        <f t="shared" si="47"/>
        <v>4.7241547785615134</v>
      </c>
    </row>
    <row r="1526" spans="1:3" x14ac:dyDescent="0.15">
      <c r="A1526">
        <v>15.22</v>
      </c>
      <c r="B1526">
        <f t="shared" si="46"/>
        <v>314.60713434856251</v>
      </c>
      <c r="C1526">
        <f t="shared" si="47"/>
        <v>4.9726037726639154</v>
      </c>
    </row>
    <row r="1527" spans="1:3" x14ac:dyDescent="0.15">
      <c r="A1527">
        <v>15.23</v>
      </c>
      <c r="B1527">
        <f t="shared" si="46"/>
        <v>316.18878906887954</v>
      </c>
      <c r="C1527">
        <f t="shared" si="47"/>
        <v>5.2357610595710051</v>
      </c>
    </row>
    <row r="1528" spans="1:3" x14ac:dyDescent="0.15">
      <c r="A1528">
        <v>15.24</v>
      </c>
      <c r="B1528">
        <f t="shared" si="46"/>
        <v>317.69518801028858</v>
      </c>
      <c r="C1528">
        <f t="shared" si="47"/>
        <v>5.5145012388312455</v>
      </c>
    </row>
    <row r="1529" spans="1:3" x14ac:dyDescent="0.15">
      <c r="A1529">
        <v>15.25</v>
      </c>
      <c r="B1529">
        <f t="shared" si="46"/>
        <v>319.12020938253795</v>
      </c>
      <c r="C1529">
        <f t="shared" si="47"/>
        <v>5.8097423280136251</v>
      </c>
    </row>
    <row r="1530" spans="1:3" x14ac:dyDescent="0.15">
      <c r="A1530">
        <v>15.26</v>
      </c>
      <c r="B1530">
        <f t="shared" si="46"/>
        <v>320.45740528818902</v>
      </c>
      <c r="C1530">
        <f t="shared" si="47"/>
        <v>6.1224461423683501</v>
      </c>
    </row>
    <row r="1531" spans="1:3" x14ac:dyDescent="0.15">
      <c r="A1531">
        <v>15.27</v>
      </c>
      <c r="B1531">
        <f t="shared" si="46"/>
        <v>321.6999961362709</v>
      </c>
      <c r="C1531">
        <f t="shared" si="47"/>
        <v>6.4536183219046759</v>
      </c>
    </row>
    <row r="1532" spans="1:3" x14ac:dyDescent="0.15">
      <c r="A1532">
        <v>15.28</v>
      </c>
      <c r="B1532">
        <f t="shared" si="46"/>
        <v>322.84086710841194</v>
      </c>
      <c r="C1532">
        <f t="shared" si="47"/>
        <v>6.8043079365299697</v>
      </c>
    </row>
    <row r="1533" spans="1:3" x14ac:dyDescent="0.15">
      <c r="A1533">
        <v>15.290000000000001</v>
      </c>
      <c r="B1533">
        <f t="shared" si="46"/>
        <v>323.87256710519404</v>
      </c>
      <c r="C1533">
        <f t="shared" si="47"/>
        <v>7.1756065920250665</v>
      </c>
    </row>
    <row r="1534" spans="1:3" x14ac:dyDescent="0.15">
      <c r="A1534">
        <v>15.3</v>
      </c>
      <c r="B1534">
        <f t="shared" si="46"/>
        <v>324.78731064874989</v>
      </c>
      <c r="C1534">
        <f t="shared" si="47"/>
        <v>7.5686469516040384</v>
      </c>
    </row>
    <row r="1535" spans="1:3" x14ac:dyDescent="0.15">
      <c r="A1535">
        <v>15.31</v>
      </c>
      <c r="B1535">
        <f t="shared" si="46"/>
        <v>325.57698326657606</v>
      </c>
      <c r="C1535">
        <f t="shared" si="47"/>
        <v>7.9846005798202651</v>
      </c>
    </row>
    <row r="1536" spans="1:3" x14ac:dyDescent="0.15">
      <c r="A1536">
        <v>15.32</v>
      </c>
      <c r="B1536">
        <f t="shared" si="46"/>
        <v>326.23315092987536</v>
      </c>
      <c r="C1536">
        <f t="shared" si="47"/>
        <v>8.4246750078953507</v>
      </c>
    </row>
    <row r="1537" spans="1:3" x14ac:dyDescent="0.15">
      <c r="A1537">
        <v>15.33</v>
      </c>
      <c r="B1537">
        <f t="shared" si="46"/>
        <v>326.74707416578826</v>
      </c>
      <c r="C1537">
        <f t="shared" si="47"/>
        <v>8.8901099124935712</v>
      </c>
    </row>
    <row r="1538" spans="1:3" x14ac:dyDescent="0.15">
      <c r="A1538">
        <v>15.34</v>
      </c>
      <c r="B1538">
        <f t="shared" si="46"/>
        <v>327.10972750452657</v>
      </c>
      <c r="C1538">
        <f t="shared" si="47"/>
        <v>9.3821722939525447</v>
      </c>
    </row>
    <row r="1539" spans="1:3" x14ac:dyDescent="0.15">
      <c r="A1539">
        <v>15.35</v>
      </c>
      <c r="B1539">
        <f t="shared" si="46"/>
        <v>327.31182495709646</v>
      </c>
      <c r="C1539">
        <f t="shared" si="47"/>
        <v>9.9021505355080865</v>
      </c>
    </row>
    <row r="1540" spans="1:3" x14ac:dyDescent="0.15">
      <c r="A1540">
        <v>15.36</v>
      </c>
      <c r="B1540">
        <f t="shared" si="46"/>
        <v>327.34385224389035</v>
      </c>
      <c r="C1540">
        <f t="shared" si="47"/>
        <v>10.451347222708414</v>
      </c>
    </row>
    <row r="1541" spans="1:3" x14ac:dyDescent="0.15">
      <c r="A1541">
        <v>15.37</v>
      </c>
      <c r="B1541">
        <f t="shared" si="46"/>
        <v>327.19610650530939</v>
      </c>
      <c r="C1541">
        <f t="shared" si="47"/>
        <v>11.031070602685302</v>
      </c>
    </row>
    <row r="1542" spans="1:3" x14ac:dyDescent="0.15">
      <c r="A1542">
        <v>15.38</v>
      </c>
      <c r="B1542">
        <f t="shared" ref="B1542:B1605" si="48">(1+($A$2-$B$2*C1541)*$E$2)*B1541</f>
        <v>326.85874421857869</v>
      </c>
      <c r="C1542">
        <f t="shared" ref="C1542:C1605" si="49">(1+($C$2*B1541-$D$2)*$E$2)*C1541</f>
        <v>11.642624567015211</v>
      </c>
    </row>
    <row r="1543" spans="1:3" x14ac:dyDescent="0.15">
      <c r="A1543">
        <v>15.39</v>
      </c>
      <c r="B1543">
        <f t="shared" si="48"/>
        <v>326.3218380153815</v>
      </c>
      <c r="C1543">
        <f t="shared" si="49"/>
        <v>12.287297050421653</v>
      </c>
    </row>
    <row r="1544" spans="1:3" x14ac:dyDescent="0.15">
      <c r="A1544">
        <v>15.4</v>
      </c>
      <c r="B1544">
        <f t="shared" si="48"/>
        <v>325.57544303780077</v>
      </c>
      <c r="C1544">
        <f t="shared" si="49"/>
        <v>12.966346751464352</v>
      </c>
    </row>
    <row r="1545" spans="1:3" x14ac:dyDescent="0.15">
      <c r="A1545">
        <v>15.41</v>
      </c>
      <c r="B1545">
        <f t="shared" si="48"/>
        <v>324.60967337998903</v>
      </c>
      <c r="C1545">
        <f t="shared" si="49"/>
        <v>13.68098810158766</v>
      </c>
    </row>
    <row r="1546" spans="1:3" x14ac:dyDescent="0.15">
      <c r="A1546">
        <v>15.42</v>
      </c>
      <c r="B1546">
        <f t="shared" si="48"/>
        <v>323.41478903461706</v>
      </c>
      <c r="C1546">
        <f t="shared" si="49"/>
        <v>14.43237443640616</v>
      </c>
    </row>
    <row r="1547" spans="1:3" x14ac:dyDescent="0.15">
      <c r="A1547">
        <v>15.43</v>
      </c>
      <c r="B1547">
        <f t="shared" si="48"/>
        <v>321.9812935913443</v>
      </c>
      <c r="C1547">
        <f t="shared" si="49"/>
        <v>15.221579358765879</v>
      </c>
    </row>
    <row r="1548" spans="1:3" x14ac:dyDescent="0.15">
      <c r="A1548">
        <v>15.44</v>
      </c>
      <c r="B1548">
        <f t="shared" si="48"/>
        <v>320.30004271481897</v>
      </c>
      <c r="C1548">
        <f t="shared" si="49"/>
        <v>16.049576327665971</v>
      </c>
    </row>
    <row r="1549" spans="1:3" x14ac:dyDescent="0.15">
      <c r="A1549">
        <v>15.45</v>
      </c>
      <c r="B1549">
        <f t="shared" si="48"/>
        <v>318.36236315866097</v>
      </c>
      <c r="C1549">
        <f t="shared" si="49"/>
        <v>16.917216561050544</v>
      </c>
    </row>
    <row r="1550" spans="1:3" x14ac:dyDescent="0.15">
      <c r="A1550">
        <v>15.46</v>
      </c>
      <c r="B1550">
        <f t="shared" si="48"/>
        <v>316.1601817478047</v>
      </c>
      <c r="C1550">
        <f t="shared" si="49"/>
        <v>17.825205403928617</v>
      </c>
    </row>
    <row r="1551" spans="1:3" x14ac:dyDescent="0.15">
      <c r="A1551">
        <v>15.47</v>
      </c>
      <c r="B1551">
        <f t="shared" si="48"/>
        <v>313.68616338508474</v>
      </c>
      <c r="C1551">
        <f t="shared" si="49"/>
        <v>18.774077385928933</v>
      </c>
    </row>
    <row r="1552" spans="1:3" x14ac:dyDescent="0.15">
      <c r="A1552">
        <v>15.48</v>
      </c>
      <c r="B1552">
        <f t="shared" si="48"/>
        <v>310.93385671264883</v>
      </c>
      <c r="C1552">
        <f t="shared" si="49"/>
        <v>19.76417027332699</v>
      </c>
    </row>
    <row r="1553" spans="1:3" x14ac:dyDescent="0.15">
      <c r="A1553">
        <v>15.49</v>
      </c>
      <c r="B1553">
        <f t="shared" si="48"/>
        <v>307.89784559196426</v>
      </c>
      <c r="C1553">
        <f t="shared" si="49"/>
        <v>20.795598508155926</v>
      </c>
    </row>
    <row r="1554" spans="1:3" x14ac:dyDescent="0.15">
      <c r="A1554">
        <v>15.5</v>
      </c>
      <c r="B1554">
        <f t="shared" si="48"/>
        <v>304.57390406942721</v>
      </c>
      <c r="C1554">
        <f t="shared" si="49"/>
        <v>21.868226518765702</v>
      </c>
    </row>
    <row r="1555" spans="1:3" x14ac:dyDescent="0.15">
      <c r="A1555">
        <v>15.51</v>
      </c>
      <c r="B1555">
        <f t="shared" si="48"/>
        <v>300.95915198422642</v>
      </c>
      <c r="C1555">
        <f t="shared" si="49"/>
        <v>22.981642478757056</v>
      </c>
    </row>
    <row r="1556" spans="1:3" x14ac:dyDescent="0.15">
      <c r="A1556">
        <v>15.52</v>
      </c>
      <c r="B1556">
        <f t="shared" si="48"/>
        <v>297.0522078724573</v>
      </c>
      <c r="C1556">
        <f t="shared" si="49"/>
        <v>24.135133180291767</v>
      </c>
    </row>
    <row r="1557" spans="1:3" x14ac:dyDescent="0.15">
      <c r="A1557">
        <v>15.53</v>
      </c>
      <c r="B1557">
        <f t="shared" si="48"/>
        <v>292.8533353526804</v>
      </c>
      <c r="C1557">
        <f t="shared" si="49"/>
        <v>25.327660768189141</v>
      </c>
    </row>
    <row r="1558" spans="1:3" x14ac:dyDescent="0.15">
      <c r="A1558">
        <v>15.540000000000001</v>
      </c>
      <c r="B1558">
        <f t="shared" si="48"/>
        <v>288.36457877356179</v>
      </c>
      <c r="C1558">
        <f t="shared" si="49"/>
        <v>26.557842147036336</v>
      </c>
    </row>
    <row r="1559" spans="1:3" x14ac:dyDescent="0.15">
      <c r="A1559">
        <v>15.55</v>
      </c>
      <c r="B1559">
        <f t="shared" si="48"/>
        <v>283.5898835974325</v>
      </c>
      <c r="C1559">
        <f t="shared" si="49"/>
        <v>27.82393191833895</v>
      </c>
    </row>
    <row r="1560" spans="1:3" x14ac:dyDescent="0.15">
      <c r="A1560">
        <v>15.56</v>
      </c>
      <c r="B1560">
        <f t="shared" si="48"/>
        <v>278.53519681946221</v>
      </c>
      <c r="C1560">
        <f t="shared" si="49"/>
        <v>29.123809721944486</v>
      </c>
    </row>
    <row r="1561" spans="1:3" x14ac:dyDescent="0.15">
      <c r="A1561">
        <v>15.57</v>
      </c>
      <c r="B1561">
        <f t="shared" si="48"/>
        <v>273.20854271462247</v>
      </c>
      <c r="C1561">
        <f t="shared" si="49"/>
        <v>30.454972839331919</v>
      </c>
    </row>
    <row r="1562" spans="1:3" x14ac:dyDescent="0.15">
      <c r="A1562">
        <v>15.58</v>
      </c>
      <c r="B1562">
        <f t="shared" si="48"/>
        <v>267.62006939392143</v>
      </c>
      <c r="C1562">
        <f t="shared" si="49"/>
        <v>31.814534860508058</v>
      </c>
    </row>
    <row r="1563" spans="1:3" x14ac:dyDescent="0.15">
      <c r="A1563">
        <v>15.59</v>
      </c>
      <c r="B1563">
        <f t="shared" si="48"/>
        <v>261.78206206075612</v>
      </c>
      <c r="C1563">
        <f t="shared" si="49"/>
        <v>33.199231117323876</v>
      </c>
    </row>
    <row r="1564" spans="1:3" x14ac:dyDescent="0.15">
      <c r="A1564">
        <v>15.6</v>
      </c>
      <c r="B1564">
        <f t="shared" si="48"/>
        <v>255.70891950063901</v>
      </c>
      <c r="C1564">
        <f t="shared" si="49"/>
        <v>34.605431442295568</v>
      </c>
    </row>
    <row r="1565" spans="1:3" x14ac:dyDescent="0.15">
      <c r="A1565">
        <v>15.61</v>
      </c>
      <c r="B1565">
        <f t="shared" si="48"/>
        <v>249.41709121268258</v>
      </c>
      <c r="C1565">
        <f t="shared" si="49"/>
        <v>36.029160624465177</v>
      </c>
    </row>
    <row r="1566" spans="1:3" x14ac:dyDescent="0.15">
      <c r="A1566">
        <v>15.620000000000001</v>
      </c>
      <c r="B1566">
        <f t="shared" si="48"/>
        <v>242.9249736830208</v>
      </c>
      <c r="C1566">
        <f t="shared" si="49"/>
        <v>37.466126706578251</v>
      </c>
    </row>
    <row r="1567" spans="1:3" x14ac:dyDescent="0.15">
      <c r="A1567">
        <v>15.63</v>
      </c>
      <c r="B1567">
        <f t="shared" si="48"/>
        <v>236.25276557565076</v>
      </c>
      <c r="C1567">
        <f t="shared" si="49"/>
        <v>38.911757008352517</v>
      </c>
    </row>
    <row r="1568" spans="1:3" x14ac:dyDescent="0.15">
      <c r="A1568">
        <v>15.64</v>
      </c>
      <c r="B1568">
        <f t="shared" si="48"/>
        <v>229.42228302477628</v>
      </c>
      <c r="C1568">
        <f t="shared" si="49"/>
        <v>40.361241479595186</v>
      </c>
    </row>
    <row r="1569" spans="1:3" x14ac:dyDescent="0.15">
      <c r="A1569">
        <v>15.65</v>
      </c>
      <c r="B1569">
        <f t="shared" si="48"/>
        <v>222.45673768906101</v>
      </c>
      <c r="C1569">
        <f t="shared" si="49"/>
        <v>41.809582697991836</v>
      </c>
    </row>
    <row r="1570" spans="1:3" x14ac:dyDescent="0.15">
      <c r="A1570">
        <v>15.66</v>
      </c>
      <c r="B1570">
        <f t="shared" si="48"/>
        <v>215.38048169481536</v>
      </c>
      <c r="C1570">
        <f t="shared" si="49"/>
        <v>43.25165154523917</v>
      </c>
    </row>
    <row r="1571" spans="1:3" x14ac:dyDescent="0.15">
      <c r="A1571">
        <v>15.67</v>
      </c>
      <c r="B1571">
        <f t="shared" si="48"/>
        <v>208.2187249678536</v>
      </c>
      <c r="C1571">
        <f t="shared" si="49"/>
        <v>44.682247338568764</v>
      </c>
    </row>
    <row r="1572" spans="1:3" x14ac:dyDescent="0.15">
      <c r="A1572">
        <v>15.68</v>
      </c>
      <c r="B1572">
        <f t="shared" si="48"/>
        <v>200.9972316479971</v>
      </c>
      <c r="C1572">
        <f t="shared" si="49"/>
        <v>46.096160979090087</v>
      </c>
    </row>
    <row r="1573" spans="1:3" x14ac:dyDescent="0.15">
      <c r="A1573">
        <v>15.69</v>
      </c>
      <c r="B1573">
        <f t="shared" si="48"/>
        <v>193.74200321807953</v>
      </c>
      <c r="C1573">
        <f t="shared" si="49"/>
        <v>47.488239518578688</v>
      </c>
    </row>
    <row r="1574" spans="1:3" x14ac:dyDescent="0.15">
      <c r="A1574">
        <v>15.7</v>
      </c>
      <c r="B1574">
        <f t="shared" si="48"/>
        <v>186.47895659663092</v>
      </c>
      <c r="C1574">
        <f t="shared" si="49"/>
        <v>48.853450454118779</v>
      </c>
    </row>
    <row r="1575" spans="1:3" x14ac:dyDescent="0.15">
      <c r="A1575">
        <v>15.71</v>
      </c>
      <c r="B1575">
        <f t="shared" si="48"/>
        <v>179.23360569576795</v>
      </c>
      <c r="C1575">
        <f t="shared" si="49"/>
        <v>50.186944042943445</v>
      </c>
    </row>
    <row r="1576" spans="1:3" x14ac:dyDescent="0.15">
      <c r="A1576">
        <v>15.72</v>
      </c>
      <c r="B1576">
        <f t="shared" si="48"/>
        <v>172.03075481305714</v>
      </c>
      <c r="C1576">
        <f t="shared" si="49"/>
        <v>51.484111990447708</v>
      </c>
    </row>
    <row r="1577" spans="1:3" x14ac:dyDescent="0.15">
      <c r="A1577">
        <v>15.73</v>
      </c>
      <c r="B1577">
        <f t="shared" si="48"/>
        <v>164.89421171459105</v>
      </c>
      <c r="C1577">
        <f t="shared" si="49"/>
        <v>52.74064099986257</v>
      </c>
    </row>
    <row r="1578" spans="1:3" x14ac:dyDescent="0.15">
      <c r="A1578">
        <v>15.74</v>
      </c>
      <c r="B1578">
        <f t="shared" si="48"/>
        <v>157.84652740874239</v>
      </c>
      <c r="C1578">
        <f t="shared" si="49"/>
        <v>53.952559874462864</v>
      </c>
    </row>
    <row r="1579" spans="1:3" x14ac:dyDescent="0.15">
      <c r="A1579">
        <v>15.75</v>
      </c>
      <c r="B1579">
        <f t="shared" si="48"/>
        <v>150.9087684618336</v>
      </c>
      <c r="C1579">
        <f t="shared" si="49"/>
        <v>55.116279119917479</v>
      </c>
    </row>
    <row r="1580" spans="1:3" x14ac:dyDescent="0.15">
      <c r="A1580">
        <v>15.76</v>
      </c>
      <c r="B1580">
        <f t="shared" si="48"/>
        <v>144.10032634226653</v>
      </c>
      <c r="C1580">
        <f t="shared" si="49"/>
        <v>56.228622289555389</v>
      </c>
    </row>
    <row r="1581" spans="1:3" x14ac:dyDescent="0.15">
      <c r="A1581">
        <v>15.77</v>
      </c>
      <c r="B1581">
        <f t="shared" si="48"/>
        <v>137.43876678398823</v>
      </c>
      <c r="C1581">
        <f t="shared" si="49"/>
        <v>57.286848631000034</v>
      </c>
    </row>
    <row r="1582" spans="1:3" x14ac:dyDescent="0.15">
      <c r="A1582">
        <v>15.78</v>
      </c>
      <c r="B1582">
        <f t="shared" si="48"/>
        <v>130.93972062304246</v>
      </c>
      <c r="C1582">
        <f t="shared" si="49"/>
        <v>58.288666910447162</v>
      </c>
    </row>
    <row r="1583" spans="1:3" x14ac:dyDescent="0.15">
      <c r="A1583">
        <v>15.790000000000001</v>
      </c>
      <c r="B1583">
        <f t="shared" si="48"/>
        <v>124.61681606852935</v>
      </c>
      <c r="C1583">
        <f t="shared" si="49"/>
        <v>59.232240593491397</v>
      </c>
    </row>
    <row r="1584" spans="1:3" x14ac:dyDescent="0.15">
      <c r="A1584">
        <v>15.8</v>
      </c>
      <c r="B1584">
        <f t="shared" si="48"/>
        <v>118.48165099784865</v>
      </c>
      <c r="C1584">
        <f t="shared" si="49"/>
        <v>60.116184833829678</v>
      </c>
    </row>
    <row r="1585" spans="1:3" x14ac:dyDescent="0.15">
      <c r="A1585">
        <v>15.81</v>
      </c>
      <c r="B1585">
        <f t="shared" si="48"/>
        <v>112.54380267702317</v>
      </c>
      <c r="C1585">
        <f t="shared" si="49"/>
        <v>60.939555951652181</v>
      </c>
    </row>
    <row r="1586" spans="1:3" x14ac:dyDescent="0.15">
      <c r="A1586">
        <v>15.82</v>
      </c>
      <c r="B1586">
        <f t="shared" si="48"/>
        <v>106.81087134354523</v>
      </c>
      <c r="C1586">
        <f t="shared" si="49"/>
        <v>61.701834264185287</v>
      </c>
    </row>
    <row r="1587" spans="1:3" x14ac:dyDescent="0.15">
      <c r="A1587">
        <v>15.83</v>
      </c>
      <c r="B1587">
        <f t="shared" si="48"/>
        <v>101.28855337572804</v>
      </c>
      <c r="C1587">
        <f t="shared" si="49"/>
        <v>62.402901257793964</v>
      </c>
    </row>
    <row r="1588" spans="1:3" x14ac:dyDescent="0.15">
      <c r="A1588">
        <v>15.84</v>
      </c>
      <c r="B1588">
        <f t="shared" si="48"/>
        <v>95.980739314634974</v>
      </c>
      <c r="C1588">
        <f t="shared" si="49"/>
        <v>63.043012164186095</v>
      </c>
    </row>
    <row r="1589" spans="1:3" x14ac:dyDescent="0.15">
      <c r="A1589">
        <v>15.85</v>
      </c>
      <c r="B1589">
        <f t="shared" si="48"/>
        <v>90.889631791641222</v>
      </c>
      <c r="C1589">
        <f t="shared" si="49"/>
        <v>63.622765025772253</v>
      </c>
    </row>
    <row r="1590" spans="1:3" x14ac:dyDescent="0.15">
      <c r="A1590">
        <v>15.86</v>
      </c>
      <c r="B1590">
        <f t="shared" si="48"/>
        <v>86.015878422799091</v>
      </c>
      <c r="C1590">
        <f t="shared" si="49"/>
        <v>64.143067312866236</v>
      </c>
    </row>
    <row r="1591" spans="1:3" x14ac:dyDescent="0.15">
      <c r="A1591">
        <v>15.870000000000001</v>
      </c>
      <c r="B1591">
        <f t="shared" si="48"/>
        <v>81.358714927378159</v>
      </c>
      <c r="C1591">
        <f t="shared" si="49"/>
        <v>64.605101095667365</v>
      </c>
    </row>
    <row r="1592" spans="1:3" x14ac:dyDescent="0.15">
      <c r="A1592">
        <v>15.88</v>
      </c>
      <c r="B1592">
        <f t="shared" si="48"/>
        <v>76.916114073755097</v>
      </c>
      <c r="C1592">
        <f t="shared" si="49"/>
        <v>65.010287685290066</v>
      </c>
    </row>
    <row r="1593" spans="1:3" x14ac:dyDescent="0.15">
      <c r="A1593">
        <v>15.89</v>
      </c>
      <c r="B1593">
        <f t="shared" si="48"/>
        <v>72.684936510923237</v>
      </c>
      <c r="C1593">
        <f t="shared" si="49"/>
        <v>65.360252549151042</v>
      </c>
    </row>
    <row r="1594" spans="1:3" x14ac:dyDescent="0.15">
      <c r="A1594">
        <v>15.9</v>
      </c>
      <c r="B1594">
        <f t="shared" si="48"/>
        <v>68.661080069159524</v>
      </c>
      <c r="C1594">
        <f t="shared" si="49"/>
        <v>65.656791185034109</v>
      </c>
    </row>
    <row r="1595" spans="1:3" x14ac:dyDescent="0.15">
      <c r="A1595">
        <v>15.91</v>
      </c>
      <c r="B1595">
        <f t="shared" si="48"/>
        <v>64.839624673211404</v>
      </c>
      <c r="C1595">
        <f t="shared" si="49"/>
        <v>65.901836512511721</v>
      </c>
    </row>
    <row r="1596" spans="1:3" x14ac:dyDescent="0.15">
      <c r="A1596">
        <v>15.92</v>
      </c>
      <c r="B1596">
        <f t="shared" si="48"/>
        <v>61.214970575196922</v>
      </c>
      <c r="C1596">
        <f t="shared" si="49"/>
        <v>66.097428216335928</v>
      </c>
    </row>
    <row r="1597" spans="1:3" x14ac:dyDescent="0.15">
      <c r="A1597">
        <v>15.93</v>
      </c>
      <c r="B1597">
        <f t="shared" si="48"/>
        <v>57.780968157589697</v>
      </c>
      <c r="C1597">
        <f t="shared" si="49"/>
        <v>66.245684358844414</v>
      </c>
    </row>
    <row r="1598" spans="1:3" x14ac:dyDescent="0.15">
      <c r="A1598">
        <v>15.94</v>
      </c>
      <c r="B1598">
        <f t="shared" si="48"/>
        <v>54.531038060649472</v>
      </c>
      <c r="C1598">
        <f t="shared" si="49"/>
        <v>66.348775470959197</v>
      </c>
    </row>
    <row r="1599" spans="1:3" x14ac:dyDescent="0.15">
      <c r="A1599">
        <v>15.95</v>
      </c>
      <c r="B1599">
        <f t="shared" si="48"/>
        <v>51.458280840771607</v>
      </c>
      <c r="C1599">
        <f t="shared" si="49"/>
        <v>66.408901236346466</v>
      </c>
    </row>
    <row r="1600" spans="1:3" x14ac:dyDescent="0.15">
      <c r="A1600">
        <v>15.96</v>
      </c>
      <c r="B1600">
        <f t="shared" si="48"/>
        <v>48.555575759032344</v>
      </c>
      <c r="C1600">
        <f t="shared" si="49"/>
        <v>66.428269802012395</v>
      </c>
    </row>
    <row r="1601" spans="1:3" x14ac:dyDescent="0.15">
      <c r="A1601">
        <v>15.97</v>
      </c>
      <c r="B1601">
        <f t="shared" si="48"/>
        <v>45.815668629709613</v>
      </c>
      <c r="C1601">
        <f t="shared" si="49"/>
        <v>66.409079681374877</v>
      </c>
    </row>
    <row r="1602" spans="1:3" x14ac:dyDescent="0.15">
      <c r="A1602">
        <v>15.98</v>
      </c>
      <c r="B1602">
        <f t="shared" si="48"/>
        <v>43.231248927320856</v>
      </c>
      <c r="C1602">
        <f t="shared" si="49"/>
        <v>66.353504162298293</v>
      </c>
    </row>
    <row r="1603" spans="1:3" x14ac:dyDescent="0.15">
      <c r="A1603">
        <v>15.99</v>
      </c>
      <c r="B1603">
        <f t="shared" si="48"/>
        <v>40.795016560953727</v>
      </c>
      <c r="C1603">
        <f t="shared" si="49"/>
        <v>66.263678091803371</v>
      </c>
    </row>
    <row r="1604" spans="1:3" x14ac:dyDescent="0.15">
      <c r="A1604">
        <v>16</v>
      </c>
      <c r="B1604">
        <f t="shared" si="48"/>
        <v>38.499738881418438</v>
      </c>
      <c r="C1604">
        <f t="shared" si="49"/>
        <v>66.141686879914303</v>
      </c>
    </row>
    <row r="1605" spans="1:3" x14ac:dyDescent="0.15">
      <c r="A1605">
        <v>16.010000000000002</v>
      </c>
      <c r="B1605">
        <f t="shared" si="48"/>
        <v>36.338298596179385</v>
      </c>
      <c r="C1605">
        <f t="shared" si="49"/>
        <v>65.989557545925805</v>
      </c>
    </row>
    <row r="1606" spans="1:3" x14ac:dyDescent="0.15">
      <c r="A1606">
        <v>16.020000000000003</v>
      </c>
      <c r="B1606">
        <f t="shared" ref="B1606:B1669" si="50">(1+($A$2-$B$2*C1605)*$E$2)*B1605</f>
        <v>34.303733335807564</v>
      </c>
      <c r="C1606">
        <f t="shared" ref="C1606:C1669" si="51">(1+($C$2*B1605-$D$2)*$E$2)*C1605</f>
        <v>65.809251619733274</v>
      </c>
    </row>
    <row r="1607" spans="1:3" x14ac:dyDescent="0.15">
      <c r="A1607">
        <v>16.03</v>
      </c>
      <c r="B1607">
        <f t="shared" si="50"/>
        <v>32.389267650573245</v>
      </c>
      <c r="C1607">
        <f t="shared" si="51"/>
        <v>65.602659707254418</v>
      </c>
    </row>
    <row r="1608" spans="1:3" x14ac:dyDescent="0.15">
      <c r="A1608">
        <v>16.040000000000003</v>
      </c>
      <c r="B1608">
        <f t="shared" si="50"/>
        <v>30.588338223231236</v>
      </c>
      <c r="C1608">
        <f t="shared" si="51"/>
        <v>65.371597530951419</v>
      </c>
    </row>
    <row r="1609" spans="1:3" x14ac:dyDescent="0.15">
      <c r="A1609">
        <v>16.05</v>
      </c>
      <c r="B1609">
        <f t="shared" si="50"/>
        <v>28.894613069993859</v>
      </c>
      <c r="C1609">
        <f t="shared" si="51"/>
        <v>65.117803262735848</v>
      </c>
    </row>
    <row r="1610" spans="1:3" x14ac:dyDescent="0.15">
      <c r="A1610">
        <v>16.060000000000002</v>
      </c>
      <c r="B1610">
        <f t="shared" si="50"/>
        <v>27.302005471449061</v>
      </c>
      <c r="C1610">
        <f t="shared" si="51"/>
        <v>64.842935975957445</v>
      </c>
    </row>
    <row r="1611" spans="1:3" x14ac:dyDescent="0.15">
      <c r="A1611">
        <v>16.07</v>
      </c>
      <c r="B1611">
        <f t="shared" si="50"/>
        <v>25.80468333336314</v>
      </c>
      <c r="C1611">
        <f t="shared" si="51"/>
        <v>64.548575054757947</v>
      </c>
    </row>
    <row r="1612" spans="1:3" x14ac:dyDescent="0.15">
      <c r="A1612">
        <v>16.080000000000002</v>
      </c>
      <c r="B1612">
        <f t="shared" si="50"/>
        <v>24.397074627788918</v>
      </c>
      <c r="C1612">
        <f t="shared" si="51"/>
        <v>64.236220411991937</v>
      </c>
    </row>
    <row r="1613" spans="1:3" x14ac:dyDescent="0.15">
      <c r="A1613">
        <v>16.090000000000003</v>
      </c>
      <c r="B1613">
        <f t="shared" si="50"/>
        <v>23.073869510868342</v>
      </c>
      <c r="C1613">
        <f t="shared" si="51"/>
        <v>63.90729338051171</v>
      </c>
    </row>
    <row r="1614" spans="1:3" x14ac:dyDescent="0.15">
      <c r="A1614">
        <v>16.100000000000001</v>
      </c>
      <c r="B1614">
        <f t="shared" si="50"/>
        <v>21.830019657722318</v>
      </c>
      <c r="C1614">
        <f t="shared" si="51"/>
        <v>63.563138156357532</v>
      </c>
    </row>
    <row r="1615" spans="1:3" x14ac:dyDescent="0.15">
      <c r="A1615">
        <v>16.110000000000003</v>
      </c>
      <c r="B1615">
        <f t="shared" si="50"/>
        <v>20.660735298839736</v>
      </c>
      <c r="C1615">
        <f t="shared" si="51"/>
        <v>63.205023685885919</v>
      </c>
    </row>
    <row r="1616" spans="1:3" x14ac:dyDescent="0.15">
      <c r="A1616">
        <v>16.12</v>
      </c>
      <c r="B1616">
        <f t="shared" si="50"/>
        <v>19.561480387897149</v>
      </c>
      <c r="C1616">
        <f t="shared" si="51"/>
        <v>62.834145901813258</v>
      </c>
    </row>
    <row r="1617" spans="1:3" x14ac:dyDescent="0.15">
      <c r="A1617">
        <v>16.130000000000003</v>
      </c>
      <c r="B1617">
        <f t="shared" si="50"/>
        <v>18.527966279027531</v>
      </c>
      <c r="C1617">
        <f t="shared" si="51"/>
        <v>62.451630225344843</v>
      </c>
    </row>
    <row r="1618" spans="1:3" x14ac:dyDescent="0.15">
      <c r="A1618">
        <v>16.14</v>
      </c>
      <c r="B1618">
        <f t="shared" si="50"/>
        <v>17.556144242932319</v>
      </c>
      <c r="C1618">
        <f t="shared" si="51"/>
        <v>62.058534262868491</v>
      </c>
    </row>
    <row r="1619" spans="1:3" x14ac:dyDescent="0.15">
      <c r="A1619">
        <v>16.150000000000002</v>
      </c>
      <c r="B1619">
        <f t="shared" si="50"/>
        <v>16.642197106337765</v>
      </c>
      <c r="C1619">
        <f t="shared" si="51"/>
        <v>61.655850636044583</v>
      </c>
    </row>
    <row r="1620" spans="1:3" x14ac:dyDescent="0.15">
      <c r="A1620">
        <v>16.16</v>
      </c>
      <c r="B1620">
        <f t="shared" si="50"/>
        <v>15.782530258357168</v>
      </c>
      <c r="C1620">
        <f t="shared" si="51"/>
        <v>61.244509893492932</v>
      </c>
    </row>
    <row r="1621" spans="1:3" x14ac:dyDescent="0.15">
      <c r="A1621">
        <v>16.170000000000002</v>
      </c>
      <c r="B1621">
        <f t="shared" si="50"/>
        <v>14.973762230388433</v>
      </c>
      <c r="C1621">
        <f t="shared" si="51"/>
        <v>60.825383460668462</v>
      </c>
    </row>
    <row r="1622" spans="1:3" x14ac:dyDescent="0.15">
      <c r="A1622">
        <v>16.180000000000003</v>
      </c>
      <c r="B1622">
        <f t="shared" si="50"/>
        <v>14.212715023180067</v>
      </c>
      <c r="C1622">
        <f t="shared" si="51"/>
        <v>60.399286591964227</v>
      </c>
    </row>
    <row r="1623" spans="1:3" x14ac:dyDescent="0.15">
      <c r="A1623">
        <v>16.190000000000001</v>
      </c>
      <c r="B1623">
        <f t="shared" si="50"/>
        <v>13.496404325476899</v>
      </c>
      <c r="C1623">
        <f t="shared" si="51"/>
        <v>59.966981295631577</v>
      </c>
    </row>
    <row r="1624" spans="1:3" x14ac:dyDescent="0.15">
      <c r="A1624">
        <v>16.200000000000003</v>
      </c>
      <c r="B1624">
        <f t="shared" si="50"/>
        <v>12.822029742987514</v>
      </c>
      <c r="C1624">
        <f t="shared" si="51"/>
        <v>59.529179207824093</v>
      </c>
    </row>
    <row r="1625" spans="1:3" x14ac:dyDescent="0.15">
      <c r="A1625">
        <v>16.21</v>
      </c>
      <c r="B1625">
        <f t="shared" si="50"/>
        <v>12.186965134039035</v>
      </c>
      <c r="C1625">
        <f t="shared" si="51"/>
        <v>59.086544397021527</v>
      </c>
    </row>
    <row r="1626" spans="1:3" x14ac:dyDescent="0.15">
      <c r="A1626">
        <v>16.220000000000002</v>
      </c>
      <c r="B1626">
        <f t="shared" si="50"/>
        <v>11.588749128922075</v>
      </c>
      <c r="C1626">
        <f t="shared" si="51"/>
        <v>58.639696084342781</v>
      </c>
    </row>
    <row r="1627" spans="1:3" x14ac:dyDescent="0.15">
      <c r="A1627">
        <v>16.23</v>
      </c>
      <c r="B1627">
        <f t="shared" si="50"/>
        <v>11.025075893293613</v>
      </c>
      <c r="C1627">
        <f t="shared" si="51"/>
        <v>58.189211268882893</v>
      </c>
    </row>
    <row r="1628" spans="1:3" x14ac:dyDescent="0.15">
      <c r="A1628">
        <v>16.240000000000002</v>
      </c>
      <c r="B1628">
        <f t="shared" si="50"/>
        <v>10.493786181816219</v>
      </c>
      <c r="C1628">
        <f t="shared" si="51"/>
        <v>57.735627250276131</v>
      </c>
    </row>
    <row r="1629" spans="1:3" x14ac:dyDescent="0.15">
      <c r="A1629">
        <v>16.250000000000004</v>
      </c>
      <c r="B1629">
        <f t="shared" si="50"/>
        <v>9.9928587161969418</v>
      </c>
      <c r="C1629">
        <f t="shared" si="51"/>
        <v>57.279444043260852</v>
      </c>
    </row>
    <row r="1630" spans="1:3" x14ac:dyDescent="0.15">
      <c r="A1630">
        <v>16.260000000000002</v>
      </c>
      <c r="B1630">
        <f t="shared" si="50"/>
        <v>9.5204019116922964</v>
      </c>
      <c r="C1630">
        <f t="shared" si="51"/>
        <v>56.821126681161566</v>
      </c>
    </row>
    <row r="1631" spans="1:3" x14ac:dyDescent="0.15">
      <c r="A1631">
        <v>16.270000000000003</v>
      </c>
      <c r="B1631">
        <f t="shared" si="50"/>
        <v>9.0746459677293796</v>
      </c>
      <c r="C1631">
        <f t="shared" si="51"/>
        <v>56.361107406965921</v>
      </c>
    </row>
    <row r="1632" spans="1:3" x14ac:dyDescent="0.15">
      <c r="A1632">
        <v>16.28</v>
      </c>
      <c r="B1632">
        <f t="shared" si="50"/>
        <v>8.6539353313392873</v>
      </c>
      <c r="C1632">
        <f t="shared" si="51"/>
        <v>55.899787752109738</v>
      </c>
    </row>
    <row r="1633" spans="1:3" x14ac:dyDescent="0.15">
      <c r="A1633">
        <v>16.290000000000003</v>
      </c>
      <c r="B1633">
        <f t="shared" si="50"/>
        <v>8.2567215364103301</v>
      </c>
      <c r="C1633">
        <f t="shared" si="51"/>
        <v>55.437540504237106</v>
      </c>
    </row>
    <row r="1634" spans="1:3" x14ac:dyDescent="0.15">
      <c r="A1634">
        <v>16.3</v>
      </c>
      <c r="B1634">
        <f t="shared" si="50"/>
        <v>7.881556417167479</v>
      </c>
      <c r="C1634">
        <f t="shared" si="51"/>
        <v>54.974711566116127</v>
      </c>
    </row>
    <row r="1635" spans="1:3" x14ac:dyDescent="0.15">
      <c r="A1635">
        <v>16.310000000000002</v>
      </c>
      <c r="B1635">
        <f t="shared" si="50"/>
        <v>7.5270856906133004</v>
      </c>
      <c r="C1635">
        <f t="shared" si="51"/>
        <v>54.511621708600138</v>
      </c>
    </row>
    <row r="1636" spans="1:3" x14ac:dyDescent="0.15">
      <c r="A1636">
        <v>16.32</v>
      </c>
      <c r="B1636">
        <f t="shared" si="50"/>
        <v>7.1920428997845036</v>
      </c>
      <c r="C1636">
        <f t="shared" si="51"/>
        <v>54.048568221061124</v>
      </c>
    </row>
    <row r="1637" spans="1:3" x14ac:dyDescent="0.15">
      <c r="A1637">
        <v>16.330000000000002</v>
      </c>
      <c r="B1637">
        <f t="shared" si="50"/>
        <v>6.8752437074645476</v>
      </c>
      <c r="C1637">
        <f t="shared" si="51"/>
        <v>53.585826463114074</v>
      </c>
    </row>
    <row r="1638" spans="1:3" x14ac:dyDescent="0.15">
      <c r="A1638">
        <v>16.340000000000003</v>
      </c>
      <c r="B1638">
        <f t="shared" si="50"/>
        <v>6.5755805283393807</v>
      </c>
      <c r="C1638">
        <f t="shared" si="51"/>
        <v>53.123651321722896</v>
      </c>
    </row>
    <row r="1639" spans="1:3" x14ac:dyDescent="0.15">
      <c r="A1639">
        <v>16.350000000000001</v>
      </c>
      <c r="B1639">
        <f t="shared" si="50"/>
        <v>6.2920174863973628</v>
      </c>
      <c r="C1639">
        <f t="shared" si="51"/>
        <v>52.662278577950751</v>
      </c>
    </row>
    <row r="1640" spans="1:3" x14ac:dyDescent="0.15">
      <c r="A1640">
        <v>16.360000000000003</v>
      </c>
      <c r="B1640">
        <f t="shared" si="50"/>
        <v>6.023585683575341</v>
      </c>
      <c r="C1640">
        <f t="shared" si="51"/>
        <v>52.201926187708445</v>
      </c>
    </row>
    <row r="1641" spans="1:3" x14ac:dyDescent="0.15">
      <c r="A1641">
        <v>16.37</v>
      </c>
      <c r="B1641">
        <f t="shared" si="50"/>
        <v>5.7693787651717567</v>
      </c>
      <c r="C1641">
        <f t="shared" si="51"/>
        <v>51.742795480879231</v>
      </c>
    </row>
    <row r="1642" spans="1:3" x14ac:dyDescent="0.15">
      <c r="A1642">
        <v>16.380000000000003</v>
      </c>
      <c r="B1642">
        <f t="shared" si="50"/>
        <v>5.5285487673254643</v>
      </c>
      <c r="C1642">
        <f t="shared" si="51"/>
        <v>51.285072283170038</v>
      </c>
    </row>
    <row r="1643" spans="1:3" x14ac:dyDescent="0.15">
      <c r="A1643">
        <v>16.39</v>
      </c>
      <c r="B1643">
        <f t="shared" si="50"/>
        <v>5.3003022318454018</v>
      </c>
      <c r="C1643">
        <f t="shared" si="51"/>
        <v>50.828927964969004</v>
      </c>
    </row>
    <row r="1644" spans="1:3" x14ac:dyDescent="0.15">
      <c r="A1644">
        <v>16.400000000000002</v>
      </c>
      <c r="B1644">
        <f t="shared" si="50"/>
        <v>5.083896573828822</v>
      </c>
      <c r="C1644">
        <f t="shared" si="51"/>
        <v>50.374520421386322</v>
      </c>
    </row>
    <row r="1645" spans="1:3" x14ac:dyDescent="0.15">
      <c r="A1645">
        <v>16.41</v>
      </c>
      <c r="B1645">
        <f t="shared" si="50"/>
        <v>4.8786366877885543</v>
      </c>
      <c r="C1645">
        <f t="shared" si="51"/>
        <v>49.921994987528166</v>
      </c>
    </row>
    <row r="1646" spans="1:3" x14ac:dyDescent="0.15">
      <c r="A1646">
        <v>16.420000000000002</v>
      </c>
      <c r="B1646">
        <f t="shared" si="50"/>
        <v>4.6838717783926889</v>
      </c>
      <c r="C1646">
        <f t="shared" si="51"/>
        <v>49.47148529290763</v>
      </c>
    </row>
    <row r="1647" spans="1:3" x14ac:dyDescent="0.15">
      <c r="A1647">
        <v>16.430000000000003</v>
      </c>
      <c r="B1647">
        <f t="shared" si="50"/>
        <v>4.4989924023779961</v>
      </c>
      <c r="C1647">
        <f t="shared" si="51"/>
        <v>49.023114058738273</v>
      </c>
    </row>
    <row r="1648" spans="1:3" x14ac:dyDescent="0.15">
      <c r="A1648">
        <v>16.440000000000001</v>
      </c>
      <c r="B1648">
        <f t="shared" si="50"/>
        <v>4.3234277087106028</v>
      </c>
      <c r="C1648">
        <f t="shared" si="51"/>
        <v>48.576993841689124</v>
      </c>
    </row>
    <row r="1649" spans="1:3" x14ac:dyDescent="0.15">
      <c r="A1649">
        <v>16.450000000000003</v>
      </c>
      <c r="B1649">
        <f t="shared" si="50"/>
        <v>4.1566428646166855</v>
      </c>
      <c r="C1649">
        <f t="shared" si="51"/>
        <v>48.133227727508434</v>
      </c>
    </row>
    <row r="1650" spans="1:3" x14ac:dyDescent="0.15">
      <c r="A1650">
        <v>16.46</v>
      </c>
      <c r="B1650">
        <f t="shared" si="50"/>
        <v>3.9981366556783344</v>
      </c>
      <c r="C1650">
        <f t="shared" si="51"/>
        <v>47.69190997775025</v>
      </c>
    </row>
    <row r="1651" spans="1:3" x14ac:dyDescent="0.15">
      <c r="A1651">
        <v>16.470000000000002</v>
      </c>
      <c r="B1651">
        <f t="shared" si="50"/>
        <v>3.847439248773763</v>
      </c>
      <c r="C1651">
        <f t="shared" si="51"/>
        <v>47.253126632665023</v>
      </c>
    </row>
    <row r="1652" spans="1:3" x14ac:dyDescent="0.15">
      <c r="A1652">
        <v>16.48</v>
      </c>
      <c r="B1652">
        <f t="shared" si="50"/>
        <v>3.7041101072277085</v>
      </c>
      <c r="C1652">
        <f t="shared" si="51"/>
        <v>46.816956073145128</v>
      </c>
    </row>
    <row r="1653" spans="1:3" x14ac:dyDescent="0.15">
      <c r="A1653">
        <v>16.490000000000002</v>
      </c>
      <c r="B1653">
        <f t="shared" si="50"/>
        <v>3.567736048119813</v>
      </c>
      <c r="C1653">
        <f t="shared" si="51"/>
        <v>46.38346954444971</v>
      </c>
    </row>
    <row r="1654" spans="1:3" x14ac:dyDescent="0.15">
      <c r="A1654">
        <v>16.500000000000004</v>
      </c>
      <c r="B1654">
        <f t="shared" si="50"/>
        <v>3.4379294322704106</v>
      </c>
      <c r="C1654">
        <f t="shared" si="51"/>
        <v>45.952731644271338</v>
      </c>
    </row>
    <row r="1655" spans="1:3" x14ac:dyDescent="0.15">
      <c r="A1655">
        <v>16.510000000000002</v>
      </c>
      <c r="B1655">
        <f t="shared" si="50"/>
        <v>3.3143264779800501</v>
      </c>
      <c r="C1655">
        <f t="shared" si="51"/>
        <v>45.524800777551242</v>
      </c>
    </row>
    <row r="1656" spans="1:3" x14ac:dyDescent="0.15">
      <c r="A1656">
        <v>16.520000000000003</v>
      </c>
      <c r="B1656">
        <f t="shared" si="50"/>
        <v>3.1965856901380456</v>
      </c>
      <c r="C1656">
        <f t="shared" si="51"/>
        <v>45.099729580300092</v>
      </c>
    </row>
    <row r="1657" spans="1:3" x14ac:dyDescent="0.15">
      <c r="A1657">
        <v>16.53</v>
      </c>
      <c r="B1657">
        <f t="shared" si="50"/>
        <v>3.0843863968339433</v>
      </c>
      <c r="C1657">
        <f t="shared" si="51"/>
        <v>44.677565314538192</v>
      </c>
    </row>
    <row r="1658" spans="1:3" x14ac:dyDescent="0.15">
      <c r="A1658">
        <v>16.540000000000003</v>
      </c>
      <c r="B1658">
        <f t="shared" si="50"/>
        <v>2.9774273861024612</v>
      </c>
      <c r="C1658">
        <f t="shared" si="51"/>
        <v>44.258350236332774</v>
      </c>
    </row>
    <row r="1659" spans="1:3" x14ac:dyDescent="0.15">
      <c r="A1659">
        <v>16.55</v>
      </c>
      <c r="B1659">
        <f t="shared" si="50"/>
        <v>2.8754256359061143</v>
      </c>
      <c r="C1659">
        <f t="shared" si="51"/>
        <v>43.84212193878092</v>
      </c>
    </row>
    <row r="1660" spans="1:3" x14ac:dyDescent="0.15">
      <c r="A1660">
        <v>16.560000000000002</v>
      </c>
      <c r="B1660">
        <f t="shared" si="50"/>
        <v>2.778115130909883</v>
      </c>
      <c r="C1660">
        <f t="shared" si="51"/>
        <v>43.428913671664169</v>
      </c>
    </row>
    <row r="1661" spans="1:3" x14ac:dyDescent="0.15">
      <c r="A1661">
        <v>16.57</v>
      </c>
      <c r="B1661">
        <f t="shared" si="50"/>
        <v>2.6852457600287529</v>
      </c>
      <c r="C1661">
        <f t="shared" si="51"/>
        <v>43.01875463938557</v>
      </c>
    </row>
    <row r="1662" spans="1:3" x14ac:dyDescent="0.15">
      <c r="A1662">
        <v>16.580000000000002</v>
      </c>
      <c r="B1662">
        <f t="shared" si="50"/>
        <v>2.5965822891319132</v>
      </c>
      <c r="C1662">
        <f t="shared" si="51"/>
        <v>42.611670278691143</v>
      </c>
    </row>
    <row r="1663" spans="1:3" x14ac:dyDescent="0.15">
      <c r="A1663">
        <v>16.590000000000003</v>
      </c>
      <c r="B1663">
        <f t="shared" si="50"/>
        <v>2.5119034036672541</v>
      </c>
      <c r="C1663">
        <f t="shared" si="51"/>
        <v>42.207682517575428</v>
      </c>
    </row>
    <row r="1664" spans="1:3" x14ac:dyDescent="0.15">
      <c r="A1664">
        <v>16.600000000000001</v>
      </c>
      <c r="B1664">
        <f t="shared" si="50"/>
        <v>2.4310008163271219</v>
      </c>
      <c r="C1664">
        <f t="shared" si="51"/>
        <v>41.806810016675037</v>
      </c>
    </row>
    <row r="1665" spans="1:3" x14ac:dyDescent="0.15">
      <c r="A1665">
        <v>16.610000000000003</v>
      </c>
      <c r="B1665">
        <f t="shared" si="50"/>
        <v>2.353678435211823</v>
      </c>
      <c r="C1665">
        <f t="shared" si="51"/>
        <v>41.409068394363999</v>
      </c>
    </row>
    <row r="1666" spans="1:3" x14ac:dyDescent="0.15">
      <c r="A1666">
        <v>16.62</v>
      </c>
      <c r="B1666">
        <f t="shared" si="50"/>
        <v>2.2797515882619153</v>
      </c>
      <c r="C1666">
        <f t="shared" si="51"/>
        <v>41.01447043668076</v>
      </c>
    </row>
    <row r="1667" spans="1:3" x14ac:dyDescent="0.15">
      <c r="A1667">
        <v>16.630000000000003</v>
      </c>
      <c r="B1667">
        <f t="shared" si="50"/>
        <v>2.2090463000247897</v>
      </c>
      <c r="C1667">
        <f t="shared" si="51"/>
        <v>40.623026293137904</v>
      </c>
    </row>
    <row r="1668" spans="1:3" x14ac:dyDescent="0.15">
      <c r="A1668">
        <v>16.64</v>
      </c>
      <c r="B1668">
        <f t="shared" si="50"/>
        <v>2.1413986170963715</v>
      </c>
      <c r="C1668">
        <f t="shared" si="51"/>
        <v>40.234743659392258</v>
      </c>
    </row>
    <row r="1669" spans="1:3" x14ac:dyDescent="0.15">
      <c r="A1669">
        <v>16.650000000000002</v>
      </c>
      <c r="B1669">
        <f t="shared" si="50"/>
        <v>2.0766539788358855</v>
      </c>
      <c r="C1669">
        <f t="shared" si="51"/>
        <v>39.849627947684624</v>
      </c>
    </row>
    <row r="1670" spans="1:3" x14ac:dyDescent="0.15">
      <c r="A1670">
        <v>16.66</v>
      </c>
      <c r="B1670">
        <f t="shared" ref="B1670:B1733" si="52">(1+($A$2-$B$2*C1669)*$E$2)*B1669</f>
        <v>2.0146666301915555</v>
      </c>
      <c r="C1670">
        <f t="shared" ref="C1670:C1733" si="53">(1+($C$2*B1669-$D$2)*$E$2)*C1669</f>
        <v>39.467682445894312</v>
      </c>
    </row>
    <row r="1671" spans="1:3" x14ac:dyDescent="0.15">
      <c r="A1671">
        <v>16.670000000000002</v>
      </c>
      <c r="B1671">
        <f t="shared" si="52"/>
        <v>1.9552990736987306</v>
      </c>
      <c r="C1671">
        <f t="shared" si="53"/>
        <v>39.088908465994315</v>
      </c>
    </row>
    <row r="1672" spans="1:3" x14ac:dyDescent="0.15">
      <c r="A1672">
        <v>16.680000000000003</v>
      </c>
      <c r="B1672">
        <f t="shared" si="52"/>
        <v>1.8984215579202648</v>
      </c>
      <c r="C1672">
        <f t="shared" si="53"/>
        <v>38.713305482637459</v>
      </c>
    </row>
    <row r="1673" spans="1:3" x14ac:dyDescent="0.15">
      <c r="A1673">
        <v>16.690000000000001</v>
      </c>
      <c r="B1673">
        <f t="shared" si="52"/>
        <v>1.8439115997928757</v>
      </c>
      <c r="C1673">
        <f t="shared" si="53"/>
        <v>38.340871262552405</v>
      </c>
    </row>
    <row r="1674" spans="1:3" x14ac:dyDescent="0.15">
      <c r="A1674">
        <v>16.700000000000003</v>
      </c>
      <c r="B1674">
        <f t="shared" si="52"/>
        <v>1.7916535385236187</v>
      </c>
      <c r="C1674">
        <f t="shared" si="53"/>
        <v>37.971601985380318</v>
      </c>
    </row>
    <row r="1675" spans="1:3" x14ac:dyDescent="0.15">
      <c r="A1675">
        <v>16.71</v>
      </c>
      <c r="B1675">
        <f t="shared" si="52"/>
        <v>1.7415381188483379</v>
      </c>
      <c r="C1675">
        <f t="shared" si="53"/>
        <v>37.605492356538619</v>
      </c>
    </row>
    <row r="1676" spans="1:3" x14ac:dyDescent="0.15">
      <c r="A1676">
        <v>16.720000000000002</v>
      </c>
      <c r="B1676">
        <f t="shared" si="52"/>
        <v>1.6934621016198494</v>
      </c>
      <c r="C1676">
        <f t="shared" si="53"/>
        <v>37.242535712656625</v>
      </c>
    </row>
    <row r="1677" spans="1:3" x14ac:dyDescent="0.15">
      <c r="A1677">
        <v>16.73</v>
      </c>
      <c r="B1677">
        <f t="shared" si="52"/>
        <v>1.6473278998384402</v>
      </c>
      <c r="C1677">
        <f t="shared" si="53"/>
        <v>36.882724120089584</v>
      </c>
    </row>
    <row r="1678" spans="1:3" x14ac:dyDescent="0.15">
      <c r="A1678">
        <v>16.740000000000002</v>
      </c>
      <c r="B1678">
        <f t="shared" si="52"/>
        <v>1.6030432383717568</v>
      </c>
      <c r="C1678">
        <f t="shared" si="53"/>
        <v>36.526048466981699</v>
      </c>
    </row>
    <row r="1679" spans="1:3" x14ac:dyDescent="0.15">
      <c r="A1679">
        <v>16.750000000000004</v>
      </c>
      <c r="B1679">
        <f t="shared" si="52"/>
        <v>1.5605208357360403</v>
      </c>
      <c r="C1679">
        <f t="shared" si="53"/>
        <v>36.172498549315769</v>
      </c>
    </row>
    <row r="1680" spans="1:3" x14ac:dyDescent="0.15">
      <c r="A1680">
        <v>16.760000000000002</v>
      </c>
      <c r="B1680">
        <f t="shared" si="52"/>
        <v>1.5196781064265616</v>
      </c>
      <c r="C1680">
        <f t="shared" si="53"/>
        <v>35.822063151355977</v>
      </c>
    </row>
    <row r="1681" spans="1:3" x14ac:dyDescent="0.15">
      <c r="A1681">
        <v>16.770000000000003</v>
      </c>
      <c r="B1681">
        <f t="shared" si="52"/>
        <v>1.4804368823926819</v>
      </c>
      <c r="C1681">
        <f t="shared" si="53"/>
        <v>35.474730120862041</v>
      </c>
    </row>
    <row r="1682" spans="1:3" x14ac:dyDescent="0.15">
      <c r="A1682">
        <v>16.78</v>
      </c>
      <c r="B1682">
        <f t="shared" si="52"/>
        <v>1.4427231523527579</v>
      </c>
      <c r="C1682">
        <f t="shared" si="53"/>
        <v>35.130486439426193</v>
      </c>
    </row>
    <row r="1683" spans="1:3" x14ac:dyDescent="0.15">
      <c r="A1683">
        <v>16.790000000000003</v>
      </c>
      <c r="B1683">
        <f t="shared" si="52"/>
        <v>1.4064668177367108</v>
      </c>
      <c r="C1683">
        <f t="shared" si="53"/>
        <v>34.789318288259842</v>
      </c>
    </row>
    <row r="1684" spans="1:3" x14ac:dyDescent="0.15">
      <c r="A1684">
        <v>16.8</v>
      </c>
      <c r="B1684">
        <f t="shared" si="52"/>
        <v>1.3716014641299596</v>
      </c>
      <c r="C1684">
        <f t="shared" si="53"/>
        <v>34.451211109734068</v>
      </c>
    </row>
    <row r="1685" spans="1:3" x14ac:dyDescent="0.15">
      <c r="A1685">
        <v>16.810000000000002</v>
      </c>
      <c r="B1685">
        <f t="shared" si="52"/>
        <v>1.3380641471720978</v>
      </c>
      <c r="C1685">
        <f t="shared" si="53"/>
        <v>34.116149664956559</v>
      </c>
    </row>
    <row r="1686" spans="1:3" x14ac:dyDescent="0.15">
      <c r="A1686">
        <v>16.82</v>
      </c>
      <c r="B1686">
        <f t="shared" si="52"/>
        <v>1.305795191937583</v>
      </c>
      <c r="C1686">
        <f t="shared" si="53"/>
        <v>33.784118087648238</v>
      </c>
    </row>
    <row r="1687" spans="1:3" x14ac:dyDescent="0.15">
      <c r="A1687">
        <v>16.830000000000002</v>
      </c>
      <c r="B1687">
        <f t="shared" si="52"/>
        <v>1.2747380048942563</v>
      </c>
      <c r="C1687">
        <f t="shared" si="53"/>
        <v>33.455099934564295</v>
      </c>
    </row>
    <row r="1688" spans="1:3" x14ac:dyDescent="0.15">
      <c r="A1688">
        <v>16.840000000000003</v>
      </c>
      <c r="B1688">
        <f t="shared" si="52"/>
        <v>1.2448388975990743</v>
      </c>
      <c r="C1688">
        <f t="shared" si="53"/>
        <v>33.129078232687476</v>
      </c>
    </row>
    <row r="1689" spans="1:3" x14ac:dyDescent="0.15">
      <c r="A1689">
        <v>16.850000000000001</v>
      </c>
      <c r="B1689">
        <f t="shared" si="52"/>
        <v>1.2160469213494127</v>
      </c>
      <c r="C1689">
        <f t="shared" si="53"/>
        <v>32.806035523405733</v>
      </c>
    </row>
    <row r="1690" spans="1:3" x14ac:dyDescent="0.15">
      <c r="A1690">
        <v>16.860000000000003</v>
      </c>
      <c r="B1690">
        <f t="shared" si="52"/>
        <v>1.1883137120629899</v>
      </c>
      <c r="C1690">
        <f t="shared" si="53"/>
        <v>32.48595390387166</v>
      </c>
    </row>
    <row r="1691" spans="1:3" x14ac:dyDescent="0.15">
      <c r="A1691">
        <v>16.87</v>
      </c>
      <c r="B1691">
        <f t="shared" si="52"/>
        <v>1.1615933447102029</v>
      </c>
      <c r="C1691">
        <f t="shared" si="53"/>
        <v>32.168815065727628</v>
      </c>
    </row>
    <row r="1692" spans="1:3" x14ac:dyDescent="0.15">
      <c r="A1692">
        <v>16.880000000000003</v>
      </c>
      <c r="B1692">
        <f t="shared" si="52"/>
        <v>1.1358421966697425</v>
      </c>
      <c r="C1692">
        <f t="shared" si="53"/>
        <v>31.854600331367863</v>
      </c>
    </row>
    <row r="1693" spans="1:3" x14ac:dyDescent="0.15">
      <c r="A1693">
        <v>16.89</v>
      </c>
      <c r="B1693">
        <f t="shared" si="52"/>
        <v>1.1110188194220223</v>
      </c>
      <c r="C1693">
        <f t="shared" si="53"/>
        <v>31.54329068789707</v>
      </c>
    </row>
    <row r="1694" spans="1:3" x14ac:dyDescent="0.15">
      <c r="A1694">
        <v>16.900000000000002</v>
      </c>
      <c r="B1694">
        <f t="shared" si="52"/>
        <v>1.0870838180354894</v>
      </c>
      <c r="C1694">
        <f t="shared" si="53"/>
        <v>31.234866818934247</v>
      </c>
    </row>
    <row r="1695" spans="1:3" x14ac:dyDescent="0.15">
      <c r="A1695">
        <v>16.91</v>
      </c>
      <c r="B1695">
        <f t="shared" si="52"/>
        <v>1.0639997379384871</v>
      </c>
      <c r="C1695">
        <f t="shared" si="53"/>
        <v>30.929309134400377</v>
      </c>
    </row>
    <row r="1696" spans="1:3" x14ac:dyDescent="0.15">
      <c r="A1696">
        <v>16.920000000000002</v>
      </c>
      <c r="B1696">
        <f t="shared" si="52"/>
        <v>1.0417309585042516</v>
      </c>
      <c r="C1696">
        <f t="shared" si="53"/>
        <v>30.626597798419098</v>
      </c>
    </row>
    <row r="1697" spans="1:3" x14ac:dyDescent="0.15">
      <c r="A1697">
        <v>16.930000000000003</v>
      </c>
      <c r="B1697">
        <f t="shared" si="52"/>
        <v>1.0202435930090228</v>
      </c>
      <c r="C1697">
        <f t="shared" si="53"/>
        <v>30.326712755450963</v>
      </c>
    </row>
    <row r="1698" spans="1:3" x14ac:dyDescent="0.15">
      <c r="A1698">
        <v>16.940000000000001</v>
      </c>
      <c r="B1698">
        <f t="shared" si="52"/>
        <v>0.9995053945533392</v>
      </c>
      <c r="C1698">
        <f t="shared" si="53"/>
        <v>30.029633754773606</v>
      </c>
    </row>
    <row r="1699" spans="1:3" x14ac:dyDescent="0.15">
      <c r="A1699">
        <v>16.950000000000003</v>
      </c>
      <c r="B1699">
        <f t="shared" si="52"/>
        <v>0.97948566756451527</v>
      </c>
      <c r="C1699">
        <f t="shared" si="53"/>
        <v>29.73534037341274</v>
      </c>
    </row>
    <row r="1700" spans="1:3" x14ac:dyDescent="0.15">
      <c r="A1700">
        <v>16.96</v>
      </c>
      <c r="B1700">
        <f t="shared" si="52"/>
        <v>0.96015518452425019</v>
      </c>
      <c r="C1700">
        <f t="shared" si="53"/>
        <v>29.443812037621793</v>
      </c>
    </row>
    <row r="1701" spans="1:3" x14ac:dyDescent="0.15">
      <c r="A1701">
        <v>16.970000000000002</v>
      </c>
      <c r="B1701">
        <f t="shared" si="52"/>
        <v>0.94148610758941265</v>
      </c>
      <c r="C1701">
        <f t="shared" si="53"/>
        <v>29.155028043001593</v>
      </c>
    </row>
    <row r="1702" spans="1:3" x14ac:dyDescent="0.15">
      <c r="A1702">
        <v>16.98</v>
      </c>
      <c r="B1702">
        <f t="shared" si="52"/>
        <v>0.92345191479644095</v>
      </c>
      <c r="C1702">
        <f t="shared" si="53"/>
        <v>28.868967573345351</v>
      </c>
    </row>
    <row r="1703" spans="1:3" x14ac:dyDescent="0.15">
      <c r="A1703">
        <v>16.990000000000002</v>
      </c>
      <c r="B1703">
        <f t="shared" si="52"/>
        <v>0.90602733056060325</v>
      </c>
      <c r="C1703">
        <f t="shared" si="53"/>
        <v>28.585609718288659</v>
      </c>
    </row>
    <row r="1704" spans="1:3" x14ac:dyDescent="0.15">
      <c r="A1704">
        <v>17.000000000000004</v>
      </c>
      <c r="B1704">
        <f t="shared" si="52"/>
        <v>0.88918826020070096</v>
      </c>
      <c r="C1704">
        <f t="shared" si="53"/>
        <v>28.304933489838874</v>
      </c>
    </row>
    <row r="1705" spans="1:3" x14ac:dyDescent="0.15">
      <c r="A1705">
        <v>17.010000000000002</v>
      </c>
      <c r="B1705">
        <f t="shared" si="52"/>
        <v>0.87291172823778163</v>
      </c>
      <c r="C1705">
        <f t="shared" si="53"/>
        <v>28.026917837853471</v>
      </c>
    </row>
    <row r="1706" spans="1:3" x14ac:dyDescent="0.15">
      <c r="A1706">
        <v>17.020000000000003</v>
      </c>
      <c r="B1706">
        <f t="shared" si="52"/>
        <v>0.85717582023314043</v>
      </c>
      <c r="C1706">
        <f t="shared" si="53"/>
        <v>27.75154166453234</v>
      </c>
    </row>
    <row r="1707" spans="1:3" x14ac:dyDescent="0.15">
      <c r="A1707">
        <v>17.03</v>
      </c>
      <c r="B1707">
        <f t="shared" si="52"/>
        <v>0.84195962794644219</v>
      </c>
      <c r="C1707">
        <f t="shared" si="53"/>
        <v>27.478783837984821</v>
      </c>
    </row>
    <row r="1708" spans="1:3" x14ac:dyDescent="0.15">
      <c r="A1708">
        <v>17.040000000000003</v>
      </c>
      <c r="B1708">
        <f t="shared" si="52"/>
        <v>0.82724319760925613</v>
      </c>
      <c r="C1708">
        <f t="shared" si="53"/>
        <v>27.208623204928301</v>
      </c>
    </row>
    <row r="1709" spans="1:3" x14ac:dyDescent="0.15">
      <c r="A1709">
        <v>17.05</v>
      </c>
      <c r="B1709">
        <f t="shared" si="52"/>
        <v>0.81300748112275834</v>
      </c>
      <c r="C1709">
        <f t="shared" si="53"/>
        <v>26.941038602571535</v>
      </c>
    </row>
    <row r="1710" spans="1:3" x14ac:dyDescent="0.15">
      <c r="A1710">
        <v>17.060000000000002</v>
      </c>
      <c r="B1710">
        <f t="shared" si="52"/>
        <v>0.7992342900008782</v>
      </c>
      <c r="C1710">
        <f t="shared" si="53"/>
        <v>26.676008869732442</v>
      </c>
    </row>
    <row r="1711" spans="1:3" x14ac:dyDescent="0.15">
      <c r="A1711">
        <v>17.07</v>
      </c>
      <c r="B1711">
        <f t="shared" si="52"/>
        <v>0.78590625189182928</v>
      </c>
      <c r="C1711">
        <f t="shared" si="53"/>
        <v>26.413512857236928</v>
      </c>
    </row>
    <row r="1712" spans="1:3" x14ac:dyDescent="0.15">
      <c r="A1712">
        <v>17.080000000000002</v>
      </c>
      <c r="B1712">
        <f t="shared" si="52"/>
        <v>0.7730067695218199</v>
      </c>
      <c r="C1712">
        <f t="shared" si="53"/>
        <v>26.153529437642344</v>
      </c>
    </row>
    <row r="1713" spans="1:3" x14ac:dyDescent="0.15">
      <c r="A1713">
        <v>17.090000000000003</v>
      </c>
      <c r="B1713">
        <f t="shared" si="52"/>
        <v>0.76051998191485237</v>
      </c>
      <c r="C1713">
        <f t="shared" si="53"/>
        <v>25.896037514326355</v>
      </c>
    </row>
    <row r="1714" spans="1:3" x14ac:dyDescent="0.15">
      <c r="A1714">
        <v>17.100000000000001</v>
      </c>
      <c r="B1714">
        <f t="shared" si="52"/>
        <v>0.74843072775193908</v>
      </c>
      <c r="C1714">
        <f t="shared" si="53"/>
        <v>25.641016029979504</v>
      </c>
    </row>
    <row r="1715" spans="1:3" x14ac:dyDescent="0.15">
      <c r="A1715">
        <v>17.110000000000003</v>
      </c>
      <c r="B1715">
        <f t="shared" si="52"/>
        <v>0.73672451074184175</v>
      </c>
      <c r="C1715">
        <f t="shared" si="53"/>
        <v>25.388443974537232</v>
      </c>
    </row>
    <row r="1716" spans="1:3" x14ac:dyDescent="0.15">
      <c r="A1716">
        <v>17.12</v>
      </c>
      <c r="B1716">
        <f t="shared" si="52"/>
        <v>0.72538746688362254</v>
      </c>
      <c r="C1716">
        <f t="shared" si="53"/>
        <v>25.138300392584988</v>
      </c>
    </row>
    <row r="1717" spans="1:3" x14ac:dyDescent="0.15">
      <c r="A1717">
        <v>17.130000000000003</v>
      </c>
      <c r="B1717">
        <f t="shared" si="52"/>
        <v>0.71440633350892191</v>
      </c>
      <c r="C1717">
        <f t="shared" si="53"/>
        <v>24.890564390267848</v>
      </c>
    </row>
    <row r="1718" spans="1:3" x14ac:dyDescent="0.15">
      <c r="A1718">
        <v>17.14</v>
      </c>
      <c r="B1718">
        <f t="shared" si="52"/>
        <v>0.7037684199989922</v>
      </c>
      <c r="C1718">
        <f t="shared" si="53"/>
        <v>24.645215141734173</v>
      </c>
    </row>
    <row r="1719" spans="1:3" x14ac:dyDescent="0.15">
      <c r="A1719">
        <v>17.150000000000002</v>
      </c>
      <c r="B1719">
        <f t="shared" si="52"/>
        <v>0.69346158007814862</v>
      </c>
      <c r="C1719">
        <f t="shared" si="53"/>
        <v>24.402231895140996</v>
      </c>
    </row>
    <row r="1720" spans="1:3" x14ac:dyDescent="0.15">
      <c r="A1720">
        <v>17.160000000000004</v>
      </c>
      <c r="B1720">
        <f t="shared" si="52"/>
        <v>0.6834741855914922</v>
      </c>
      <c r="C1720">
        <f t="shared" si="53"/>
        <v>24.161593978247073</v>
      </c>
    </row>
    <row r="1721" spans="1:3" x14ac:dyDescent="0.15">
      <c r="A1721">
        <v>17.170000000000002</v>
      </c>
      <c r="B1721">
        <f t="shared" si="52"/>
        <v>0.67379510168053236</v>
      </c>
      <c r="C1721">
        <f t="shared" si="53"/>
        <v>23.923280803617978</v>
      </c>
    </row>
    <row r="1722" spans="1:3" x14ac:dyDescent="0.15">
      <c r="A1722">
        <v>17.180000000000003</v>
      </c>
      <c r="B1722">
        <f t="shared" si="52"/>
        <v>0.66441366327573204</v>
      </c>
      <c r="C1722">
        <f t="shared" si="53"/>
        <v>23.68727187346612</v>
      </c>
    </row>
    <row r="1723" spans="1:3" x14ac:dyDescent="0.15">
      <c r="A1723">
        <v>17.190000000000001</v>
      </c>
      <c r="B1723">
        <f t="shared" si="52"/>
        <v>0.65531965283003157</v>
      </c>
      <c r="C1723">
        <f t="shared" si="53"/>
        <v>23.45354678414715</v>
      </c>
    </row>
    <row r="1724" spans="1:3" x14ac:dyDescent="0.15">
      <c r="A1724">
        <v>17.200000000000003</v>
      </c>
      <c r="B1724">
        <f t="shared" si="52"/>
        <v>0.6465032792221117</v>
      </c>
      <c r="C1724">
        <f t="shared" si="53"/>
        <v>23.222085230332922</v>
      </c>
    </row>
    <row r="1725" spans="1:3" x14ac:dyDescent="0.15">
      <c r="A1725">
        <v>17.21</v>
      </c>
      <c r="B1725">
        <f t="shared" si="52"/>
        <v>0.63795515776254719</v>
      </c>
      <c r="C1725">
        <f t="shared" si="53"/>
        <v>22.992867008879948</v>
      </c>
    </row>
    <row r="1726" spans="1:3" x14ac:dyDescent="0.15">
      <c r="A1726">
        <v>17.220000000000002</v>
      </c>
      <c r="B1726">
        <f t="shared" si="52"/>
        <v>0.62966629124010942</v>
      </c>
      <c r="C1726">
        <f t="shared" si="53"/>
        <v>22.765872022411159</v>
      </c>
    </row>
    <row r="1727" spans="1:3" x14ac:dyDescent="0.15">
      <c r="A1727">
        <v>17.23</v>
      </c>
      <c r="B1727">
        <f t="shared" si="52"/>
        <v>0.62162805194931192</v>
      </c>
      <c r="C1727">
        <f t="shared" si="53"/>
        <v>22.541080282627689</v>
      </c>
    </row>
    <row r="1728" spans="1:3" x14ac:dyDescent="0.15">
      <c r="A1728">
        <v>17.240000000000002</v>
      </c>
      <c r="B1728">
        <f t="shared" si="52"/>
        <v>0.61383216464388213</v>
      </c>
      <c r="C1728">
        <f t="shared" si="53"/>
        <v>22.318471913366398</v>
      </c>
    </row>
    <row r="1729" spans="1:3" x14ac:dyDescent="0.15">
      <c r="A1729">
        <v>17.250000000000004</v>
      </c>
      <c r="B1729">
        <f t="shared" si="52"/>
        <v>0.60627069036419556</v>
      </c>
      <c r="C1729">
        <f t="shared" si="53"/>
        <v>22.098027153417959</v>
      </c>
    </row>
    <row r="1730" spans="1:3" x14ac:dyDescent="0.15">
      <c r="A1730">
        <v>17.260000000000002</v>
      </c>
      <c r="B1730">
        <f t="shared" si="52"/>
        <v>0.59893601108984806</v>
      </c>
      <c r="C1730">
        <f t="shared" si="53"/>
        <v>21.879726359119378</v>
      </c>
    </row>
    <row r="1731" spans="1:3" x14ac:dyDescent="0.15">
      <c r="A1731">
        <v>17.270000000000003</v>
      </c>
      <c r="B1731">
        <f t="shared" si="52"/>
        <v>0.59182081517147822</v>
      </c>
      <c r="C1731">
        <f t="shared" si="53"/>
        <v>21.663550006734038</v>
      </c>
    </row>
    <row r="1732" spans="1:3" x14ac:dyDescent="0.15">
      <c r="A1732">
        <v>17.28</v>
      </c>
      <c r="B1732">
        <f t="shared" si="52"/>
        <v>0.58491808349869956</v>
      </c>
      <c r="C1732">
        <f t="shared" si="53"/>
        <v>21.449478694631598</v>
      </c>
    </row>
    <row r="1733" spans="1:3" x14ac:dyDescent="0.15">
      <c r="A1733">
        <v>17.290000000000003</v>
      </c>
      <c r="B1733">
        <f t="shared" si="52"/>
        <v>0.57822107636357645</v>
      </c>
      <c r="C1733">
        <f t="shared" si="53"/>
        <v>21.237493145279306</v>
      </c>
    </row>
    <row r="1734" spans="1:3" x14ac:dyDescent="0.15">
      <c r="A1734">
        <v>17.3</v>
      </c>
      <c r="B1734">
        <f t="shared" ref="B1734:B1797" si="54">(1+($A$2-$B$2*C1733)*$E$2)*B1733</f>
        <v>0.57172332098148471</v>
      </c>
      <c r="C1734">
        <f t="shared" ref="C1734:C1797" si="55">(1+($C$2*B1733-$D$2)*$E$2)*C1733</f>
        <v>21.027574207055657</v>
      </c>
    </row>
    <row r="1735" spans="1:3" x14ac:dyDescent="0.15">
      <c r="A1735">
        <v>17.310000000000002</v>
      </c>
      <c r="B1735">
        <f t="shared" si="54"/>
        <v>0.56541859963345709</v>
      </c>
      <c r="C1735">
        <f t="shared" si="55"/>
        <v>20.819702855896672</v>
      </c>
    </row>
    <row r="1736" spans="1:3" x14ac:dyDescent="0.15">
      <c r="A1736">
        <v>17.32</v>
      </c>
      <c r="B1736">
        <f t="shared" si="54"/>
        <v>0.55930093839622586</v>
      </c>
      <c r="C1736">
        <f t="shared" si="55"/>
        <v>20.613860196784419</v>
      </c>
    </row>
    <row r="1737" spans="1:3" x14ac:dyDescent="0.15">
      <c r="A1737">
        <v>17.330000000000002</v>
      </c>
      <c r="B1737">
        <f t="shared" si="54"/>
        <v>0.55336459642815794</v>
      </c>
      <c r="C1737">
        <f t="shared" si="55"/>
        <v>20.41002746508698</v>
      </c>
    </row>
    <row r="1738" spans="1:3" x14ac:dyDescent="0.15">
      <c r="A1738">
        <v>17.340000000000003</v>
      </c>
      <c r="B1738">
        <f t="shared" si="54"/>
        <v>0.54760405578113402</v>
      </c>
      <c r="C1738">
        <f t="shared" si="55"/>
        <v>20.208186027758373</v>
      </c>
    </row>
    <row r="1739" spans="1:3" x14ac:dyDescent="0.15">
      <c r="A1739">
        <v>17.350000000000001</v>
      </c>
      <c r="B1739">
        <f t="shared" si="54"/>
        <v>0.54201401171016517</v>
      </c>
      <c r="C1739">
        <f t="shared" si="55"/>
        <v>20.008317384406546</v>
      </c>
    </row>
    <row r="1740" spans="1:3" x14ac:dyDescent="0.15">
      <c r="A1740">
        <v>17.360000000000003</v>
      </c>
      <c r="B1740">
        <f t="shared" si="54"/>
        <v>0.53658936345417441</v>
      </c>
      <c r="C1740">
        <f t="shared" si="55"/>
        <v>19.810403168237098</v>
      </c>
    </row>
    <row r="1741" spans="1:3" x14ac:dyDescent="0.15">
      <c r="A1741">
        <v>17.37</v>
      </c>
      <c r="B1741">
        <f t="shared" si="54"/>
        <v>0.53132520546290118</v>
      </c>
      <c r="C1741">
        <f t="shared" si="55"/>
        <v>19.614425146879888</v>
      </c>
    </row>
    <row r="1742" spans="1:3" x14ac:dyDescent="0.15">
      <c r="A1742">
        <v>17.380000000000003</v>
      </c>
      <c r="B1742">
        <f t="shared" si="54"/>
        <v>0.52621681904632756</v>
      </c>
      <c r="C1742">
        <f t="shared" si="55"/>
        <v>19.420365223105328</v>
      </c>
    </row>
    <row r="1743" spans="1:3" x14ac:dyDescent="0.15">
      <c r="A1743">
        <v>17.39</v>
      </c>
      <c r="B1743">
        <f t="shared" si="54"/>
        <v>0.52125966442437044</v>
      </c>
      <c r="C1743">
        <f t="shared" si="55"/>
        <v>19.22820543543676</v>
      </c>
    </row>
    <row r="1744" spans="1:3" x14ac:dyDescent="0.15">
      <c r="A1744">
        <v>17.400000000000002</v>
      </c>
      <c r="B1744">
        <f t="shared" si="54"/>
        <v>0.51644937315585548</v>
      </c>
      <c r="C1744">
        <f t="shared" si="55"/>
        <v>19.037927958664945</v>
      </c>
    </row>
    <row r="1745" spans="1:3" x14ac:dyDescent="0.15">
      <c r="A1745">
        <v>17.410000000000004</v>
      </c>
      <c r="B1745">
        <f t="shared" si="54"/>
        <v>0.51178174092697515</v>
      </c>
      <c r="C1745">
        <f t="shared" si="55"/>
        <v>18.849515104270381</v>
      </c>
    </row>
    <row r="1746" spans="1:3" x14ac:dyDescent="0.15">
      <c r="A1746">
        <v>17.420000000000002</v>
      </c>
      <c r="B1746">
        <f t="shared" si="54"/>
        <v>0.50725272068055216</v>
      </c>
      <c r="C1746">
        <f t="shared" si="55"/>
        <v>18.662949320758816</v>
      </c>
    </row>
    <row r="1747" spans="1:3" x14ac:dyDescent="0.15">
      <c r="A1747">
        <v>17.430000000000003</v>
      </c>
      <c r="B1747">
        <f t="shared" si="54"/>
        <v>0.50285841606847947</v>
      </c>
      <c r="C1747">
        <f t="shared" si="55"/>
        <v>18.478213193915003</v>
      </c>
    </row>
    <row r="1748" spans="1:3" x14ac:dyDescent="0.15">
      <c r="A1748">
        <v>17.440000000000001</v>
      </c>
      <c r="B1748">
        <f t="shared" si="54"/>
        <v>0.49859507521069651</v>
      </c>
      <c r="C1748">
        <f t="shared" si="55"/>
        <v>18.295289446979549</v>
      </c>
    </row>
    <row r="1749" spans="1:3" x14ac:dyDescent="0.15">
      <c r="A1749">
        <v>17.450000000000003</v>
      </c>
      <c r="B1749">
        <f t="shared" si="54"/>
        <v>0.49445908474498523</v>
      </c>
      <c r="C1749">
        <f t="shared" si="55"/>
        <v>18.114160940753315</v>
      </c>
    </row>
    <row r="1750" spans="1:3" x14ac:dyDescent="0.15">
      <c r="A1750">
        <v>17.46</v>
      </c>
      <c r="B1750">
        <f t="shared" si="54"/>
        <v>0.4904469641527468</v>
      </c>
      <c r="C1750">
        <f t="shared" si="55"/>
        <v>17.93481067363372</v>
      </c>
    </row>
    <row r="1751" spans="1:3" x14ac:dyDescent="0.15">
      <c r="A1751">
        <v>17.470000000000002</v>
      </c>
      <c r="B1751">
        <f t="shared" si="54"/>
        <v>0.4865553603467363</v>
      </c>
      <c r="C1751">
        <f t="shared" si="55"/>
        <v>17.757221781586889</v>
      </c>
    </row>
    <row r="1752" spans="1:3" x14ac:dyDescent="0.15">
      <c r="A1752">
        <v>17.48</v>
      </c>
      <c r="B1752">
        <f t="shared" si="54"/>
        <v>0.48278104250750675</v>
      </c>
      <c r="C1752">
        <f t="shared" si="55"/>
        <v>17.581377538059559</v>
      </c>
    </row>
    <row r="1753" spans="1:3" x14ac:dyDescent="0.15">
      <c r="A1753">
        <v>17.490000000000002</v>
      </c>
      <c r="B1753">
        <f t="shared" si="54"/>
        <v>0.47912089715603939</v>
      </c>
      <c r="C1753">
        <f t="shared" si="55"/>
        <v>17.407261353834272</v>
      </c>
    </row>
    <row r="1754" spans="1:3" x14ac:dyDescent="0.15">
      <c r="A1754">
        <v>17.500000000000004</v>
      </c>
      <c r="B1754">
        <f t="shared" si="54"/>
        <v>0.47557192345072102</v>
      </c>
      <c r="C1754">
        <f t="shared" si="55"/>
        <v>17.234856776831304</v>
      </c>
    </row>
    <row r="1755" spans="1:3" x14ac:dyDescent="0.15">
      <c r="A1755">
        <v>17.510000000000002</v>
      </c>
      <c r="B1755">
        <f t="shared" si="54"/>
        <v>0.47213122869747287</v>
      </c>
      <c r="C1755">
        <f t="shared" si="55"/>
        <v>17.064147491860542</v>
      </c>
    </row>
    <row r="1756" spans="1:3" x14ac:dyDescent="0.15">
      <c r="A1756">
        <v>17.520000000000003</v>
      </c>
      <c r="B1756">
        <f t="shared" si="54"/>
        <v>0.46879602406244059</v>
      </c>
      <c r="C1756">
        <f t="shared" si="55"/>
        <v>16.895117320326339</v>
      </c>
    </row>
    <row r="1757" spans="1:3" x14ac:dyDescent="0.15">
      <c r="A1757">
        <v>17.53</v>
      </c>
      <c r="B1757">
        <f t="shared" si="54"/>
        <v>0.46556362047722755</v>
      </c>
      <c r="C1757">
        <f t="shared" si="55"/>
        <v>16.727750219888243</v>
      </c>
    </row>
    <row r="1758" spans="1:3" x14ac:dyDescent="0.15">
      <c r="A1758">
        <v>17.540000000000003</v>
      </c>
      <c r="B1758">
        <f t="shared" si="54"/>
        <v>0.4624314247271899</v>
      </c>
      <c r="C1758">
        <f t="shared" si="55"/>
        <v>16.562030284080322</v>
      </c>
    </row>
    <row r="1759" spans="1:3" x14ac:dyDescent="0.15">
      <c r="A1759">
        <v>17.55</v>
      </c>
      <c r="B1759">
        <f t="shared" si="54"/>
        <v>0.45939693571381968</v>
      </c>
      <c r="C1759">
        <f t="shared" si="55"/>
        <v>16.397941741891646</v>
      </c>
    </row>
    <row r="1760" spans="1:3" x14ac:dyDescent="0.15">
      <c r="A1760">
        <v>17.560000000000002</v>
      </c>
      <c r="B1760">
        <f t="shared" si="54"/>
        <v>0.45645774088271912</v>
      </c>
      <c r="C1760">
        <f t="shared" si="55"/>
        <v>16.235468957310378</v>
      </c>
    </row>
    <row r="1761" spans="1:3" x14ac:dyDescent="0.15">
      <c r="A1761">
        <v>17.57</v>
      </c>
      <c r="B1761">
        <f t="shared" si="54"/>
        <v>0.45361151280912088</v>
      </c>
      <c r="C1761">
        <f t="shared" si="55"/>
        <v>16.074596428833757</v>
      </c>
    </row>
    <row r="1762" spans="1:3" x14ac:dyDescent="0.15">
      <c r="A1762">
        <v>17.580000000000002</v>
      </c>
      <c r="B1762">
        <f t="shared" si="54"/>
        <v>0.45085600593333269</v>
      </c>
      <c r="C1762">
        <f t="shared" si="55"/>
        <v>15.915308788946195</v>
      </c>
    </row>
    <row r="1763" spans="1:3" x14ac:dyDescent="0.15">
      <c r="A1763">
        <v>17.590000000000003</v>
      </c>
      <c r="B1763">
        <f t="shared" si="54"/>
        <v>0.4481890534388861</v>
      </c>
      <c r="C1763">
        <f t="shared" si="55"/>
        <v>15.75759080356749</v>
      </c>
    </row>
    <row r="1764" spans="1:3" x14ac:dyDescent="0.15">
      <c r="A1764">
        <v>17.600000000000001</v>
      </c>
      <c r="B1764">
        <f t="shared" si="54"/>
        <v>0.44560856426654671</v>
      </c>
      <c r="C1764">
        <f t="shared" si="55"/>
        <v>15.601427371473161</v>
      </c>
    </row>
    <row r="1765" spans="1:3" x14ac:dyDescent="0.15">
      <c r="A1765">
        <v>17.610000000000003</v>
      </c>
      <c r="B1765">
        <f t="shared" si="54"/>
        <v>0.4431125202577012</v>
      </c>
      <c r="C1765">
        <f t="shared" si="55"/>
        <v>15.446803523688732</v>
      </c>
    </row>
    <row r="1766" spans="1:3" x14ac:dyDescent="0.15">
      <c r="A1766">
        <v>17.62</v>
      </c>
      <c r="B1766">
        <f t="shared" si="54"/>
        <v>0.44069897342097097</v>
      </c>
      <c r="C1766">
        <f t="shared" si="55"/>
        <v>15.293704422859706</v>
      </c>
    </row>
    <row r="1767" spans="1:3" x14ac:dyDescent="0.15">
      <c r="A1767">
        <v>17.630000000000003</v>
      </c>
      <c r="B1767">
        <f t="shared" si="54"/>
        <v>0.43836604331622264</v>
      </c>
      <c r="C1767">
        <f t="shared" si="55"/>
        <v>15.142115362598902</v>
      </c>
    </row>
    <row r="1768" spans="1:3" x14ac:dyDescent="0.15">
      <c r="A1768">
        <v>17.64</v>
      </c>
      <c r="B1768">
        <f t="shared" si="54"/>
        <v>0.43611191455044462</v>
      </c>
      <c r="C1768">
        <f t="shared" si="55"/>
        <v>14.992021766812702</v>
      </c>
    </row>
    <row r="1769" spans="1:3" x14ac:dyDescent="0.15">
      <c r="A1769">
        <v>17.650000000000002</v>
      </c>
      <c r="B1769">
        <f t="shared" si="54"/>
        <v>0.43393483438024244</v>
      </c>
      <c r="C1769">
        <f t="shared" si="55"/>
        <v>14.843409189007717</v>
      </c>
    </row>
    <row r="1770" spans="1:3" x14ac:dyDescent="0.15">
      <c r="A1770">
        <v>17.660000000000004</v>
      </c>
      <c r="B1770">
        <f t="shared" si="54"/>
        <v>0.43183311041597461</v>
      </c>
      <c r="C1770">
        <f t="shared" si="55"/>
        <v>14.696263311579253</v>
      </c>
    </row>
    <row r="1771" spans="1:3" x14ac:dyDescent="0.15">
      <c r="A1771">
        <v>17.670000000000002</v>
      </c>
      <c r="B1771">
        <f t="shared" si="54"/>
        <v>0.4298051084228029</v>
      </c>
      <c r="C1771">
        <f t="shared" si="55"/>
        <v>14.550569945082927</v>
      </c>
    </row>
    <row r="1772" spans="1:3" x14ac:dyDescent="0.15">
      <c r="A1772">
        <v>17.680000000000003</v>
      </c>
      <c r="B1772">
        <f t="shared" si="54"/>
        <v>0.42784925021417097</v>
      </c>
      <c r="C1772">
        <f t="shared" si="55"/>
        <v>14.40631502749067</v>
      </c>
    </row>
    <row r="1773" spans="1:3" x14ac:dyDescent="0.15">
      <c r="A1773">
        <v>17.690000000000001</v>
      </c>
      <c r="B1773">
        <f t="shared" si="54"/>
        <v>0.42596401163345166</v>
      </c>
      <c r="C1773">
        <f t="shared" si="55"/>
        <v>14.263484623432335</v>
      </c>
    </row>
    <row r="1774" spans="1:3" x14ac:dyDescent="0.15">
      <c r="A1774">
        <v>17.700000000000003</v>
      </c>
      <c r="B1774">
        <f t="shared" si="54"/>
        <v>0.4241479206197169</v>
      </c>
      <c r="C1774">
        <f t="shared" si="55"/>
        <v>14.122064923424025</v>
      </c>
    </row>
    <row r="1775" spans="1:3" x14ac:dyDescent="0.15">
      <c r="A1775">
        <v>17.71</v>
      </c>
      <c r="B1775">
        <f t="shared" si="54"/>
        <v>0.42239955535378715</v>
      </c>
      <c r="C1775">
        <f t="shared" si="55"/>
        <v>13.98204224308421</v>
      </c>
    </row>
    <row r="1776" spans="1:3" x14ac:dyDescent="0.15">
      <c r="A1776">
        <v>17.720000000000002</v>
      </c>
      <c r="B1776">
        <f t="shared" si="54"/>
        <v>0.42071754248090837</v>
      </c>
      <c r="C1776">
        <f t="shared" si="55"/>
        <v>13.843403022338652</v>
      </c>
    </row>
    <row r="1777" spans="1:3" x14ac:dyDescent="0.15">
      <c r="A1777">
        <v>17.73</v>
      </c>
      <c r="B1777">
        <f t="shared" si="54"/>
        <v>0.41910055540658636</v>
      </c>
      <c r="C1777">
        <f t="shared" si="55"/>
        <v>13.706133824615092</v>
      </c>
    </row>
    <row r="1778" spans="1:3" x14ac:dyDescent="0.15">
      <c r="A1778">
        <v>17.740000000000002</v>
      </c>
      <c r="B1778">
        <f t="shared" si="54"/>
        <v>0.41754731266227907</v>
      </c>
      <c r="C1778">
        <f t="shared" si="55"/>
        <v>13.570221336028617</v>
      </c>
    </row>
    <row r="1779" spans="1:3" x14ac:dyDescent="0.15">
      <c r="A1779">
        <v>17.750000000000004</v>
      </c>
      <c r="B1779">
        <f t="shared" si="54"/>
        <v>0.41605657633781079</v>
      </c>
      <c r="C1779">
        <f t="shared" si="55"/>
        <v>13.435652364558548</v>
      </c>
    </row>
    <row r="1780" spans="1:3" x14ac:dyDescent="0.15">
      <c r="A1780">
        <v>17.760000000000002</v>
      </c>
      <c r="B1780">
        <f t="shared" si="54"/>
        <v>0.41462715057752564</v>
      </c>
      <c r="C1780">
        <f t="shared" si="55"/>
        <v>13.302413839217696</v>
      </c>
    </row>
    <row r="1781" spans="1:3" x14ac:dyDescent="0.15">
      <c r="A1781">
        <v>17.770000000000003</v>
      </c>
      <c r="B1781">
        <f t="shared" si="54"/>
        <v>0.41325788013734299</v>
      </c>
      <c r="C1781">
        <f t="shared" si="55"/>
        <v>13.170492809214711</v>
      </c>
    </row>
    <row r="1782" spans="1:3" x14ac:dyDescent="0.15">
      <c r="A1782">
        <v>17.78</v>
      </c>
      <c r="B1782">
        <f t="shared" si="54"/>
        <v>0.41194764900001624</v>
      </c>
      <c r="C1782">
        <f t="shared" si="55"/>
        <v>13.039876443110304</v>
      </c>
    </row>
    <row r="1783" spans="1:3" x14ac:dyDescent="0.15">
      <c r="A1783">
        <v>17.790000000000003</v>
      </c>
      <c r="B1783">
        <f t="shared" si="54"/>
        <v>0.41069537904602643</v>
      </c>
      <c r="C1783">
        <f t="shared" si="55"/>
        <v>12.910552027967999</v>
      </c>
    </row>
    <row r="1784" spans="1:3" x14ac:dyDescent="0.15">
      <c r="A1784">
        <v>17.8</v>
      </c>
      <c r="B1784">
        <f t="shared" si="54"/>
        <v>0.40950002877766695</v>
      </c>
      <c r="C1784">
        <f t="shared" si="55"/>
        <v>12.782506968500083</v>
      </c>
    </row>
    <row r="1785" spans="1:3" x14ac:dyDescent="0.15">
      <c r="A1785">
        <v>17.810000000000002</v>
      </c>
      <c r="B1785">
        <f t="shared" si="54"/>
        <v>0.40836059209399206</v>
      </c>
      <c r="C1785">
        <f t="shared" si="55"/>
        <v>12.655728786209373</v>
      </c>
    </row>
    <row r="1786" spans="1:3" x14ac:dyDescent="0.15">
      <c r="A1786">
        <v>17.82</v>
      </c>
      <c r="B1786">
        <f t="shared" si="54"/>
        <v>0.40727609711441454</v>
      </c>
      <c r="C1786">
        <f t="shared" si="55"/>
        <v>12.530205118527382</v>
      </c>
    </row>
    <row r="1787" spans="1:3" x14ac:dyDescent="0.15">
      <c r="A1787">
        <v>17.830000000000002</v>
      </c>
      <c r="B1787">
        <f t="shared" si="54"/>
        <v>0.40624560504884177</v>
      </c>
      <c r="C1787">
        <f t="shared" si="55"/>
        <v>12.405923717949452</v>
      </c>
    </row>
    <row r="1788" spans="1:3" x14ac:dyDescent="0.15">
      <c r="A1788">
        <v>17.840000000000003</v>
      </c>
      <c r="B1788">
        <f t="shared" si="54"/>
        <v>0.40526820911234201</v>
      </c>
      <c r="C1788">
        <f t="shared" si="55"/>
        <v>12.282872451167355</v>
      </c>
    </row>
    <row r="1789" spans="1:3" x14ac:dyDescent="0.15">
      <c r="A1789">
        <v>17.850000000000001</v>
      </c>
      <c r="B1789">
        <f t="shared" si="54"/>
        <v>0.40434303348242551</v>
      </c>
      <c r="C1789">
        <f t="shared" si="55"/>
        <v>12.161039298199888</v>
      </c>
    </row>
    <row r="1790" spans="1:3" x14ac:dyDescent="0.15">
      <c r="A1790">
        <v>17.860000000000003</v>
      </c>
      <c r="B1790">
        <f t="shared" si="54"/>
        <v>0.40346923229711662</v>
      </c>
      <c r="C1790">
        <f t="shared" si="55"/>
        <v>12.040412351521917</v>
      </c>
    </row>
    <row r="1791" spans="1:3" x14ac:dyDescent="0.15">
      <c r="A1791">
        <v>17.87</v>
      </c>
      <c r="B1791">
        <f t="shared" si="54"/>
        <v>0.40264598869207852</v>
      </c>
      <c r="C1791">
        <f t="shared" si="55"/>
        <v>11.9209798151923</v>
      </c>
    </row>
    <row r="1792" spans="1:3" x14ac:dyDescent="0.15">
      <c r="A1792">
        <v>17.880000000000003</v>
      </c>
      <c r="B1792">
        <f t="shared" si="54"/>
        <v>0.40187251387513284</v>
      </c>
      <c r="C1792">
        <f t="shared" si="55"/>
        <v>11.80273000398115</v>
      </c>
    </row>
    <row r="1793" spans="1:3" x14ac:dyDescent="0.15">
      <c r="A1793">
        <v>17.89</v>
      </c>
      <c r="B1793">
        <f t="shared" si="54"/>
        <v>0.40114804623659484</v>
      </c>
      <c r="C1793">
        <f t="shared" si="55"/>
        <v>11.685651342496795</v>
      </c>
    </row>
    <row r="1794" spans="1:3" x14ac:dyDescent="0.15">
      <c r="A1794">
        <v>17.900000000000002</v>
      </c>
      <c r="B1794">
        <f t="shared" si="54"/>
        <v>0.40047185049391615</v>
      </c>
      <c r="C1794">
        <f t="shared" si="55"/>
        <v>11.569732364312836</v>
      </c>
    </row>
    <row r="1795" spans="1:3" x14ac:dyDescent="0.15">
      <c r="A1795">
        <v>17.910000000000004</v>
      </c>
      <c r="B1795">
        <f t="shared" si="54"/>
        <v>0.3998432168691996</v>
      </c>
      <c r="C1795">
        <f t="shared" si="55"/>
        <v>11.454961711095638</v>
      </c>
    </row>
    <row r="1796" spans="1:3" x14ac:dyDescent="0.15">
      <c r="A1796">
        <v>17.920000000000002</v>
      </c>
      <c r="B1796">
        <f t="shared" si="54"/>
        <v>0.39926146029821363</v>
      </c>
      <c r="C1796">
        <f t="shared" si="55"/>
        <v>11.341328131732618</v>
      </c>
    </row>
    <row r="1797" spans="1:3" x14ac:dyDescent="0.15">
      <c r="A1797">
        <v>17.930000000000003</v>
      </c>
      <c r="B1797">
        <f t="shared" si="54"/>
        <v>0.39872591966959903</v>
      </c>
      <c r="C1797">
        <f t="shared" si="55"/>
        <v>11.228820481461611</v>
      </c>
    </row>
    <row r="1798" spans="1:3" x14ac:dyDescent="0.15">
      <c r="A1798">
        <v>17.940000000000001</v>
      </c>
      <c r="B1798">
        <f t="shared" ref="B1798:B1861" si="56">(1+($A$2-$B$2*C1797)*$E$2)*B1797</f>
        <v>0.3982359570930194</v>
      </c>
      <c r="C1798">
        <f t="shared" ref="C1798:C1861" si="57">(1+($C$2*B1797-$D$2)*$E$2)*C1797</f>
        <v>11.117427721001651</v>
      </c>
    </row>
    <row r="1799" spans="1:3" x14ac:dyDescent="0.15">
      <c r="A1799">
        <v>17.950000000000003</v>
      </c>
      <c r="B1799">
        <f t="shared" si="56"/>
        <v>0.39779095719506402</v>
      </c>
      <c r="C1799">
        <f t="shared" si="57"/>
        <v>11.007138915685411</v>
      </c>
    </row>
    <row r="1800" spans="1:3" x14ac:dyDescent="0.15">
      <c r="A1800">
        <v>17.96</v>
      </c>
      <c r="B1800">
        <f t="shared" si="56"/>
        <v>0.39739032644176514</v>
      </c>
      <c r="C1800">
        <f t="shared" si="57"/>
        <v>10.897943234593606</v>
      </c>
    </row>
    <row r="1801" spans="1:3" x14ac:dyDescent="0.15">
      <c r="A1801">
        <v>17.970000000000002</v>
      </c>
      <c r="B1801">
        <f t="shared" si="56"/>
        <v>0.39703349248664382</v>
      </c>
      <c r="C1801">
        <f t="shared" si="57"/>
        <v>10.789829949691578</v>
      </c>
    </row>
    <row r="1802" spans="1:3" x14ac:dyDescent="0.15">
      <c r="A1802">
        <v>17.98</v>
      </c>
      <c r="B1802">
        <f t="shared" si="56"/>
        <v>0.39671990354324721</v>
      </c>
      <c r="C1802">
        <f t="shared" si="57"/>
        <v>10.682788434968316</v>
      </c>
    </row>
    <row r="1803" spans="1:3" x14ac:dyDescent="0.15">
      <c r="A1803">
        <v>17.990000000000002</v>
      </c>
      <c r="B1803">
        <f t="shared" si="56"/>
        <v>0.39644902778118613</v>
      </c>
      <c r="C1803">
        <f t="shared" si="57"/>
        <v>10.576808165578131</v>
      </c>
    </row>
    <row r="1804" spans="1:3" x14ac:dyDescent="0.15">
      <c r="A1804">
        <v>18.000000000000004</v>
      </c>
      <c r="B1804">
        <f t="shared" si="56"/>
        <v>0.39622035274472645</v>
      </c>
      <c r="C1804">
        <f t="shared" si="57"/>
        <v>10.471878716985204</v>
      </c>
    </row>
    <row r="1805" spans="1:3" x14ac:dyDescent="0.15">
      <c r="A1805">
        <v>18.010000000000002</v>
      </c>
      <c r="B1805">
        <f t="shared" si="56"/>
        <v>0.39603338479302985</v>
      </c>
      <c r="C1805">
        <f t="shared" si="57"/>
        <v>10.367989764111181</v>
      </c>
    </row>
    <row r="1806" spans="1:3" x14ac:dyDescent="0.15">
      <c r="A1806">
        <v>18.020000000000003</v>
      </c>
      <c r="B1806">
        <f t="shared" si="56"/>
        <v>0.39588764856117969</v>
      </c>
      <c r="C1806">
        <f t="shared" si="57"/>
        <v>10.265131080486025</v>
      </c>
    </row>
    <row r="1807" spans="1:3" x14ac:dyDescent="0.15">
      <c r="A1807">
        <v>18.03</v>
      </c>
      <c r="B1807">
        <f t="shared" si="56"/>
        <v>0.3957826864411656</v>
      </c>
      <c r="C1807">
        <f t="shared" si="57"/>
        <v>10.16329253740229</v>
      </c>
    </row>
    <row r="1808" spans="1:3" x14ac:dyDescent="0.15">
      <c r="A1808">
        <v>18.040000000000003</v>
      </c>
      <c r="B1808">
        <f t="shared" si="56"/>
        <v>0.39571805808203669</v>
      </c>
      <c r="C1808">
        <f t="shared" si="57"/>
        <v>10.062464103072976</v>
      </c>
    </row>
    <row r="1809" spans="1:3" x14ac:dyDescent="0.15">
      <c r="A1809">
        <v>18.05</v>
      </c>
      <c r="B1809">
        <f t="shared" si="56"/>
        <v>0.39569333990846883</v>
      </c>
      <c r="C1809">
        <f t="shared" si="57"/>
        <v>9.9626358417931247</v>
      </c>
    </row>
    <row r="1810" spans="1:3" x14ac:dyDescent="0.15">
      <c r="A1810">
        <v>18.060000000000002</v>
      </c>
      <c r="B1810">
        <f t="shared" si="56"/>
        <v>0.39570812465702254</v>
      </c>
      <c r="C1810">
        <f t="shared" si="57"/>
        <v>9.8637979131052997</v>
      </c>
    </row>
    <row r="1811" spans="1:3" x14ac:dyDescent="0.15">
      <c r="A1811">
        <v>18.07</v>
      </c>
      <c r="B1811">
        <f t="shared" si="56"/>
        <v>0.39576202092940199</v>
      </c>
      <c r="C1811">
        <f t="shared" si="57"/>
        <v>9.7659405709690841</v>
      </c>
    </row>
    <row r="1812" spans="1:3" x14ac:dyDescent="0.15">
      <c r="A1812">
        <v>18.080000000000002</v>
      </c>
      <c r="B1812">
        <f t="shared" si="56"/>
        <v>0.39585465276205284</v>
      </c>
      <c r="C1812">
        <f t="shared" si="57"/>
        <v>9.6690541629347226</v>
      </c>
    </row>
    <row r="1813" spans="1:3" x14ac:dyDescent="0.15">
      <c r="A1813">
        <v>18.090000000000003</v>
      </c>
      <c r="B1813">
        <f t="shared" si="56"/>
        <v>0.39598565921146733</v>
      </c>
      <c r="C1813">
        <f t="shared" si="57"/>
        <v>9.5731291293210159</v>
      </c>
    </row>
    <row r="1814" spans="1:3" x14ac:dyDescent="0.15">
      <c r="A1814">
        <v>18.100000000000001</v>
      </c>
      <c r="B1814">
        <f t="shared" si="56"/>
        <v>0.3961546939545913</v>
      </c>
      <c r="C1814">
        <f t="shared" si="57"/>
        <v>9.4781560023976041</v>
      </c>
    </row>
    <row r="1815" spans="1:3" x14ac:dyDescent="0.15">
      <c r="A1815">
        <v>18.110000000000003</v>
      </c>
      <c r="B1815">
        <f t="shared" si="56"/>
        <v>0.39636142490375353</v>
      </c>
      <c r="C1815">
        <f t="shared" si="57"/>
        <v>9.3841254055717052</v>
      </c>
    </row>
    <row r="1816" spans="1:3" x14ac:dyDescent="0.15">
      <c r="A1816">
        <v>18.12</v>
      </c>
      <c r="B1816">
        <f t="shared" si="56"/>
        <v>0.39660553383556313</v>
      </c>
      <c r="C1816">
        <f t="shared" si="57"/>
        <v>9.2910280525794331</v>
      </c>
    </row>
    <row r="1817" spans="1:3" x14ac:dyDescent="0.15">
      <c r="A1817">
        <v>18.130000000000003</v>
      </c>
      <c r="B1817">
        <f t="shared" si="56"/>
        <v>0.39688671603324427</v>
      </c>
      <c r="C1817">
        <f t="shared" si="57"/>
        <v>9.1988547466817732</v>
      </c>
    </row>
    <row r="1818" spans="1:3" x14ac:dyDescent="0.15">
      <c r="A1818">
        <v>18.14</v>
      </c>
      <c r="B1818">
        <f t="shared" si="56"/>
        <v>0.3972046799418994</v>
      </c>
      <c r="C1818">
        <f t="shared" si="57"/>
        <v>9.1075963798652904</v>
      </c>
    </row>
    <row r="1819" spans="1:3" x14ac:dyDescent="0.15">
      <c r="A1819">
        <v>18.150000000000002</v>
      </c>
      <c r="B1819">
        <f t="shared" si="56"/>
        <v>0.39755914683621402</v>
      </c>
      <c r="C1819">
        <f t="shared" si="57"/>
        <v>9.0172439320476592</v>
      </c>
    </row>
    <row r="1820" spans="1:3" x14ac:dyDescent="0.15">
      <c r="A1820">
        <v>18.160000000000004</v>
      </c>
      <c r="B1820">
        <f t="shared" si="56"/>
        <v>0.39794985050013726</v>
      </c>
      <c r="C1820">
        <f t="shared" si="57"/>
        <v>8.9277884702880712</v>
      </c>
    </row>
    <row r="1821" spans="1:3" x14ac:dyDescent="0.15">
      <c r="A1821">
        <v>18.170000000000002</v>
      </c>
      <c r="B1821">
        <f t="shared" si="56"/>
        <v>0.39837653691809066</v>
      </c>
      <c r="C1821">
        <f t="shared" si="57"/>
        <v>8.8392211480026006</v>
      </c>
    </row>
    <row r="1822" spans="1:3" x14ac:dyDescent="0.15">
      <c r="A1822">
        <v>18.180000000000003</v>
      </c>
      <c r="B1822">
        <f t="shared" si="56"/>
        <v>0.39883896397727714</v>
      </c>
      <c r="C1822">
        <f t="shared" si="57"/>
        <v>8.7515332041845735</v>
      </c>
    </row>
    <row r="1823" spans="1:3" x14ac:dyDescent="0.15">
      <c r="A1823">
        <v>18.190000000000001</v>
      </c>
      <c r="B1823">
        <f t="shared" si="56"/>
        <v>0.39933690118068021</v>
      </c>
      <c r="C1823">
        <f t="shared" si="57"/>
        <v>8.6647159626300017</v>
      </c>
    </row>
    <row r="1824" spans="1:3" x14ac:dyDescent="0.15">
      <c r="A1824">
        <v>18.200000000000003</v>
      </c>
      <c r="B1824">
        <f t="shared" si="56"/>
        <v>0.39987012937035954</v>
      </c>
      <c r="C1824">
        <f t="shared" si="57"/>
        <v>8.5787608311681272</v>
      </c>
    </row>
    <row r="1825" spans="1:3" x14ac:dyDescent="0.15">
      <c r="A1825">
        <v>18.21</v>
      </c>
      <c r="B1825">
        <f t="shared" si="56"/>
        <v>0.40043844046066662</v>
      </c>
      <c r="C1825">
        <f t="shared" si="57"/>
        <v>8.4936593008971251</v>
      </c>
    </row>
    <row r="1826" spans="1:3" x14ac:dyDescent="0.15">
      <c r="A1826">
        <v>18.220000000000002</v>
      </c>
      <c r="B1826">
        <f t="shared" si="56"/>
        <v>0.40104163718101782</v>
      </c>
      <c r="C1826">
        <f t="shared" si="57"/>
        <v>8.4094029454250041</v>
      </c>
    </row>
    <row r="1827" spans="1:3" x14ac:dyDescent="0.15">
      <c r="A1827">
        <v>18.23</v>
      </c>
      <c r="B1827">
        <f t="shared" si="56"/>
        <v>0.40167953282787994</v>
      </c>
      <c r="C1827">
        <f t="shared" si="57"/>
        <v>8.3259834201157439</v>
      </c>
    </row>
    <row r="1828" spans="1:3" x14ac:dyDescent="0.15">
      <c r="A1828">
        <v>18.240000000000002</v>
      </c>
      <c r="B1828">
        <f t="shared" si="56"/>
        <v>0.40235195102563398</v>
      </c>
      <c r="C1828">
        <f t="shared" si="57"/>
        <v>8.2433924613406901</v>
      </c>
    </row>
    <row r="1829" spans="1:3" x14ac:dyDescent="0.15">
      <c r="A1829">
        <v>18.250000000000004</v>
      </c>
      <c r="B1829">
        <f t="shared" si="56"/>
        <v>0.40305872549599986</v>
      </c>
      <c r="C1829">
        <f t="shared" si="57"/>
        <v>8.1616218857352614</v>
      </c>
    </row>
    <row r="1830" spans="1:3" x14ac:dyDescent="0.15">
      <c r="A1830">
        <v>18.260000000000002</v>
      </c>
      <c r="B1830">
        <f t="shared" si="56"/>
        <v>0.40379969983571518</v>
      </c>
      <c r="C1830">
        <f t="shared" si="57"/>
        <v>8.0806635894609578</v>
      </c>
    </row>
    <row r="1831" spans="1:3" x14ac:dyDescent="0.15">
      <c r="A1831">
        <v>18.270000000000003</v>
      </c>
      <c r="B1831">
        <f t="shared" si="56"/>
        <v>0.40457472730217459</v>
      </c>
      <c r="C1831">
        <f t="shared" si="57"/>
        <v>8.0005095474727277</v>
      </c>
    </row>
    <row r="1832" spans="1:3" x14ac:dyDescent="0.15">
      <c r="A1832">
        <v>18.28</v>
      </c>
      <c r="B1832">
        <f t="shared" si="56"/>
        <v>0.40538367060674912</v>
      </c>
      <c r="C1832">
        <f t="shared" si="57"/>
        <v>7.92115181279169</v>
      </c>
    </row>
    <row r="1833" spans="1:3" x14ac:dyDescent="0.15">
      <c r="A1833">
        <v>18.290000000000003</v>
      </c>
      <c r="B1833">
        <f t="shared" si="56"/>
        <v>0.40622640171551377</v>
      </c>
      <c r="C1833">
        <f t="shared" si="57"/>
        <v>7.8425825157832341</v>
      </c>
    </row>
    <row r="1834" spans="1:3" x14ac:dyDescent="0.15">
      <c r="A1834">
        <v>18.3</v>
      </c>
      <c r="B1834">
        <f t="shared" si="56"/>
        <v>0.40710280165712526</v>
      </c>
      <c r="C1834">
        <f t="shared" si="57"/>
        <v>7.7647938634405111</v>
      </c>
    </row>
    <row r="1835" spans="1:3" x14ac:dyDescent="0.15">
      <c r="A1835">
        <v>18.310000000000002</v>
      </c>
      <c r="B1835">
        <f t="shared" si="56"/>
        <v>0.40801276033759987</v>
      </c>
      <c r="C1835">
        <f t="shared" si="57"/>
        <v>7.687778138673325</v>
      </c>
    </row>
    <row r="1836" spans="1:3" x14ac:dyDescent="0.15">
      <c r="A1836">
        <v>18.32</v>
      </c>
      <c r="B1836">
        <f t="shared" si="56"/>
        <v>0.40895617636175274</v>
      </c>
      <c r="C1836">
        <f t="shared" si="57"/>
        <v>7.611527699602437</v>
      </c>
    </row>
    <row r="1837" spans="1:3" x14ac:dyDescent="0.15">
      <c r="A1837">
        <v>18.330000000000002</v>
      </c>
      <c r="B1837">
        <f t="shared" si="56"/>
        <v>0.40993295686106929</v>
      </c>
      <c r="C1837">
        <f t="shared" si="57"/>
        <v>7.5360349788592735</v>
      </c>
    </row>
    <row r="1838" spans="1:3" x14ac:dyDescent="0.15">
      <c r="A1838">
        <v>18.340000000000003</v>
      </c>
      <c r="B1838">
        <f t="shared" si="56"/>
        <v>0.41094301732778771</v>
      </c>
      <c r="C1838">
        <f t="shared" si="57"/>
        <v>7.4612924828910598</v>
      </c>
    </row>
    <row r="1839" spans="1:3" x14ac:dyDescent="0.15">
      <c r="A1839">
        <v>18.350000000000001</v>
      </c>
      <c r="B1839">
        <f t="shared" si="56"/>
        <v>0.41198628145498117</v>
      </c>
      <c r="C1839">
        <f t="shared" si="57"/>
        <v>7.3872927912713662</v>
      </c>
    </row>
    <row r="1840" spans="1:3" x14ac:dyDescent="0.15">
      <c r="A1840">
        <v>18.360000000000003</v>
      </c>
      <c r="B1840">
        <f t="shared" si="56"/>
        <v>0.41306268098243587</v>
      </c>
      <c r="C1840">
        <f t="shared" si="57"/>
        <v>7.3140285560160718</v>
      </c>
    </row>
    <row r="1841" spans="1:3" x14ac:dyDescent="0.15">
      <c r="A1841">
        <v>18.37</v>
      </c>
      <c r="B1841">
        <f t="shared" si="56"/>
        <v>0.41417215554813014</v>
      </c>
      <c r="C1841">
        <f t="shared" si="57"/>
        <v>7.2414925009047373</v>
      </c>
    </row>
    <row r="1842" spans="1:3" x14ac:dyDescent="0.15">
      <c r="A1842">
        <v>18.380000000000003</v>
      </c>
      <c r="B1842">
        <f t="shared" si="56"/>
        <v>0.41531465254512612</v>
      </c>
      <c r="C1842">
        <f t="shared" si="57"/>
        <v>7.1696774208073872</v>
      </c>
    </row>
    <row r="1843" spans="1:3" x14ac:dyDescent="0.15">
      <c r="A1843">
        <v>18.39</v>
      </c>
      <c r="B1843">
        <f t="shared" si="56"/>
        <v>0.41649012698369409</v>
      </c>
      <c r="C1843">
        <f t="shared" si="57"/>
        <v>7.0985761810166901</v>
      </c>
    </row>
    <row r="1844" spans="1:3" x14ac:dyDescent="0.15">
      <c r="A1844">
        <v>18.400000000000002</v>
      </c>
      <c r="B1844">
        <f t="shared" si="56"/>
        <v>0.41769854135849593</v>
      </c>
      <c r="C1844">
        <f t="shared" si="57"/>
        <v>7.0281817165855305</v>
      </c>
    </row>
    <row r="1845" spans="1:3" x14ac:dyDescent="0.15">
      <c r="A1845">
        <v>18.410000000000004</v>
      </c>
      <c r="B1845">
        <f t="shared" si="56"/>
        <v>0.41893986552066065</v>
      </c>
      <c r="C1845">
        <f t="shared" si="57"/>
        <v>6.958487031669959</v>
      </c>
    </row>
    <row r="1846" spans="1:3" x14ac:dyDescent="0.15">
      <c r="A1846">
        <v>18.420000000000002</v>
      </c>
      <c r="B1846">
        <f t="shared" si="56"/>
        <v>0.4202140765545922</v>
      </c>
      <c r="C1846">
        <f t="shared" si="57"/>
        <v>6.8894851988775141</v>
      </c>
    </row>
    <row r="1847" spans="1:3" x14ac:dyDescent="0.15">
      <c r="A1847">
        <v>18.430000000000003</v>
      </c>
      <c r="B1847">
        <f t="shared" si="56"/>
        <v>0.4215211586593553</v>
      </c>
      <c r="C1847">
        <f t="shared" si="57"/>
        <v>6.8211693586208959</v>
      </c>
    </row>
    <row r="1848" spans="1:3" x14ac:dyDescent="0.15">
      <c r="A1848">
        <v>18.440000000000001</v>
      </c>
      <c r="B1848">
        <f t="shared" si="56"/>
        <v>0.42286110303449131</v>
      </c>
      <c r="C1848">
        <f t="shared" si="57"/>
        <v>6.7535327184769782</v>
      </c>
    </row>
    <row r="1849" spans="1:3" x14ac:dyDescent="0.15">
      <c r="A1849">
        <v>18.450000000000003</v>
      </c>
      <c r="B1849">
        <f t="shared" si="56"/>
        <v>0.42423390777012154</v>
      </c>
      <c r="C1849">
        <f t="shared" si="57"/>
        <v>6.6865685525511509</v>
      </c>
    </row>
    <row r="1850" spans="1:3" x14ac:dyDescent="0.15">
      <c r="A1850">
        <v>18.46</v>
      </c>
      <c r="B1850">
        <f t="shared" si="56"/>
        <v>0.42563957774120115</v>
      </c>
      <c r="C1850">
        <f t="shared" si="57"/>
        <v>6.6202702008469636</v>
      </c>
    </row>
    <row r="1851" spans="1:3" x14ac:dyDescent="0.15">
      <c r="A1851">
        <v>18.470000000000002</v>
      </c>
      <c r="B1851">
        <f t="shared" si="56"/>
        <v>0.42707812450579202</v>
      </c>
      <c r="C1851">
        <f t="shared" si="57"/>
        <v>6.5546310686410587</v>
      </c>
    </row>
    <row r="1852" spans="1:3" x14ac:dyDescent="0.15">
      <c r="A1852">
        <v>18.48</v>
      </c>
      <c r="B1852">
        <f t="shared" si="56"/>
        <v>0.42854956620722734</v>
      </c>
      <c r="C1852">
        <f t="shared" si="57"/>
        <v>6.4896446258633729</v>
      </c>
    </row>
    <row r="1853" spans="1:3" x14ac:dyDescent="0.15">
      <c r="A1853">
        <v>18.490000000000002</v>
      </c>
      <c r="B1853">
        <f t="shared" si="56"/>
        <v>0.43005392748004684</v>
      </c>
      <c r="C1853">
        <f t="shared" si="57"/>
        <v>6.4253044064825895</v>
      </c>
    </row>
    <row r="1854" spans="1:3" x14ac:dyDescent="0.15">
      <c r="A1854">
        <v>18.500000000000004</v>
      </c>
      <c r="B1854">
        <f t="shared" si="56"/>
        <v>0.4315912393595846</v>
      </c>
      <c r="C1854">
        <f t="shared" si="57"/>
        <v>6.3616040078968155</v>
      </c>
    </row>
    <row r="1855" spans="1:3" x14ac:dyDescent="0.15">
      <c r="A1855">
        <v>18.510000000000002</v>
      </c>
      <c r="B1855">
        <f t="shared" si="56"/>
        <v>0.43316153919509731</v>
      </c>
      <c r="C1855">
        <f t="shared" si="57"/>
        <v>6.2985370903294644</v>
      </c>
    </row>
    <row r="1856" spans="1:3" x14ac:dyDescent="0.15">
      <c r="A1856">
        <v>18.520000000000003</v>
      </c>
      <c r="B1856">
        <f t="shared" si="56"/>
        <v>0.43476487056632379</v>
      </c>
      <c r="C1856">
        <f t="shared" si="57"/>
        <v>6.2360973762303145</v>
      </c>
    </row>
    <row r="1857" spans="1:3" x14ac:dyDescent="0.15">
      <c r="A1857">
        <v>18.53</v>
      </c>
      <c r="B1857">
        <f t="shared" si="56"/>
        <v>0.43640128320337129</v>
      </c>
      <c r="C1857">
        <f t="shared" si="57"/>
        <v>6.1742786496817343</v>
      </c>
    </row>
    <row r="1858" spans="1:3" x14ac:dyDescent="0.15">
      <c r="A1858">
        <v>18.540000000000003</v>
      </c>
      <c r="B1858">
        <f t="shared" si="56"/>
        <v>0.43807083290982873</v>
      </c>
      <c r="C1858">
        <f t="shared" si="57"/>
        <v>6.1130747558100325</v>
      </c>
    </row>
    <row r="1859" spans="1:3" x14ac:dyDescent="0.15">
      <c r="A1859">
        <v>18.55</v>
      </c>
      <c r="B1859">
        <f t="shared" si="56"/>
        <v>0.4397735814890093</v>
      </c>
      <c r="C1859">
        <f t="shared" si="57"/>
        <v>6.0524796002019157</v>
      </c>
    </row>
    <row r="1860" spans="1:3" x14ac:dyDescent="0.15">
      <c r="A1860">
        <v>18.560000000000002</v>
      </c>
      <c r="B1860">
        <f t="shared" si="56"/>
        <v>0.44150959667322942</v>
      </c>
      <c r="C1860">
        <f t="shared" si="57"/>
        <v>5.9924871483260311</v>
      </c>
    </row>
    <row r="1861" spans="1:3" x14ac:dyDescent="0.15">
      <c r="A1861">
        <v>18.57</v>
      </c>
      <c r="B1861">
        <f t="shared" si="56"/>
        <v>0.44327895205603474</v>
      </c>
      <c r="C1861">
        <f t="shared" si="57"/>
        <v>5.9330914249595557</v>
      </c>
    </row>
    <row r="1862" spans="1:3" x14ac:dyDescent="0.15">
      <c r="A1862">
        <v>18.580000000000002</v>
      </c>
      <c r="B1862">
        <f t="shared" ref="B1862:B1925" si="58">(1+($A$2-$B$2*C1861)*$E$2)*B1861</f>
        <v>0.44508172702728638</v>
      </c>
      <c r="C1862">
        <f t="shared" ref="C1862:C1925" si="59">(1+($C$2*B1861-$D$2)*$E$2)*C1861</f>
        <v>5.8742865136198219</v>
      </c>
    </row>
    <row r="1863" spans="1:3" x14ac:dyDescent="0.15">
      <c r="A1863">
        <v>18.590000000000003</v>
      </c>
      <c r="B1863">
        <f t="shared" si="58"/>
        <v>0.44691800671102422</v>
      </c>
      <c r="C1863">
        <f t="shared" si="59"/>
        <v>5.8160665560009308</v>
      </c>
    </row>
    <row r="1864" spans="1:3" x14ac:dyDescent="0.15">
      <c r="A1864">
        <v>18.600000000000001</v>
      </c>
      <c r="B1864">
        <f t="shared" si="58"/>
        <v>0.44878788190602786</v>
      </c>
      <c r="C1864">
        <f t="shared" si="59"/>
        <v>5.7584257514153432</v>
      </c>
    </row>
    <row r="1865" spans="1:3" x14ac:dyDescent="0.15">
      <c r="A1865">
        <v>18.610000000000003</v>
      </c>
      <c r="B1865">
        <f t="shared" si="58"/>
        <v>0.45069144902899733</v>
      </c>
      <c r="C1865">
        <f t="shared" si="59"/>
        <v>5.7013583562404078</v>
      </c>
    </row>
    <row r="1866" spans="1:3" x14ac:dyDescent="0.15">
      <c r="A1866">
        <v>18.62</v>
      </c>
      <c r="B1866">
        <f t="shared" si="58"/>
        <v>0.45262881006027972</v>
      </c>
      <c r="C1866">
        <f t="shared" si="59"/>
        <v>5.6448586833698045</v>
      </c>
    </row>
    <row r="1867" spans="1:3" x14ac:dyDescent="0.15">
      <c r="A1867">
        <v>18.630000000000003</v>
      </c>
      <c r="B1867">
        <f t="shared" si="58"/>
        <v>0.45460007249207046</v>
      </c>
      <c r="C1867">
        <f t="shared" si="59"/>
        <v>5.588921101669869</v>
      </c>
    </row>
    <row r="1868" spans="1:3" x14ac:dyDescent="0.15">
      <c r="A1868">
        <v>18.64</v>
      </c>
      <c r="B1868">
        <f t="shared" si="58"/>
        <v>0.45660534927901952</v>
      </c>
      <c r="C1868">
        <f t="shared" si="59"/>
        <v>5.5335400354407644</v>
      </c>
    </row>
    <row r="1869" spans="1:3" x14ac:dyDescent="0.15">
      <c r="A1869">
        <v>18.650000000000002</v>
      </c>
      <c r="B1869">
        <f t="shared" si="58"/>
        <v>0.45864475879117783</v>
      </c>
      <c r="C1869">
        <f t="shared" si="59"/>
        <v>5.4787099638824825</v>
      </c>
    </row>
    <row r="1870" spans="1:3" x14ac:dyDescent="0.15">
      <c r="A1870">
        <v>18.660000000000004</v>
      </c>
      <c r="B1870">
        <f t="shared" si="58"/>
        <v>0.46071842476921793</v>
      </c>
      <c r="C1870">
        <f t="shared" si="59"/>
        <v>5.4244254205656324</v>
      </c>
    </row>
    <row r="1871" spans="1:3" x14ac:dyDescent="0.15">
      <c r="A1871">
        <v>18.670000000000002</v>
      </c>
      <c r="B1871">
        <f t="shared" si="58"/>
        <v>0.46282647628186907</v>
      </c>
      <c r="C1871">
        <f t="shared" si="59"/>
        <v>5.3706809929069843</v>
      </c>
    </row>
    <row r="1872" spans="1:3" x14ac:dyDescent="0.15">
      <c r="A1872">
        <v>18.680000000000003</v>
      </c>
      <c r="B1872">
        <f t="shared" si="58"/>
        <v>0.46496904768550656</v>
      </c>
      <c r="C1872">
        <f t="shared" si="59"/>
        <v>5.3174713216497507</v>
      </c>
    </row>
    <row r="1873" spans="1:3" x14ac:dyDescent="0.15">
      <c r="A1873">
        <v>18.690000000000001</v>
      </c>
      <c r="B1873">
        <f t="shared" si="58"/>
        <v>0.46714627858583918</v>
      </c>
      <c r="C1873">
        <f t="shared" si="59"/>
        <v>5.2647911003485577</v>
      </c>
    </row>
    <row r="1874" spans="1:3" x14ac:dyDescent="0.15">
      <c r="A1874">
        <v>18.700000000000003</v>
      </c>
      <c r="B1874">
        <f t="shared" si="58"/>
        <v>0.46935831380163795</v>
      </c>
      <c r="C1874">
        <f t="shared" si="59"/>
        <v>5.212635074859084</v>
      </c>
    </row>
    <row r="1875" spans="1:3" x14ac:dyDescent="0.15">
      <c r="A1875">
        <v>18.71</v>
      </c>
      <c r="B1875">
        <f t="shared" si="58"/>
        <v>0.47160530333045519</v>
      </c>
      <c r="C1875">
        <f t="shared" si="59"/>
        <v>5.1609980428323325</v>
      </c>
    </row>
    <row r="1876" spans="1:3" x14ac:dyDescent="0.15">
      <c r="A1876">
        <v>18.720000000000002</v>
      </c>
      <c r="B1876">
        <f t="shared" si="58"/>
        <v>0.4738874023162819</v>
      </c>
      <c r="C1876">
        <f t="shared" si="59"/>
        <v>5.1098748532135048</v>
      </c>
    </row>
    <row r="1877" spans="1:3" x14ac:dyDescent="0.15">
      <c r="A1877">
        <v>18.73</v>
      </c>
      <c r="B1877">
        <f t="shared" si="58"/>
        <v>0.47620477101909409</v>
      </c>
      <c r="C1877">
        <f t="shared" si="59"/>
        <v>5.05926040574544</v>
      </c>
    </row>
    <row r="1878" spans="1:3" x14ac:dyDescent="0.15">
      <c r="A1878">
        <v>18.740000000000002</v>
      </c>
      <c r="B1878">
        <f t="shared" si="58"/>
        <v>0.478557574786241</v>
      </c>
      <c r="C1878">
        <f t="shared" si="59"/>
        <v>5.0091496504765942</v>
      </c>
    </row>
    <row r="1879" spans="1:3" x14ac:dyDescent="0.15">
      <c r="A1879">
        <v>18.750000000000004</v>
      </c>
      <c r="B1879">
        <f t="shared" si="58"/>
        <v>0.48094598402563005</v>
      </c>
      <c r="C1879">
        <f t="shared" si="59"/>
        <v>4.9595375872735232</v>
      </c>
    </row>
    <row r="1880" spans="1:3" x14ac:dyDescent="0.15">
      <c r="A1880">
        <v>18.760000000000002</v>
      </c>
      <c r="B1880">
        <f t="shared" si="58"/>
        <v>0.48337017418066297</v>
      </c>
      <c r="C1880">
        <f t="shared" si="59"/>
        <v>4.9104192653378327</v>
      </c>
    </row>
    <row r="1881" spans="1:3" x14ac:dyDescent="0.15">
      <c r="A1881">
        <v>18.770000000000003</v>
      </c>
      <c r="B1881">
        <f t="shared" si="58"/>
        <v>0.48583032570688323</v>
      </c>
      <c r="C1881">
        <f t="shared" si="59"/>
        <v>4.8617897827275716</v>
      </c>
    </row>
    <row r="1882" spans="1:3" x14ac:dyDescent="0.15">
      <c r="A1882">
        <v>18.78</v>
      </c>
      <c r="B1882">
        <f t="shared" si="58"/>
        <v>0.48832662405029109</v>
      </c>
      <c r="C1882">
        <f t="shared" si="59"/>
        <v>4.8136442858830284</v>
      </c>
    </row>
    <row r="1883" spans="1:3" x14ac:dyDescent="0.15">
      <c r="A1883">
        <v>18.790000000000003</v>
      </c>
      <c r="B1883">
        <f t="shared" si="58"/>
        <v>0.49085925962728977</v>
      </c>
      <c r="C1883">
        <f t="shared" si="59"/>
        <v>4.7659779691568991</v>
      </c>
    </row>
    <row r="1884" spans="1:3" x14ac:dyDescent="0.15">
      <c r="A1884">
        <v>18.8</v>
      </c>
      <c r="B1884">
        <f t="shared" si="58"/>
        <v>0.49342842780622231</v>
      </c>
      <c r="C1884">
        <f t="shared" si="59"/>
        <v>4.7187860743487979</v>
      </c>
    </row>
    <row r="1885" spans="1:3" x14ac:dyDescent="0.15">
      <c r="A1885">
        <v>18.810000000000002</v>
      </c>
      <c r="B1885">
        <f t="shared" si="58"/>
        <v>0.49603432889046478</v>
      </c>
      <c r="C1885">
        <f t="shared" si="59"/>
        <v>4.6720638902440736</v>
      </c>
    </row>
    <row r="1886" spans="1:3" x14ac:dyDescent="0.15">
      <c r="A1886">
        <v>18.82</v>
      </c>
      <c r="B1886">
        <f t="shared" si="58"/>
        <v>0.49867716810303886</v>
      </c>
      <c r="C1886">
        <f t="shared" si="59"/>
        <v>4.6258067521568993</v>
      </c>
    </row>
    <row r="1887" spans="1:3" x14ac:dyDescent="0.15">
      <c r="A1887">
        <v>18.830000000000002</v>
      </c>
      <c r="B1887">
        <f t="shared" si="58"/>
        <v>0.50135715557271165</v>
      </c>
      <c r="C1887">
        <f t="shared" si="59"/>
        <v>4.5800100414776015</v>
      </c>
    </row>
    <row r="1888" spans="1:3" x14ac:dyDescent="0.15">
      <c r="A1888">
        <v>18.840000000000003</v>
      </c>
      <c r="B1888">
        <f t="shared" si="58"/>
        <v>0.50407450632154904</v>
      </c>
      <c r="C1888">
        <f t="shared" si="59"/>
        <v>4.5346691852242031</v>
      </c>
    </row>
    <row r="1889" spans="1:3" x14ac:dyDescent="0.15">
      <c r="A1889">
        <v>18.850000000000001</v>
      </c>
      <c r="B1889">
        <f t="shared" si="58"/>
        <v>0.50682944025389109</v>
      </c>
      <c r="C1889">
        <f t="shared" si="59"/>
        <v>4.4897796555981362</v>
      </c>
    </row>
    <row r="1890" spans="1:3" x14ac:dyDescent="0.15">
      <c r="A1890">
        <v>18.860000000000003</v>
      </c>
      <c r="B1890">
        <f t="shared" si="58"/>
        <v>0.50962218214671995</v>
      </c>
      <c r="C1890">
        <f t="shared" si="59"/>
        <v>4.4453369695440967</v>
      </c>
    </row>
    <row r="1891" spans="1:3" x14ac:dyDescent="0.15">
      <c r="A1891">
        <v>18.87</v>
      </c>
      <c r="B1891">
        <f t="shared" si="58"/>
        <v>0.51245296164139065</v>
      </c>
      <c r="C1891">
        <f t="shared" si="59"/>
        <v>4.4013366883140153</v>
      </c>
    </row>
    <row r="1892" spans="1:3" x14ac:dyDescent="0.15">
      <c r="A1892">
        <v>18.880000000000003</v>
      </c>
      <c r="B1892">
        <f t="shared" si="58"/>
        <v>0.51532201323669713</v>
      </c>
      <c r="C1892">
        <f t="shared" si="59"/>
        <v>4.3577744170350963</v>
      </c>
    </row>
    <row r="1893" spans="1:3" x14ac:dyDescent="0.15">
      <c r="A1893">
        <v>18.89</v>
      </c>
      <c r="B1893">
        <f t="shared" si="58"/>
        <v>0.51822957628324617</v>
      </c>
      <c r="C1893">
        <f t="shared" si="59"/>
        <v>4.3146458042819091</v>
      </c>
    </row>
    <row r="1894" spans="1:3" x14ac:dyDescent="0.15">
      <c r="A1894">
        <v>18.900000000000002</v>
      </c>
      <c r="B1894">
        <f t="shared" si="58"/>
        <v>0.52117589497911332</v>
      </c>
      <c r="C1894">
        <f t="shared" si="59"/>
        <v>4.2719465416524836</v>
      </c>
    </row>
    <row r="1895" spans="1:3" x14ac:dyDescent="0.15">
      <c r="A1895">
        <v>18.910000000000004</v>
      </c>
      <c r="B1895">
        <f t="shared" si="58"/>
        <v>0.52416121836675578</v>
      </c>
      <c r="C1895">
        <f t="shared" si="59"/>
        <v>4.2296723633483886</v>
      </c>
    </row>
    <row r="1896" spans="1:3" x14ac:dyDescent="0.15">
      <c r="A1896">
        <v>18.920000000000002</v>
      </c>
      <c r="B1896">
        <f t="shared" si="58"/>
        <v>0.52718580033115847</v>
      </c>
      <c r="C1896">
        <f t="shared" si="59"/>
        <v>4.1878190457587579</v>
      </c>
    </row>
    <row r="1897" spans="1:3" x14ac:dyDescent="0.15">
      <c r="A1897">
        <v>18.930000000000003</v>
      </c>
      <c r="B1897">
        <f t="shared" si="58"/>
        <v>0.53024989959918967</v>
      </c>
      <c r="C1897">
        <f t="shared" si="59"/>
        <v>4.1463824070482262</v>
      </c>
    </row>
    <row r="1898" spans="1:3" x14ac:dyDescent="0.15">
      <c r="A1898">
        <v>18.940000000000001</v>
      </c>
      <c r="B1898">
        <f t="shared" si="58"/>
        <v>0.53335377974014442</v>
      </c>
      <c r="C1898">
        <f t="shared" si="59"/>
        <v>4.1053583067487516</v>
      </c>
    </row>
    <row r="1899" spans="1:3" x14ac:dyDescent="0.15">
      <c r="A1899">
        <v>18.950000000000003</v>
      </c>
      <c r="B1899">
        <f t="shared" si="58"/>
        <v>0.53649770916745387</v>
      </c>
      <c r="C1899">
        <f t="shared" si="59"/>
        <v>4.0647426453552828</v>
      </c>
    </row>
    <row r="1900" spans="1:3" x14ac:dyDescent="0.15">
      <c r="A1900">
        <v>18.96</v>
      </c>
      <c r="B1900">
        <f t="shared" si="58"/>
        <v>0.5396819611415401</v>
      </c>
      <c r="C1900">
        <f t="shared" si="59"/>
        <v>4.0245313639252478</v>
      </c>
    </row>
    <row r="1901" spans="1:3" x14ac:dyDescent="0.15">
      <c r="A1901">
        <v>18.970000000000002</v>
      </c>
      <c r="B1901">
        <f t="shared" si="58"/>
        <v>0.54290681377379668</v>
      </c>
      <c r="C1901">
        <f t="shared" si="59"/>
        <v>3.9847204436818271</v>
      </c>
    </row>
    <row r="1902" spans="1:3" x14ac:dyDescent="0.15">
      <c r="A1902">
        <v>18.98</v>
      </c>
      <c r="B1902">
        <f t="shared" si="58"/>
        <v>0.54617255003167609</v>
      </c>
      <c r="C1902">
        <f t="shared" si="59"/>
        <v>3.9453059056209807</v>
      </c>
    </row>
    <row r="1903" spans="1:3" x14ac:dyDescent="0.15">
      <c r="A1903">
        <v>18.990000000000002</v>
      </c>
      <c r="B1903">
        <f t="shared" si="58"/>
        <v>0.54947945774486484</v>
      </c>
      <c r="C1903">
        <f t="shared" si="59"/>
        <v>3.9062838101221966</v>
      </c>
    </row>
    <row r="1904" spans="1:3" x14ac:dyDescent="0.15">
      <c r="A1904">
        <v>19.000000000000004</v>
      </c>
      <c r="B1904">
        <f t="shared" si="58"/>
        <v>0.55282782961252996</v>
      </c>
      <c r="C1904">
        <f t="shared" si="59"/>
        <v>3.8676502565629312</v>
      </c>
    </row>
    <row r="1905" spans="1:3" x14ac:dyDescent="0.15">
      <c r="A1905">
        <v>19.010000000000002</v>
      </c>
      <c r="B1905">
        <f t="shared" si="58"/>
        <v>0.55621796321161932</v>
      </c>
      <c r="C1905">
        <f t="shared" si="59"/>
        <v>3.8294013829367088</v>
      </c>
    </row>
    <row r="1906" spans="1:3" x14ac:dyDescent="0.15">
      <c r="A1906">
        <v>19.020000000000003</v>
      </c>
      <c r="B1906">
        <f t="shared" si="58"/>
        <v>0.55965016100619869</v>
      </c>
      <c r="C1906">
        <f t="shared" si="59"/>
        <v>3.7915333654748493</v>
      </c>
    </row>
    <row r="1907" spans="1:3" x14ac:dyDescent="0.15">
      <c r="A1907">
        <v>19.03</v>
      </c>
      <c r="B1907">
        <f t="shared" si="58"/>
        <v>0.5631247303578123</v>
      </c>
      <c r="C1907">
        <f t="shared" si="59"/>
        <v>3.7540424182717902</v>
      </c>
    </row>
    <row r="1908" spans="1:3" x14ac:dyDescent="0.15">
      <c r="A1908">
        <v>19.040000000000003</v>
      </c>
      <c r="B1908">
        <f t="shared" si="58"/>
        <v>0.56664198353684936</v>
      </c>
      <c r="C1908">
        <f t="shared" si="59"/>
        <v>3.7169247929139804</v>
      </c>
    </row>
    <row r="1909" spans="1:3" x14ac:dyDescent="0.15">
      <c r="A1909">
        <v>19.05</v>
      </c>
      <c r="B1909">
        <f t="shared" si="58"/>
        <v>0.57020223773490375</v>
      </c>
      <c r="C1909">
        <f t="shared" si="59"/>
        <v>3.6801767781123034</v>
      </c>
    </row>
    <row r="1910" spans="1:3" x14ac:dyDescent="0.15">
      <c r="A1910">
        <v>19.060000000000002</v>
      </c>
      <c r="B1910">
        <f t="shared" si="58"/>
        <v>0.57380581507811312</v>
      </c>
      <c r="C1910">
        <f t="shared" si="59"/>
        <v>3.6437946993380086</v>
      </c>
    </row>
    <row r="1911" spans="1:3" x14ac:dyDescent="0.15">
      <c r="A1911">
        <v>19.07</v>
      </c>
      <c r="B1911">
        <f t="shared" si="58"/>
        <v>0.57745304264146335</v>
      </c>
      <c r="C1911">
        <f t="shared" si="59"/>
        <v>3.6077749184621148</v>
      </c>
    </row>
    <row r="1912" spans="1:3" x14ac:dyDescent="0.15">
      <c r="A1912">
        <v>19.080000000000002</v>
      </c>
      <c r="B1912">
        <f t="shared" si="58"/>
        <v>0.58114425246404644</v>
      </c>
      <c r="C1912">
        <f t="shared" si="59"/>
        <v>3.5721138333982601</v>
      </c>
    </row>
    <row r="1913" spans="1:3" x14ac:dyDescent="0.15">
      <c r="A1913">
        <v>19.090000000000003</v>
      </c>
      <c r="B1913">
        <f t="shared" si="58"/>
        <v>0.58487978156526022</v>
      </c>
      <c r="C1913">
        <f t="shared" si="59"/>
        <v>3.5368078777489629</v>
      </c>
    </row>
    <row r="1914" spans="1:3" x14ac:dyDescent="0.15">
      <c r="A1914">
        <v>19.100000000000001</v>
      </c>
      <c r="B1914">
        <f t="shared" si="58"/>
        <v>0.58865997196193676</v>
      </c>
      <c r="C1914">
        <f t="shared" si="59"/>
        <v>3.5018535204552688</v>
      </c>
    </row>
    <row r="1915" spans="1:3" x14ac:dyDescent="0.15">
      <c r="A1915">
        <v>19.110000000000003</v>
      </c>
      <c r="B1915">
        <f t="shared" si="58"/>
        <v>0.59248517068639017</v>
      </c>
      <c r="C1915">
        <f t="shared" si="59"/>
        <v>3.4672472654497493</v>
      </c>
    </row>
    <row r="1916" spans="1:3" x14ac:dyDescent="0.15">
      <c r="A1916">
        <v>19.12</v>
      </c>
      <c r="B1916">
        <f t="shared" si="58"/>
        <v>0.5963557298053721</v>
      </c>
      <c r="C1916">
        <f t="shared" si="59"/>
        <v>3.4329856513128281</v>
      </c>
    </row>
    <row r="1917" spans="1:3" x14ac:dyDescent="0.15">
      <c r="A1917">
        <v>19.130000000000003</v>
      </c>
      <c r="B1917">
        <f t="shared" si="58"/>
        <v>0.60027200643992573</v>
      </c>
      <c r="C1917">
        <f t="shared" si="59"/>
        <v>3.3990652509324</v>
      </c>
    </row>
    <row r="1918" spans="1:3" x14ac:dyDescent="0.15">
      <c r="A1918">
        <v>19.14</v>
      </c>
      <c r="B1918">
        <f t="shared" si="58"/>
        <v>0.60423436278612763</v>
      </c>
      <c r="C1918">
        <f t="shared" si="59"/>
        <v>3.3654826711667156</v>
      </c>
    </row>
    <row r="1919" spans="1:3" x14ac:dyDescent="0.15">
      <c r="A1919">
        <v>19.150000000000002</v>
      </c>
      <c r="B1919">
        <f t="shared" si="58"/>
        <v>0.60824316613670881</v>
      </c>
      <c r="C1919">
        <f t="shared" si="59"/>
        <v>3.3322345525105046</v>
      </c>
    </row>
    <row r="1920" spans="1:3" x14ac:dyDescent="0.15">
      <c r="A1920">
        <v>19.160000000000004</v>
      </c>
      <c r="B1920">
        <f t="shared" si="58"/>
        <v>0.61229878890354683</v>
      </c>
      <c r="C1920">
        <f t="shared" si="59"/>
        <v>3.2993175687643057</v>
      </c>
    </row>
    <row r="1921" spans="1:3" x14ac:dyDescent="0.15">
      <c r="A1921">
        <v>19.170000000000002</v>
      </c>
      <c r="B1921">
        <f t="shared" si="58"/>
        <v>0.61640160864101967</v>
      </c>
      <c r="C1921">
        <f t="shared" si="59"/>
        <v>3.2667284267069752</v>
      </c>
    </row>
    <row r="1922" spans="1:3" x14ac:dyDescent="0.15">
      <c r="A1922">
        <v>19.180000000000003</v>
      </c>
      <c r="B1922">
        <f t="shared" si="58"/>
        <v>0.62055200807021438</v>
      </c>
      <c r="C1922">
        <f t="shared" si="59"/>
        <v>3.2344638657713487</v>
      </c>
    </row>
    <row r="1923" spans="1:3" x14ac:dyDescent="0.15">
      <c r="A1923">
        <v>19.190000000000001</v>
      </c>
      <c r="B1923">
        <f t="shared" si="58"/>
        <v>0.62475037510398157</v>
      </c>
      <c r="C1923">
        <f t="shared" si="59"/>
        <v>3.2025206577230225</v>
      </c>
    </row>
    <row r="1924" spans="1:3" x14ac:dyDescent="0.15">
      <c r="A1924">
        <v>19.200000000000003</v>
      </c>
      <c r="B1924">
        <f t="shared" si="58"/>
        <v>0.62899710287283062</v>
      </c>
      <c r="C1924">
        <f t="shared" si="59"/>
        <v>3.1708956063422304</v>
      </c>
    </row>
    <row r="1925" spans="1:3" x14ac:dyDescent="0.15">
      <c r="A1925">
        <v>19.21</v>
      </c>
      <c r="B1925">
        <f t="shared" si="58"/>
        <v>0.63329258975165748</v>
      </c>
      <c r="C1925">
        <f t="shared" si="59"/>
        <v>3.1395855471087883</v>
      </c>
    </row>
    <row r="1926" spans="1:3" x14ac:dyDescent="0.15">
      <c r="A1926">
        <v>19.220000000000002</v>
      </c>
      <c r="B1926">
        <f t="shared" ref="B1926:B1989" si="60">(1+($A$2-$B$2*C1925)*$E$2)*B1925</f>
        <v>0.63763723938729866</v>
      </c>
      <c r="C1926">
        <f t="shared" ref="C1926:C1989" si="61">(1+($C$2*B1925-$D$2)*$E$2)*C1925</f>
        <v>3.1085873468900758</v>
      </c>
    </row>
    <row r="1927" spans="1:3" x14ac:dyDescent="0.15">
      <c r="A1927">
        <v>19.23</v>
      </c>
      <c r="B1927">
        <f t="shared" si="60"/>
        <v>0.64203146072690631</v>
      </c>
      <c r="C1927">
        <f t="shared" si="61"/>
        <v>3.077897903632028</v>
      </c>
    </row>
    <row r="1928" spans="1:3" x14ac:dyDescent="0.15">
      <c r="A1928">
        <v>19.240000000000002</v>
      </c>
      <c r="B1928">
        <f t="shared" si="60"/>
        <v>0.64647566804713819</v>
      </c>
      <c r="C1928">
        <f t="shared" si="61"/>
        <v>3.047514146053115</v>
      </c>
    </row>
    <row r="1929" spans="1:3" x14ac:dyDescent="0.15">
      <c r="A1929">
        <v>19.250000000000004</v>
      </c>
      <c r="B1929">
        <f t="shared" si="60"/>
        <v>0.65097028098415677</v>
      </c>
      <c r="C1929">
        <f t="shared" si="61"/>
        <v>3.0174330333412747</v>
      </c>
    </row>
    <row r="1930" spans="1:3" x14ac:dyDescent="0.15">
      <c r="A1930">
        <v>19.260000000000002</v>
      </c>
      <c r="B1930">
        <f t="shared" si="60"/>
        <v>0.6555157245644333</v>
      </c>
      <c r="C1930">
        <f t="shared" si="61"/>
        <v>2.987651554853775</v>
      </c>
    </row>
    <row r="1931" spans="1:3" x14ac:dyDescent="0.15">
      <c r="A1931">
        <v>19.270000000000003</v>
      </c>
      <c r="B1931">
        <f t="shared" si="60"/>
        <v>0.66011242923635161</v>
      </c>
      <c r="C1931">
        <f t="shared" si="61"/>
        <v>2.9581667298199825</v>
      </c>
    </row>
    <row r="1932" spans="1:3" x14ac:dyDescent="0.15">
      <c r="A1932">
        <v>19.28</v>
      </c>
      <c r="B1932">
        <f t="shared" si="60"/>
        <v>0.66476083090260751</v>
      </c>
      <c r="C1932">
        <f t="shared" si="61"/>
        <v>2.9289756070470045</v>
      </c>
    </row>
    <row r="1933" spans="1:3" x14ac:dyDescent="0.15">
      <c r="A1933">
        <v>19.290000000000003</v>
      </c>
      <c r="B1933">
        <f t="shared" si="60"/>
        <v>0.66946137095339964</v>
      </c>
      <c r="C1933">
        <f t="shared" si="61"/>
        <v>2.9000752646281813</v>
      </c>
    </row>
    <row r="1934" spans="1:3" x14ac:dyDescent="0.15">
      <c r="A1934">
        <v>19.3</v>
      </c>
      <c r="B1934">
        <f t="shared" si="60"/>
        <v>0.67421449630040764</v>
      </c>
      <c r="C1934">
        <f t="shared" si="61"/>
        <v>2.8714628096544046</v>
      </c>
    </row>
    <row r="1935" spans="1:3" x14ac:dyDescent="0.15">
      <c r="A1935">
        <v>19.310000000000002</v>
      </c>
      <c r="B1935">
        <f t="shared" si="60"/>
        <v>0.67902065941155521</v>
      </c>
      <c r="C1935">
        <f t="shared" si="61"/>
        <v>2.843135377928232</v>
      </c>
    </row>
    <row r="1936" spans="1:3" x14ac:dyDescent="0.15">
      <c r="A1936">
        <v>19.32</v>
      </c>
      <c r="B1936">
        <f t="shared" si="60"/>
        <v>0.68388031834655372</v>
      </c>
      <c r="C1936">
        <f t="shared" si="61"/>
        <v>2.8150901336807732</v>
      </c>
    </row>
    <row r="1937" spans="1:3" x14ac:dyDescent="0.15">
      <c r="A1937">
        <v>19.330000000000002</v>
      </c>
      <c r="B1937">
        <f t="shared" si="60"/>
        <v>0.68879393679322343</v>
      </c>
      <c r="C1937">
        <f t="shared" si="61"/>
        <v>2.7873242692913247</v>
      </c>
    </row>
    <row r="1938" spans="1:3" x14ac:dyDescent="0.15">
      <c r="A1938">
        <v>19.340000000000003</v>
      </c>
      <c r="B1938">
        <f t="shared" si="60"/>
        <v>0.69376198410459122</v>
      </c>
      <c r="C1938">
        <f t="shared" si="61"/>
        <v>2.7598350050097245</v>
      </c>
    </row>
    <row r="1939" spans="1:3" x14ac:dyDescent="0.15">
      <c r="A1939">
        <v>19.350000000000001</v>
      </c>
      <c r="B1939">
        <f t="shared" si="60"/>
        <v>0.69878493533676023</v>
      </c>
      <c r="C1939">
        <f t="shared" si="61"/>
        <v>2.7326195886814024</v>
      </c>
    </row>
    <row r="1940" spans="1:3" x14ac:dyDescent="0.15">
      <c r="A1940">
        <v>19.360000000000003</v>
      </c>
      <c r="B1940">
        <f t="shared" si="60"/>
        <v>0.70386327128755111</v>
      </c>
      <c r="C1940">
        <f t="shared" si="61"/>
        <v>2.7056752954751038</v>
      </c>
    </row>
    <row r="1941" spans="1:3" x14ac:dyDescent="0.15">
      <c r="A1941">
        <v>19.37</v>
      </c>
      <c r="B1941">
        <f t="shared" si="60"/>
        <v>0.70899747853591166</v>
      </c>
      <c r="C1941">
        <f t="shared" si="61"/>
        <v>2.6789994276132556</v>
      </c>
    </row>
    <row r="1942" spans="1:3" x14ac:dyDescent="0.15">
      <c r="A1942">
        <v>19.380000000000003</v>
      </c>
      <c r="B1942">
        <f t="shared" si="60"/>
        <v>0.7141880494820938</v>
      </c>
      <c r="C1942">
        <f t="shared" si="61"/>
        <v>2.6525893141049584</v>
      </c>
    </row>
    <row r="1943" spans="1:3" x14ac:dyDescent="0.15">
      <c r="A1943">
        <v>19.39</v>
      </c>
      <c r="B1943">
        <f t="shared" si="60"/>
        <v>0.71943548238859711</v>
      </c>
      <c r="C1943">
        <f t="shared" si="61"/>
        <v>2.6264423104815724</v>
      </c>
    </row>
    <row r="1944" spans="1:3" x14ac:dyDescent="0.15">
      <c r="A1944">
        <v>19.400000000000002</v>
      </c>
      <c r="B1944">
        <f t="shared" si="60"/>
        <v>0.72474028142187596</v>
      </c>
      <c r="C1944">
        <f t="shared" si="61"/>
        <v>2.6005557985348782</v>
      </c>
    </row>
    <row r="1945" spans="1:3" x14ac:dyDescent="0.15">
      <c r="A1945">
        <v>19.410000000000004</v>
      </c>
      <c r="B1945">
        <f t="shared" si="60"/>
        <v>0.73010295669481129</v>
      </c>
      <c r="C1945">
        <f t="shared" si="61"/>
        <v>2.5749271860577863</v>
      </c>
    </row>
    <row r="1946" spans="1:3" x14ac:dyDescent="0.15">
      <c r="A1946">
        <v>19.420000000000002</v>
      </c>
      <c r="B1946">
        <f t="shared" si="60"/>
        <v>0.73552402430994479</v>
      </c>
      <c r="C1946">
        <f t="shared" si="61"/>
        <v>2.5495539065875712</v>
      </c>
    </row>
    <row r="1947" spans="1:3" x14ac:dyDescent="0.15">
      <c r="A1947">
        <v>19.430000000000003</v>
      </c>
      <c r="B1947">
        <f t="shared" si="60"/>
        <v>0.74100400640347575</v>
      </c>
      <c r="C1947">
        <f t="shared" si="61"/>
        <v>2.5244334191516091</v>
      </c>
    </row>
    <row r="1948" spans="1:3" x14ac:dyDescent="0.15">
      <c r="A1948">
        <v>19.440000000000001</v>
      </c>
      <c r="B1948">
        <f t="shared" si="60"/>
        <v>0.74654343119002031</v>
      </c>
      <c r="C1948">
        <f t="shared" si="61"/>
        <v>2.4995632080155912</v>
      </c>
    </row>
    <row r="1949" spans="1:3" x14ac:dyDescent="0.15">
      <c r="A1949">
        <v>19.450000000000003</v>
      </c>
      <c r="B1949">
        <f t="shared" si="60"/>
        <v>0.75214283300813223</v>
      </c>
      <c r="C1949">
        <f t="shared" si="61"/>
        <v>2.4749407824341927</v>
      </c>
    </row>
    <row r="1950" spans="1:3" x14ac:dyDescent="0.15">
      <c r="A1950">
        <v>19.46</v>
      </c>
      <c r="B1950">
        <f t="shared" si="60"/>
        <v>0.75780275236658612</v>
      </c>
      <c r="C1950">
        <f t="shared" si="61"/>
        <v>2.4505636764041761</v>
      </c>
    </row>
    <row r="1951" spans="1:3" x14ac:dyDescent="0.15">
      <c r="A1951">
        <v>19.470000000000002</v>
      </c>
      <c r="B1951">
        <f t="shared" si="60"/>
        <v>0.7635237359914232</v>
      </c>
      <c r="C1951">
        <f t="shared" si="61"/>
        <v>2.4264294484199</v>
      </c>
    </row>
    <row r="1952" spans="1:3" x14ac:dyDescent="0.15">
      <c r="A1952">
        <v>19.48</v>
      </c>
      <c r="B1952">
        <f t="shared" si="60"/>
        <v>0.76930633687376027</v>
      </c>
      <c r="C1952">
        <f t="shared" si="61"/>
        <v>2.4025356812312166</v>
      </c>
    </row>
    <row r="1953" spans="1:3" x14ac:dyDescent="0.15">
      <c r="A1953">
        <v>19.490000000000002</v>
      </c>
      <c r="B1953">
        <f t="shared" si="60"/>
        <v>0.77515111431836148</v>
      </c>
      <c r="C1953">
        <f t="shared" si="61"/>
        <v>2.3788799816037316</v>
      </c>
    </row>
    <row r="1954" spans="1:3" x14ac:dyDescent="0.15">
      <c r="A1954">
        <v>19.500000000000004</v>
      </c>
      <c r="B1954">
        <f t="shared" si="60"/>
        <v>0.78105863399297526</v>
      </c>
      <c r="C1954">
        <f t="shared" si="61"/>
        <v>2.3554599800814082</v>
      </c>
    </row>
    <row r="1955" spans="1:3" x14ac:dyDescent="0.15">
      <c r="A1955">
        <v>19.510000000000002</v>
      </c>
      <c r="B1955">
        <f t="shared" si="60"/>
        <v>0.78702946797843742</v>
      </c>
      <c r="C1955">
        <f t="shared" si="61"/>
        <v>2.3322733307514878</v>
      </c>
    </row>
    <row r="1956" spans="1:3" x14ac:dyDescent="0.15">
      <c r="A1956">
        <v>19.520000000000003</v>
      </c>
      <c r="B1956">
        <f t="shared" si="60"/>
        <v>0.79306419481954005</v>
      </c>
      <c r="C1956">
        <f t="shared" si="61"/>
        <v>2.3093177110117091</v>
      </c>
    </row>
    <row r="1957" spans="1:3" x14ac:dyDescent="0.15">
      <c r="A1957">
        <v>19.53</v>
      </c>
      <c r="B1957">
        <f t="shared" si="60"/>
        <v>0.79916339957666949</v>
      </c>
      <c r="C1957">
        <f t="shared" si="61"/>
        <v>2.2865908213398054</v>
      </c>
    </row>
    <row r="1958" spans="1:3" x14ac:dyDescent="0.15">
      <c r="A1958">
        <v>19.540000000000003</v>
      </c>
      <c r="B1958">
        <f t="shared" si="60"/>
        <v>0.80532767387821347</v>
      </c>
      <c r="C1958">
        <f t="shared" si="61"/>
        <v>2.2640903850652521</v>
      </c>
    </row>
    <row r="1959" spans="1:3" x14ac:dyDescent="0.15">
      <c r="A1959">
        <v>19.55</v>
      </c>
      <c r="B1959">
        <f t="shared" si="60"/>
        <v>0.81155761597374099</v>
      </c>
      <c r="C1959">
        <f t="shared" si="61"/>
        <v>2.2418141481432508</v>
      </c>
    </row>
    <row r="1960" spans="1:3" x14ac:dyDescent="0.15">
      <c r="A1960">
        <v>19.560000000000002</v>
      </c>
      <c r="B1960">
        <f t="shared" si="60"/>
        <v>0.81785383078795504</v>
      </c>
      <c r="C1960">
        <f t="shared" si="61"/>
        <v>2.219759878930923</v>
      </c>
    </row>
    <row r="1961" spans="1:3" x14ac:dyDescent="0.15">
      <c r="A1961">
        <v>19.57</v>
      </c>
      <c r="B1961">
        <f t="shared" si="60"/>
        <v>0.82421692997542162</v>
      </c>
      <c r="C1961">
        <f t="shared" si="61"/>
        <v>2.1979253679656963</v>
      </c>
    </row>
    <row r="1962" spans="1:3" x14ac:dyDescent="0.15">
      <c r="A1962">
        <v>19.580000000000002</v>
      </c>
      <c r="B1962">
        <f t="shared" si="60"/>
        <v>0.83064753197607599</v>
      </c>
      <c r="C1962">
        <f t="shared" si="61"/>
        <v>2.1763084277458593</v>
      </c>
    </row>
    <row r="1963" spans="1:3" x14ac:dyDescent="0.15">
      <c r="A1963">
        <v>19.590000000000003</v>
      </c>
      <c r="B1963">
        <f t="shared" si="60"/>
        <v>0.83714626207151088</v>
      </c>
      <c r="C1963">
        <f t="shared" si="61"/>
        <v>2.1549068925132659</v>
      </c>
    </row>
    <row r="1964" spans="1:3" x14ac:dyDescent="0.15">
      <c r="A1964">
        <v>19.600000000000001</v>
      </c>
      <c r="B1964">
        <f t="shared" si="60"/>
        <v>0.84371375244204638</v>
      </c>
      <c r="C1964">
        <f t="shared" si="61"/>
        <v>2.1337186180381691</v>
      </c>
    </row>
    <row r="1965" spans="1:3" x14ac:dyDescent="0.15">
      <c r="A1965">
        <v>19.610000000000003</v>
      </c>
      <c r="B1965">
        <f t="shared" si="60"/>
        <v>0.85035064222458645</v>
      </c>
      <c r="C1965">
        <f t="shared" si="61"/>
        <v>2.1127414814061636</v>
      </c>
    </row>
    <row r="1966" spans="1:3" x14ac:dyDescent="0.15">
      <c r="A1966">
        <v>19.62</v>
      </c>
      <c r="B1966">
        <f t="shared" si="60"/>
        <v>0.85705757757126411</v>
      </c>
      <c r="C1966">
        <f t="shared" si="61"/>
        <v>2.0919733808072158</v>
      </c>
    </row>
    <row r="1967" spans="1:3" x14ac:dyDescent="0.15">
      <c r="A1967">
        <v>19.630000000000003</v>
      </c>
      <c r="B1967">
        <f t="shared" si="60"/>
        <v>0.86383521170887867</v>
      </c>
      <c r="C1967">
        <f t="shared" si="61"/>
        <v>2.0714122353267634</v>
      </c>
    </row>
    <row r="1968" spans="1:3" x14ac:dyDescent="0.15">
      <c r="A1968">
        <v>19.64</v>
      </c>
      <c r="B1968">
        <f t="shared" si="60"/>
        <v>0.87068420499912769</v>
      </c>
      <c r="C1968">
        <f t="shared" si="61"/>
        <v>2.0510559847388636</v>
      </c>
    </row>
    <row r="1969" spans="1:3" x14ac:dyDescent="0.15">
      <c r="A1969">
        <v>19.650000000000002</v>
      </c>
      <c r="B1969">
        <f t="shared" si="60"/>
        <v>0.87760522499963789</v>
      </c>
      <c r="C1969">
        <f t="shared" si="61"/>
        <v>2.0309025893013715</v>
      </c>
    </row>
    <row r="1970" spans="1:3" x14ac:dyDescent="0.15">
      <c r="A1970">
        <v>19.660000000000004</v>
      </c>
      <c r="B1970">
        <f t="shared" si="60"/>
        <v>0.88459894652579818</v>
      </c>
      <c r="C1970">
        <f t="shared" si="61"/>
        <v>2.0109500295531251</v>
      </c>
    </row>
    <row r="1971" spans="1:3" x14ac:dyDescent="0.15">
      <c r="A1971">
        <v>19.670000000000002</v>
      </c>
      <c r="B1971">
        <f t="shared" si="60"/>
        <v>0.89166605171339752</v>
      </c>
      <c r="C1971">
        <f t="shared" si="61"/>
        <v>1.9911963061131255</v>
      </c>
    </row>
    <row r="1972" spans="1:3" x14ac:dyDescent="0.15">
      <c r="A1972">
        <v>19.680000000000003</v>
      </c>
      <c r="B1972">
        <f t="shared" si="60"/>
        <v>0.89880723008207319</v>
      </c>
      <c r="C1972">
        <f t="shared" si="61"/>
        <v>1.9716394394816859</v>
      </c>
    </row>
    <row r="1973" spans="1:3" x14ac:dyDescent="0.15">
      <c r="A1973">
        <v>19.690000000000001</v>
      </c>
      <c r="B1973">
        <f t="shared" si="60"/>
        <v>0.90602317859957282</v>
      </c>
      <c r="C1973">
        <f t="shared" si="61"/>
        <v>1.9522774698435332</v>
      </c>
    </row>
    <row r="1974" spans="1:3" x14ac:dyDescent="0.15">
      <c r="A1974">
        <v>19.700000000000003</v>
      </c>
      <c r="B1974">
        <f t="shared" si="60"/>
        <v>0.91331460174683265</v>
      </c>
      <c r="C1974">
        <f t="shared" si="61"/>
        <v>1.9331084568728452</v>
      </c>
    </row>
    <row r="1975" spans="1:3" x14ac:dyDescent="0.15">
      <c r="A1975">
        <v>19.71</v>
      </c>
      <c r="B1975">
        <f t="shared" si="60"/>
        <v>0.92068221158387875</v>
      </c>
      <c r="C1975">
        <f t="shared" si="61"/>
        <v>1.9141304795402012</v>
      </c>
    </row>
    <row r="1976" spans="1:3" x14ac:dyDescent="0.15">
      <c r="A1976">
        <v>19.720000000000002</v>
      </c>
      <c r="B1976">
        <f t="shared" si="60"/>
        <v>0.92812672781655436</v>
      </c>
      <c r="C1976">
        <f t="shared" si="61"/>
        <v>1.8953416359214317</v>
      </c>
    </row>
    <row r="1977" spans="1:3" x14ac:dyDescent="0.15">
      <c r="A1977">
        <v>19.73</v>
      </c>
      <c r="B1977">
        <f t="shared" si="60"/>
        <v>0.93564887786407758</v>
      </c>
      <c r="C1977">
        <f t="shared" si="61"/>
        <v>1.8767400430083458</v>
      </c>
    </row>
    <row r="1978" spans="1:3" x14ac:dyDescent="0.15">
      <c r="A1978">
        <v>19.740000000000002</v>
      </c>
      <c r="B1978">
        <f t="shared" si="60"/>
        <v>0.94324939692743492</v>
      </c>
      <c r="C1978">
        <f t="shared" si="61"/>
        <v>1.8583238365213191</v>
      </c>
    </row>
    <row r="1979" spans="1:3" x14ac:dyDescent="0.15">
      <c r="A1979">
        <v>19.750000000000004</v>
      </c>
      <c r="B1979">
        <f t="shared" si="60"/>
        <v>0.95092902805861468</v>
      </c>
      <c r="C1979">
        <f t="shared" si="61"/>
        <v>1.8400911707237249</v>
      </c>
    </row>
    <row r="1980" spans="1:3" x14ac:dyDescent="0.15">
      <c r="A1980">
        <v>19.760000000000002</v>
      </c>
      <c r="B1980">
        <f t="shared" si="60"/>
        <v>0.95868852223068535</v>
      </c>
      <c r="C1980">
        <f t="shared" si="61"/>
        <v>1.8220402182381907</v>
      </c>
    </row>
    <row r="1981" spans="1:3" x14ac:dyDescent="0.15">
      <c r="A1981">
        <v>19.770000000000003</v>
      </c>
      <c r="B1981">
        <f t="shared" si="60"/>
        <v>0.96652863840872449</v>
      </c>
      <c r="C1981">
        <f t="shared" si="61"/>
        <v>1.8041691698646622</v>
      </c>
    </row>
    <row r="1982" spans="1:3" x14ac:dyDescent="0.15">
      <c r="A1982">
        <v>19.78</v>
      </c>
      <c r="B1982">
        <f t="shared" si="60"/>
        <v>0.97445014362160343</v>
      </c>
      <c r="C1982">
        <f t="shared" si="61"/>
        <v>1.7864762344002572</v>
      </c>
    </row>
    <row r="1983" spans="1:3" x14ac:dyDescent="0.15">
      <c r="A1983">
        <v>19.790000000000003</v>
      </c>
      <c r="B1983">
        <f t="shared" si="60"/>
        <v>0.98245381303463164</v>
      </c>
      <c r="C1983">
        <f t="shared" si="61"/>
        <v>1.7689596384608921</v>
      </c>
    </row>
    <row r="1984" spans="1:3" x14ac:dyDescent="0.15">
      <c r="A1984">
        <v>19.8</v>
      </c>
      <c r="B1984">
        <f t="shared" si="60"/>
        <v>0.99054043002306769</v>
      </c>
      <c r="C1984">
        <f t="shared" si="61"/>
        <v>1.7516176263046652</v>
      </c>
    </row>
    <row r="1985" spans="1:3" x14ac:dyDescent="0.15">
      <c r="A1985">
        <v>19.810000000000002</v>
      </c>
      <c r="B1985">
        <f t="shared" si="60"/>
        <v>0.99871078624650267</v>
      </c>
      <c r="C1985">
        <f t="shared" si="61"/>
        <v>1.7344484596569778</v>
      </c>
    </row>
    <row r="1986" spans="1:3" x14ac:dyDescent="0.15">
      <c r="A1986">
        <v>19.82</v>
      </c>
      <c r="B1986">
        <f t="shared" si="60"/>
        <v>1.0069656817241195</v>
      </c>
      <c r="C1986">
        <f t="shared" si="61"/>
        <v>1.7174504175373775</v>
      </c>
    </row>
    <row r="1987" spans="1:3" x14ac:dyDescent="0.15">
      <c r="A1987">
        <v>19.830000000000002</v>
      </c>
      <c r="B1987">
        <f t="shared" si="60"/>
        <v>1.0153059249108378</v>
      </c>
      <c r="C1987">
        <f t="shared" si="61"/>
        <v>1.7006217960881083</v>
      </c>
    </row>
    <row r="1988" spans="1:3" x14ac:dyDescent="0.15">
      <c r="A1988">
        <v>19.840000000000003</v>
      </c>
      <c r="B1988">
        <f t="shared" si="60"/>
        <v>1.0237323327743453</v>
      </c>
      <c r="C1988">
        <f t="shared" si="61"/>
        <v>1.6839609084043472</v>
      </c>
    </row>
    <row r="1989" spans="1:3" x14ac:dyDescent="0.15">
      <c r="A1989">
        <v>19.850000000000001</v>
      </c>
      <c r="B1989">
        <f t="shared" si="60"/>
        <v>1.0322457308730273</v>
      </c>
      <c r="C1989">
        <f t="shared" si="61"/>
        <v>1.667466084366116</v>
      </c>
    </row>
    <row r="1990" spans="1:3" x14ac:dyDescent="0.15">
      <c r="A1990">
        <v>19.860000000000003</v>
      </c>
      <c r="B1990">
        <f t="shared" ref="B1990:B2053" si="62">(1+($A$2-$B$2*C1989)*$E$2)*B1989</f>
        <v>1.0408469534347951</v>
      </c>
      <c r="C1990">
        <f t="shared" ref="C1990:C2053" si="63">(1+($C$2*B1989-$D$2)*$E$2)*C1989</f>
        <v>1.6511356704718474</v>
      </c>
    </row>
    <row r="1991" spans="1:3" x14ac:dyDescent="0.15">
      <c r="A1991">
        <v>19.87</v>
      </c>
      <c r="B1991">
        <f t="shared" si="62"/>
        <v>1.0495368434368249</v>
      </c>
      <c r="C1991">
        <f t="shared" si="63"/>
        <v>1.6349680296735927</v>
      </c>
    </row>
    <row r="1992" spans="1:3" x14ac:dyDescent="0.15">
      <c r="A1992">
        <v>19.880000000000003</v>
      </c>
      <c r="B1992">
        <f t="shared" si="62"/>
        <v>1.0583162526862093</v>
      </c>
      <c r="C1992">
        <f t="shared" si="63"/>
        <v>1.6189615412138536</v>
      </c>
    </row>
    <row r="1993" spans="1:3" x14ac:dyDescent="0.15">
      <c r="A1993">
        <v>19.89</v>
      </c>
      <c r="B1993">
        <f t="shared" si="62"/>
        <v>1.0671860419015309</v>
      </c>
      <c r="C1993">
        <f t="shared" si="63"/>
        <v>1.6031146004640231</v>
      </c>
    </row>
    <row r="1994" spans="1:3" x14ac:dyDescent="0.15">
      <c r="A1994">
        <v>19.900000000000002</v>
      </c>
      <c r="B1994">
        <f t="shared" si="62"/>
        <v>1.0761470807953624</v>
      </c>
      <c r="C1994">
        <f t="shared" si="63"/>
        <v>1.5874256187644196</v>
      </c>
    </row>
    <row r="1995" spans="1:3" x14ac:dyDescent="0.15">
      <c r="A1995">
        <v>19.910000000000004</v>
      </c>
      <c r="B1995">
        <f t="shared" si="62"/>
        <v>1.0852002481577028</v>
      </c>
      <c r="C1995">
        <f t="shared" si="63"/>
        <v>1.5718930232658979</v>
      </c>
    </row>
    <row r="1996" spans="1:3" x14ac:dyDescent="0.15">
      <c r="A1996">
        <v>19.920000000000002</v>
      </c>
      <c r="B1996">
        <f t="shared" si="62"/>
        <v>1.0943464319403542</v>
      </c>
      <c r="C1996">
        <f t="shared" si="63"/>
        <v>1.556515256773024</v>
      </c>
    </row>
    <row r="1997" spans="1:3" x14ac:dyDescent="0.15">
      <c r="A1997">
        <v>19.930000000000003</v>
      </c>
      <c r="B1997">
        <f t="shared" si="62"/>
        <v>1.1035865293422473</v>
      </c>
      <c r="C1997">
        <f t="shared" si="63"/>
        <v>1.5412907775887958</v>
      </c>
    </row>
    <row r="1998" spans="1:3" x14ac:dyDescent="0.15">
      <c r="A1998">
        <v>19.940000000000001</v>
      </c>
      <c r="B1998">
        <f t="shared" si="62"/>
        <v>1.1129214468957231</v>
      </c>
      <c r="C1998">
        <f t="shared" si="63"/>
        <v>1.5262180593608972</v>
      </c>
    </row>
    <row r="1999" spans="1:3" x14ac:dyDescent="0.15">
      <c r="A1999">
        <v>19.950000000000003</v>
      </c>
      <c r="B1999">
        <f t="shared" si="62"/>
        <v>1.122352100553778</v>
      </c>
      <c r="C1999">
        <f t="shared" si="63"/>
        <v>1.5112955909294687</v>
      </c>
    </row>
    <row r="2000" spans="1:3" x14ac:dyDescent="0.15">
      <c r="A2000">
        <v>19.96</v>
      </c>
      <c r="B2000">
        <f t="shared" si="62"/>
        <v>1.1318794157782783</v>
      </c>
      <c r="C2000">
        <f t="shared" si="63"/>
        <v>1.4965218761763814</v>
      </c>
    </row>
    <row r="2001" spans="1:3" x14ac:dyDescent="0.15">
      <c r="A2001">
        <v>19.970000000000002</v>
      </c>
      <c r="B2001">
        <f t="shared" si="62"/>
        <v>1.1415043276291552</v>
      </c>
      <c r="C2001">
        <f t="shared" si="63"/>
        <v>1.4818954338759989</v>
      </c>
    </row>
    <row r="2002" spans="1:3" x14ac:dyDescent="0.15">
      <c r="A2002">
        <v>19.98</v>
      </c>
      <c r="B2002">
        <f t="shared" si="62"/>
        <v>1.1512277808545834</v>
      </c>
      <c r="C2002">
        <f t="shared" si="63"/>
        <v>1.4674147975474114</v>
      </c>
    </row>
    <row r="2003" spans="1:3" x14ac:dyDescent="0.15">
      <c r="A2003">
        <v>19.990000000000002</v>
      </c>
      <c r="B2003">
        <f t="shared" si="62"/>
        <v>1.1610507299821555</v>
      </c>
      <c r="C2003">
        <f t="shared" si="63"/>
        <v>1.453078515308132</v>
      </c>
    </row>
    <row r="2004" spans="1:3" x14ac:dyDescent="0.15">
      <c r="A2004">
        <v>20.000000000000004</v>
      </c>
      <c r="B2004">
        <f t="shared" si="62"/>
        <v>1.1709741394110571</v>
      </c>
      <c r="C2004">
        <f t="shared" si="63"/>
        <v>1.4388851497292345</v>
      </c>
    </row>
    <row r="2005" spans="1:3" x14ac:dyDescent="0.15">
      <c r="A2005">
        <v>20.010000000000002</v>
      </c>
      <c r="B2005">
        <f t="shared" si="62"/>
        <v>1.1809989835052521</v>
      </c>
      <c r="C2005">
        <f t="shared" si="63"/>
        <v>1.4248332776919252</v>
      </c>
    </row>
    <row r="2006" spans="1:3" x14ac:dyDescent="0.15">
      <c r="A2006">
        <v>20.020000000000003</v>
      </c>
      <c r="B2006">
        <f t="shared" si="62"/>
        <v>1.1911262466876862</v>
      </c>
      <c r="C2006">
        <f t="shared" si="63"/>
        <v>1.4109214902455298</v>
      </c>
    </row>
    <row r="2007" spans="1:3" x14ac:dyDescent="0.15">
      <c r="A2007">
        <v>20.03</v>
      </c>
      <c r="B2007">
        <f t="shared" si="62"/>
        <v>1.2013569235355159</v>
      </c>
      <c r="C2007">
        <f t="shared" si="63"/>
        <v>1.3971483924668839</v>
      </c>
    </row>
    <row r="2008" spans="1:3" x14ac:dyDescent="0.15">
      <c r="A2008">
        <v>20.040000000000003</v>
      </c>
      <c r="B2008">
        <f t="shared" si="62"/>
        <v>1.2116920188763745</v>
      </c>
      <c r="C2008">
        <f t="shared" si="63"/>
        <v>1.3835126033211143</v>
      </c>
    </row>
    <row r="2009" spans="1:3" x14ac:dyDescent="0.15">
      <c r="A2009">
        <v>20.05</v>
      </c>
      <c r="B2009">
        <f t="shared" si="62"/>
        <v>1.2221325478856793</v>
      </c>
      <c r="C2009">
        <f t="shared" si="63"/>
        <v>1.3700127555237949</v>
      </c>
    </row>
    <row r="2010" spans="1:3" x14ac:dyDescent="0.15">
      <c r="A2010">
        <v>20.060000000000002</v>
      </c>
      <c r="B2010">
        <f t="shared" si="62"/>
        <v>1.2326795361849918</v>
      </c>
      <c r="C2010">
        <f t="shared" si="63"/>
        <v>1.3566474954044658</v>
      </c>
    </row>
    <row r="2011" spans="1:3" x14ac:dyDescent="0.15">
      <c r="A2011">
        <v>20.07</v>
      </c>
      <c r="B2011">
        <f t="shared" si="62"/>
        <v>1.24333401994144</v>
      </c>
      <c r="C2011">
        <f t="shared" si="63"/>
        <v>1.3434154827715015</v>
      </c>
    </row>
    <row r="2012" spans="1:3" x14ac:dyDescent="0.15">
      <c r="A2012">
        <v>20.080000000000002</v>
      </c>
      <c r="B2012">
        <f t="shared" si="62"/>
        <v>1.2540970459682084</v>
      </c>
      <c r="C2012">
        <f t="shared" si="63"/>
        <v>1.3303153907783156</v>
      </c>
    </row>
    <row r="2013" spans="1:3" x14ac:dyDescent="0.15">
      <c r="A2013">
        <v>20.090000000000003</v>
      </c>
      <c r="B2013">
        <f t="shared" si="62"/>
        <v>1.2649696718261092</v>
      </c>
      <c r="C2013">
        <f t="shared" si="63"/>
        <v>1.3173459057908887</v>
      </c>
    </row>
    <row r="2014" spans="1:3" x14ac:dyDescent="0.15">
      <c r="A2014">
        <v>20.100000000000001</v>
      </c>
      <c r="B2014">
        <f t="shared" si="62"/>
        <v>1.2759529659262405</v>
      </c>
      <c r="C2014">
        <f t="shared" si="63"/>
        <v>1.3045057272566056</v>
      </c>
    </row>
    <row r="2015" spans="1:3" x14ac:dyDescent="0.15">
      <c r="A2015">
        <v>20.110000000000003</v>
      </c>
      <c r="B2015">
        <f t="shared" si="62"/>
        <v>1.2870480076337421</v>
      </c>
      <c r="C2015">
        <f t="shared" si="63"/>
        <v>1.2917935675743917</v>
      </c>
    </row>
    <row r="2016" spans="1:3" x14ac:dyDescent="0.15">
      <c r="A2016">
        <v>20.12</v>
      </c>
      <c r="B2016">
        <f t="shared" si="62"/>
        <v>1.2982558873726586</v>
      </c>
      <c r="C2016">
        <f t="shared" si="63"/>
        <v>1.2792081519661318</v>
      </c>
    </row>
    <row r="2017" spans="1:3" x14ac:dyDescent="0.15">
      <c r="A2017">
        <v>20.130000000000003</v>
      </c>
      <c r="B2017">
        <f t="shared" si="62"/>
        <v>1.3095777067319201</v>
      </c>
      <c r="C2017">
        <f t="shared" si="63"/>
        <v>1.2667482183493635</v>
      </c>
    </row>
    <row r="2018" spans="1:3" x14ac:dyDescent="0.15">
      <c r="A2018">
        <v>20.14</v>
      </c>
      <c r="B2018">
        <f t="shared" si="62"/>
        <v>1.3210145785724468</v>
      </c>
      <c r="C2018">
        <f t="shared" si="63"/>
        <v>1.2544125172112284</v>
      </c>
    </row>
    <row r="2019" spans="1:3" x14ac:dyDescent="0.15">
      <c r="A2019">
        <v>20.150000000000002</v>
      </c>
      <c r="B2019">
        <f t="shared" si="62"/>
        <v>1.3325676271353915</v>
      </c>
      <c r="C2019">
        <f t="shared" si="63"/>
        <v>1.2421998114836721</v>
      </c>
    </row>
    <row r="2020" spans="1:3" x14ac:dyDescent="0.15">
      <c r="A2020">
        <v>20.160000000000004</v>
      </c>
      <c r="B2020">
        <f t="shared" si="62"/>
        <v>1.3442379881515285</v>
      </c>
      <c r="C2020">
        <f t="shared" si="63"/>
        <v>1.2301088764198786</v>
      </c>
    </row>
    <row r="2021" spans="1:3" x14ac:dyDescent="0.15">
      <c r="A2021">
        <v>20.170000000000002</v>
      </c>
      <c r="B2021">
        <f t="shared" si="62"/>
        <v>1.3560268089517977</v>
      </c>
      <c r="C2021">
        <f t="shared" si="63"/>
        <v>1.2181384994719291</v>
      </c>
    </row>
    <row r="2022" spans="1:3" x14ac:dyDescent="0.15">
      <c r="A2022">
        <v>20.180000000000003</v>
      </c>
      <c r="B2022">
        <f t="shared" si="62"/>
        <v>1.3679352485790155</v>
      </c>
      <c r="C2022">
        <f t="shared" si="63"/>
        <v>1.2062874801696699</v>
      </c>
    </row>
    <row r="2023" spans="1:3" x14ac:dyDescent="0.15">
      <c r="A2023">
        <v>20.190000000000001</v>
      </c>
      <c r="B2023">
        <f t="shared" si="62"/>
        <v>1.379964477900762</v>
      </c>
      <c r="C2023">
        <f t="shared" si="63"/>
        <v>1.1945546300007819</v>
      </c>
    </row>
    <row r="2024" spans="1:3" x14ac:dyDescent="0.15">
      <c r="A2024">
        <v>20.200000000000003</v>
      </c>
      <c r="B2024">
        <f t="shared" si="62"/>
        <v>1.3921156797234568</v>
      </c>
      <c r="C2024">
        <f t="shared" si="63"/>
        <v>1.1829387722920366</v>
      </c>
    </row>
    <row r="2025" spans="1:3" x14ac:dyDescent="0.15">
      <c r="A2025">
        <v>20.21</v>
      </c>
      <c r="B2025">
        <f t="shared" si="62"/>
        <v>1.4043900489076306</v>
      </c>
      <c r="C2025">
        <f t="shared" si="63"/>
        <v>1.1714387420917283</v>
      </c>
    </row>
    <row r="2026" spans="1:3" x14ac:dyDescent="0.15">
      <c r="A2026">
        <v>20.220000000000002</v>
      </c>
      <c r="B2026">
        <f t="shared" si="62"/>
        <v>1.4167887924844083</v>
      </c>
      <c r="C2026">
        <f t="shared" si="63"/>
        <v>1.1600533860532707</v>
      </c>
    </row>
    <row r="2027" spans="1:3" x14ac:dyDescent="0.15">
      <c r="A2027">
        <v>20.23</v>
      </c>
      <c r="B2027">
        <f t="shared" si="62"/>
        <v>1.4293131297732087</v>
      </c>
      <c r="C2027">
        <f t="shared" si="63"/>
        <v>1.1487815623199467</v>
      </c>
    </row>
    <row r="2028" spans="1:3" x14ac:dyDescent="0.15">
      <c r="A2028">
        <v>20.240000000000002</v>
      </c>
      <c r="B2028">
        <f t="shared" si="62"/>
        <v>1.4419642925006755</v>
      </c>
      <c r="C2028">
        <f t="shared" si="63"/>
        <v>1.1376221404108002</v>
      </c>
    </row>
    <row r="2029" spans="1:3" x14ac:dyDescent="0.15">
      <c r="A2029">
        <v>20.250000000000004</v>
      </c>
      <c r="B2029">
        <f t="shared" si="62"/>
        <v>1.4547435249208516</v>
      </c>
      <c r="C2029">
        <f t="shared" si="63"/>
        <v>1.1265740011076584</v>
      </c>
    </row>
    <row r="2030" spans="1:3" x14ac:dyDescent="0.15">
      <c r="A2030">
        <v>20.260000000000002</v>
      </c>
      <c r="B2030">
        <f t="shared" si="62"/>
        <v>1.4676520839366045</v>
      </c>
      <c r="C2030">
        <f t="shared" si="63"/>
        <v>1.1156360363432729</v>
      </c>
    </row>
    <row r="2031" spans="1:3" x14ac:dyDescent="0.15">
      <c r="A2031">
        <v>20.270000000000003</v>
      </c>
      <c r="B2031">
        <f t="shared" si="62"/>
        <v>1.4806912392223164</v>
      </c>
      <c r="C2031">
        <f t="shared" si="63"/>
        <v>1.1048071490905711</v>
      </c>
    </row>
    <row r="2032" spans="1:3" x14ac:dyDescent="0.15">
      <c r="A2032">
        <v>20.28</v>
      </c>
      <c r="B2032">
        <f t="shared" si="62"/>
        <v>1.4938622733478508</v>
      </c>
      <c r="C2032">
        <f t="shared" si="63"/>
        <v>1.0940862532530031</v>
      </c>
    </row>
    <row r="2033" spans="1:3" x14ac:dyDescent="0.15">
      <c r="A2033">
        <v>20.290000000000003</v>
      </c>
      <c r="B2033">
        <f t="shared" si="62"/>
        <v>1.5071664819038064</v>
      </c>
      <c r="C2033">
        <f t="shared" si="63"/>
        <v>1.0834722735559776</v>
      </c>
    </row>
    <row r="2034" spans="1:3" x14ac:dyDescent="0.15">
      <c r="A2034">
        <v>20.3</v>
      </c>
      <c r="B2034">
        <f t="shared" si="62"/>
        <v>1.5206051736280688</v>
      </c>
      <c r="C2034">
        <f t="shared" si="63"/>
        <v>1.072964145439373</v>
      </c>
    </row>
    <row r="2035" spans="1:3" x14ac:dyDescent="0.15">
      <c r="A2035">
        <v>20.310000000000002</v>
      </c>
      <c r="B2035">
        <f t="shared" si="62"/>
        <v>1.5341796705336768</v>
      </c>
      <c r="C2035">
        <f t="shared" si="63"/>
        <v>1.0625608149511139</v>
      </c>
    </row>
    <row r="2036" spans="1:3" x14ac:dyDescent="0.15">
      <c r="A2036">
        <v>20.32</v>
      </c>
      <c r="B2036">
        <f t="shared" si="62"/>
        <v>1.5478913080380099</v>
      </c>
      <c r="C2036">
        <f t="shared" si="63"/>
        <v>1.0522612386418035</v>
      </c>
    </row>
    <row r="2037" spans="1:3" x14ac:dyDescent="0.15">
      <c r="A2037">
        <v>20.330000000000002</v>
      </c>
      <c r="B2037">
        <f t="shared" si="62"/>
        <v>1.561741435093311</v>
      </c>
      <c r="C2037">
        <f t="shared" si="63"/>
        <v>1.0420643834604013</v>
      </c>
    </row>
    <row r="2038" spans="1:3" x14ac:dyDescent="0.15">
      <c r="A2038">
        <v>20.340000000000003</v>
      </c>
      <c r="B2038">
        <f t="shared" si="62"/>
        <v>1.5757314143185592</v>
      </c>
      <c r="C2038">
        <f t="shared" si="63"/>
        <v>1.0319692266509344</v>
      </c>
    </row>
    <row r="2039" spans="1:3" x14ac:dyDescent="0.15">
      <c r="A2039">
        <v>20.350000000000001</v>
      </c>
      <c r="B2039">
        <f t="shared" si="62"/>
        <v>1.589862622132701</v>
      </c>
      <c r="C2039">
        <f t="shared" si="63"/>
        <v>1.0219747556502337</v>
      </c>
    </row>
    <row r="2040" spans="1:3" x14ac:dyDescent="0.15">
      <c r="A2040">
        <v>20.360000000000003</v>
      </c>
      <c r="B2040">
        <f t="shared" si="62"/>
        <v>1.6041364488892567</v>
      </c>
      <c r="C2040">
        <f t="shared" si="63"/>
        <v>1.0120799679866856</v>
      </c>
    </row>
    <row r="2041" spans="1:3" x14ac:dyDescent="0.15">
      <c r="A2041">
        <v>20.37</v>
      </c>
      <c r="B2041">
        <f t="shared" si="62"/>
        <v>1.6185542990123112</v>
      </c>
      <c r="C2041">
        <f t="shared" si="63"/>
        <v>1.0022838711799864</v>
      </c>
    </row>
    <row r="2042" spans="1:3" x14ac:dyDescent="0.15">
      <c r="A2042">
        <v>20.380000000000003</v>
      </c>
      <c r="B2042">
        <f t="shared" si="62"/>
        <v>1.6331175911339051</v>
      </c>
      <c r="C2042">
        <f t="shared" si="63"/>
        <v>0.99258548264189228</v>
      </c>
    </row>
    <row r="2043" spans="1:3" x14ac:dyDescent="0.15">
      <c r="A2043">
        <v>20.39</v>
      </c>
      <c r="B2043">
        <f t="shared" si="62"/>
        <v>1.6478277582328378</v>
      </c>
      <c r="C2043">
        <f t="shared" si="63"/>
        <v>0.9829838295779546</v>
      </c>
    </row>
    <row r="2044" spans="1:3" x14ac:dyDescent="0.15">
      <c r="A2044">
        <v>20.400000000000002</v>
      </c>
      <c r="B2044">
        <f t="shared" si="62"/>
        <v>1.6626862477748934</v>
      </c>
      <c r="C2044">
        <f t="shared" si="63"/>
        <v>0.97347794889022954</v>
      </c>
    </row>
    <row r="2045" spans="1:3" x14ac:dyDescent="0.15">
      <c r="A2045">
        <v>20.410000000000004</v>
      </c>
      <c r="B2045">
        <f t="shared" si="62"/>
        <v>1.6776945218545105</v>
      </c>
      <c r="C2045">
        <f t="shared" si="63"/>
        <v>0.96406688708095356</v>
      </c>
    </row>
    <row r="2046" spans="1:3" x14ac:dyDescent="0.15">
      <c r="A2046">
        <v>20.420000000000002</v>
      </c>
      <c r="B2046">
        <f t="shared" si="62"/>
        <v>1.6928540573378985</v>
      </c>
      <c r="C2046">
        <f t="shared" si="63"/>
        <v>0.95474970015717542</v>
      </c>
    </row>
    <row r="2047" spans="1:3" x14ac:dyDescent="0.15">
      <c r="A2047">
        <v>20.430000000000003</v>
      </c>
      <c r="B2047">
        <f t="shared" si="62"/>
        <v>1.7081663460076242</v>
      </c>
      <c r="C2047">
        <f t="shared" si="63"/>
        <v>0.94552545353633433</v>
      </c>
    </row>
    <row r="2048" spans="1:3" x14ac:dyDescent="0.15">
      <c r="A2048">
        <v>20.440000000000001</v>
      </c>
      <c r="B2048">
        <f t="shared" si="62"/>
        <v>1.7236328947086759</v>
      </c>
      <c r="C2048">
        <f t="shared" si="63"/>
        <v>0.93639322195277586</v>
      </c>
    </row>
    <row r="2049" spans="1:3" x14ac:dyDescent="0.15">
      <c r="A2049">
        <v>20.450000000000003</v>
      </c>
      <c r="B2049">
        <f t="shared" si="62"/>
        <v>1.7392552254960225</v>
      </c>
      <c r="C2049">
        <f t="shared" si="63"/>
        <v>0.92735208936519609</v>
      </c>
    </row>
    <row r="2050" spans="1:3" x14ac:dyDescent="0.15">
      <c r="A2050">
        <v>20.46</v>
      </c>
      <c r="B2050">
        <f t="shared" si="62"/>
        <v>1.7550348757836798</v>
      </c>
      <c r="C2050">
        <f t="shared" si="63"/>
        <v>0.91840114886500479</v>
      </c>
    </row>
    <row r="2051" spans="1:3" x14ac:dyDescent="0.15">
      <c r="A2051">
        <v>20.470000000000002</v>
      </c>
      <c r="B2051">
        <f t="shared" si="62"/>
        <v>1.7709733984952987</v>
      </c>
      <c r="C2051">
        <f t="shared" si="63"/>
        <v>0.90953950258559835</v>
      </c>
    </row>
    <row r="2052" spans="1:3" x14ac:dyDescent="0.15">
      <c r="A2052">
        <v>20.48</v>
      </c>
      <c r="B2052">
        <f t="shared" si="62"/>
        <v>1.7870723622162921</v>
      </c>
      <c r="C2052">
        <f t="shared" si="63"/>
        <v>0.90076626161253437</v>
      </c>
    </row>
    <row r="2053" spans="1:3" x14ac:dyDescent="0.15">
      <c r="A2053">
        <v>20.490000000000002</v>
      </c>
      <c r="B2053">
        <f t="shared" si="62"/>
        <v>1.8033333513475105</v>
      </c>
      <c r="C2053">
        <f t="shared" si="63"/>
        <v>0.89208054589459795</v>
      </c>
    </row>
    <row r="2054" spans="1:3" x14ac:dyDescent="0.15">
      <c r="A2054">
        <v>20.500000000000004</v>
      </c>
      <c r="B2054">
        <f t="shared" ref="B2054:B2117" si="64">(1+($A$2-$B$2*C2053)*$E$2)*B2053</f>
        <v>1.8197579662604857</v>
      </c>
      <c r="C2054">
        <f t="shared" ref="C2054:C2117" si="65">(1+($C$2*B2053-$D$2)*$E$2)*C2053</f>
        <v>0.88348148415575189</v>
      </c>
    </row>
    <row r="2055" spans="1:3" x14ac:dyDescent="0.15">
      <c r="A2055">
        <v>20.51</v>
      </c>
      <c r="B2055">
        <f t="shared" si="64"/>
        <v>1.8363478234542543</v>
      </c>
      <c r="C2055">
        <f t="shared" si="65"/>
        <v>0.87496821380796153</v>
      </c>
    </row>
    <row r="2056" spans="1:3" x14ac:dyDescent="0.15">
      <c r="A2056">
        <v>20.520000000000003</v>
      </c>
      <c r="B2056">
        <f t="shared" si="64"/>
        <v>1.8531045557137789</v>
      </c>
      <c r="C2056">
        <f t="shared" si="65"/>
        <v>0.86653988086488554</v>
      </c>
    </row>
    <row r="2057" spans="1:3" x14ac:dyDescent="0.15">
      <c r="A2057">
        <v>20.53</v>
      </c>
      <c r="B2057">
        <f t="shared" si="64"/>
        <v>1.8700298122699781</v>
      </c>
      <c r="C2057">
        <f t="shared" si="65"/>
        <v>0.85819563985642444</v>
      </c>
    </row>
    <row r="2058" spans="1:3" x14ac:dyDescent="0.15">
      <c r="A2058">
        <v>20.540000000000003</v>
      </c>
      <c r="B2058">
        <f t="shared" si="64"/>
        <v>1.8871252589613865</v>
      </c>
      <c r="C2058">
        <f t="shared" si="65"/>
        <v>0.84993465374411847</v>
      </c>
    </row>
    <row r="2059" spans="1:3" x14ac:dyDescent="0.15">
      <c r="A2059">
        <v>20.55</v>
      </c>
      <c r="B2059">
        <f t="shared" si="64"/>
        <v>1.9043925783974534</v>
      </c>
      <c r="C2059">
        <f t="shared" si="65"/>
        <v>0.8417560938373867</v>
      </c>
    </row>
    <row r="2060" spans="1:3" x14ac:dyDescent="0.15">
      <c r="A2060">
        <v>20.560000000000002</v>
      </c>
      <c r="B2060">
        <f t="shared" si="64"/>
        <v>1.9218334701235031</v>
      </c>
      <c r="C2060">
        <f t="shared" si="65"/>
        <v>0.8336591397105978</v>
      </c>
    </row>
    <row r="2061" spans="1:3" x14ac:dyDescent="0.15">
      <c r="A2061">
        <v>20.57</v>
      </c>
      <c r="B2061">
        <f t="shared" si="64"/>
        <v>1.9394496507873678</v>
      </c>
      <c r="C2061">
        <f t="shared" si="65"/>
        <v>0.82564297912096585</v>
      </c>
    </row>
    <row r="2062" spans="1:3" x14ac:dyDescent="0.15">
      <c r="A2062">
        <v>20.580000000000002</v>
      </c>
      <c r="B2062">
        <f t="shared" si="64"/>
        <v>1.9572428543077103</v>
      </c>
      <c r="C2062">
        <f t="shared" si="65"/>
        <v>0.81770680792726247</v>
      </c>
    </row>
    <row r="2063" spans="1:3" x14ac:dyDescent="0.15">
      <c r="A2063">
        <v>20.590000000000003</v>
      </c>
      <c r="B2063">
        <f t="shared" si="64"/>
        <v>1.9752148320440528</v>
      </c>
      <c r="C2063">
        <f t="shared" si="65"/>
        <v>0.80984983000933675</v>
      </c>
    </row>
    <row r="2064" spans="1:3" x14ac:dyDescent="0.15">
      <c r="A2064">
        <v>20.6</v>
      </c>
      <c r="B2064">
        <f t="shared" si="64"/>
        <v>1.9933673529685305</v>
      </c>
      <c r="C2064">
        <f t="shared" si="65"/>
        <v>0.80207125718843597</v>
      </c>
    </row>
    <row r="2065" spans="1:3" x14ac:dyDescent="0.15">
      <c r="A2065">
        <v>20.610000000000003</v>
      </c>
      <c r="B2065">
        <f t="shared" si="64"/>
        <v>2.0117022038393824</v>
      </c>
      <c r="C2065">
        <f t="shared" si="65"/>
        <v>0.79437030914831841</v>
      </c>
    </row>
    <row r="2066" spans="1:3" x14ac:dyDescent="0.15">
      <c r="A2066">
        <v>20.62</v>
      </c>
      <c r="B2066">
        <f t="shared" si="64"/>
        <v>2.0302211893761979</v>
      </c>
      <c r="C2066">
        <f t="shared" si="65"/>
        <v>0.78674621335715089</v>
      </c>
    </row>
    <row r="2067" spans="1:3" x14ac:dyDescent="0.15">
      <c r="A2067">
        <v>20.630000000000003</v>
      </c>
      <c r="B2067">
        <f t="shared" si="64"/>
        <v>2.0489261324369408</v>
      </c>
      <c r="C2067">
        <f t="shared" si="65"/>
        <v>0.77919820499018322</v>
      </c>
    </row>
    <row r="2068" spans="1:3" x14ac:dyDescent="0.15">
      <c r="A2068">
        <v>20.64</v>
      </c>
      <c r="B2068">
        <f t="shared" si="64"/>
        <v>2.0678188741967576</v>
      </c>
      <c r="C2068">
        <f t="shared" si="65"/>
        <v>0.77172552685319185</v>
      </c>
    </row>
    <row r="2069" spans="1:3" x14ac:dyDescent="0.15">
      <c r="A2069">
        <v>20.650000000000002</v>
      </c>
      <c r="B2069">
        <f t="shared" si="64"/>
        <v>2.0869012743285991</v>
      </c>
      <c r="C2069">
        <f t="shared" si="65"/>
        <v>0.76432742930668518</v>
      </c>
    </row>
    <row r="2070" spans="1:3" x14ac:dyDescent="0.15">
      <c r="A2070">
        <v>20.660000000000004</v>
      </c>
      <c r="B2070">
        <f t="shared" si="64"/>
        <v>2.1061752111856604</v>
      </c>
      <c r="C2070">
        <f t="shared" si="65"/>
        <v>0.75700317019086316</v>
      </c>
    </row>
    <row r="2071" spans="1:3" x14ac:dyDescent="0.15">
      <c r="A2071">
        <v>20.67</v>
      </c>
      <c r="B2071">
        <f t="shared" si="64"/>
        <v>2.1256425819856721</v>
      </c>
      <c r="C2071">
        <f t="shared" si="65"/>
        <v>0.74975201475132347</v>
      </c>
    </row>
    <row r="2072" spans="1:3" x14ac:dyDescent="0.15">
      <c r="A2072">
        <v>20.680000000000003</v>
      </c>
      <c r="B2072">
        <f t="shared" si="64"/>
        <v>2.1453053029970439</v>
      </c>
      <c r="C2072">
        <f t="shared" si="65"/>
        <v>0.74257323556550714</v>
      </c>
    </row>
    <row r="2073" spans="1:3" x14ac:dyDescent="0.15">
      <c r="A2073">
        <v>20.69</v>
      </c>
      <c r="B2073">
        <f t="shared" si="64"/>
        <v>2.1651653097268921</v>
      </c>
      <c r="C2073">
        <f t="shared" si="65"/>
        <v>0.73546611246987648</v>
      </c>
    </row>
    <row r="2074" spans="1:3" x14ac:dyDescent="0.15">
      <c r="A2074">
        <v>20.700000000000003</v>
      </c>
      <c r="B2074">
        <f t="shared" si="64"/>
        <v>2.1852245571109616</v>
      </c>
      <c r="C2074">
        <f t="shared" si="65"/>
        <v>0.72842993248781762</v>
      </c>
    </row>
    <row r="2075" spans="1:3" x14ac:dyDescent="0.15">
      <c r="A2075">
        <v>20.71</v>
      </c>
      <c r="B2075">
        <f t="shared" si="64"/>
        <v>2.2054850197054638</v>
      </c>
      <c r="C2075">
        <f t="shared" si="65"/>
        <v>0.72146398975826087</v>
      </c>
    </row>
    <row r="2076" spans="1:3" x14ac:dyDescent="0.15">
      <c r="A2076">
        <v>20.720000000000002</v>
      </c>
      <c r="B2076">
        <f t="shared" si="64"/>
        <v>2.2259486918808493</v>
      </c>
      <c r="C2076">
        <f t="shared" si="65"/>
        <v>0.71456758546501209</v>
      </c>
    </row>
    <row r="2077" spans="1:3" x14ac:dyDescent="0.15">
      <c r="A2077">
        <v>20.73</v>
      </c>
      <c r="B2077">
        <f t="shared" si="64"/>
        <v>2.2466175880175316</v>
      </c>
      <c r="C2077">
        <f t="shared" si="65"/>
        <v>0.70774002776678724</v>
      </c>
    </row>
    <row r="2078" spans="1:3" x14ac:dyDescent="0.15">
      <c r="A2078">
        <v>20.740000000000002</v>
      </c>
      <c r="B2078">
        <f t="shared" si="64"/>
        <v>2.2674937427035817</v>
      </c>
      <c r="C2078">
        <f t="shared" si="65"/>
        <v>0.70098063172794434</v>
      </c>
    </row>
    <row r="2079" spans="1:3" x14ac:dyDescent="0.15">
      <c r="A2079">
        <v>20.750000000000004</v>
      </c>
      <c r="B2079">
        <f t="shared" si="64"/>
        <v>2.2885792109344179</v>
      </c>
      <c r="C2079">
        <f t="shared" si="65"/>
        <v>0.69428871924990476</v>
      </c>
    </row>
    <row r="2080" spans="1:3" x14ac:dyDescent="0.15">
      <c r="A2080">
        <v>20.76</v>
      </c>
      <c r="B2080">
        <f t="shared" si="64"/>
        <v>2.3098760683145008</v>
      </c>
      <c r="C2080">
        <f t="shared" si="65"/>
        <v>0.68766361900325801</v>
      </c>
    </row>
    <row r="2081" spans="1:3" x14ac:dyDescent="0.15">
      <c r="A2081">
        <v>20.770000000000003</v>
      </c>
      <c r="B2081">
        <f t="shared" si="64"/>
        <v>2.3313864112610596</v>
      </c>
      <c r="C2081">
        <f t="shared" si="65"/>
        <v>0.68110466636054268</v>
      </c>
    </row>
    <row r="2082" spans="1:3" x14ac:dyDescent="0.15">
      <c r="A2082">
        <v>20.78</v>
      </c>
      <c r="B2082">
        <f t="shared" si="64"/>
        <v>2.3531123572098704</v>
      </c>
      <c r="C2082">
        <f t="shared" si="65"/>
        <v>0.67461120332969715</v>
      </c>
    </row>
    <row r="2083" spans="1:3" x14ac:dyDescent="0.15">
      <c r="A2083">
        <v>20.790000000000003</v>
      </c>
      <c r="B2083">
        <f t="shared" si="64"/>
        <v>2.3750560448231015</v>
      </c>
      <c r="C2083">
        <f t="shared" si="65"/>
        <v>0.66818257848817364</v>
      </c>
    </row>
    <row r="2084" spans="1:3" x14ac:dyDescent="0.15">
      <c r="A2084">
        <v>20.8</v>
      </c>
      <c r="B2084">
        <f t="shared" si="64"/>
        <v>2.3972196341992484</v>
      </c>
      <c r="C2084">
        <f t="shared" si="65"/>
        <v>0.66181814691770868</v>
      </c>
    </row>
    <row r="2085" spans="1:3" x14ac:dyDescent="0.15">
      <c r="A2085">
        <v>20.810000000000002</v>
      </c>
      <c r="B2085">
        <f t="shared" si="64"/>
        <v>2.4196053070851802</v>
      </c>
      <c r="C2085">
        <f t="shared" si="65"/>
        <v>0.6555172701397437</v>
      </c>
    </row>
    <row r="2086" spans="1:3" x14ac:dyDescent="0.15">
      <c r="A2086">
        <v>20.82</v>
      </c>
      <c r="B2086">
        <f t="shared" si="64"/>
        <v>2.4422152670903161</v>
      </c>
      <c r="C2086">
        <f t="shared" si="65"/>
        <v>0.64927931605148947</v>
      </c>
    </row>
    <row r="2087" spans="1:3" x14ac:dyDescent="0.15">
      <c r="A2087">
        <v>20.830000000000002</v>
      </c>
      <c r="B2087">
        <f t="shared" si="64"/>
        <v>2.4650517399029521</v>
      </c>
      <c r="C2087">
        <f t="shared" si="65"/>
        <v>0.64310365886262799</v>
      </c>
    </row>
    <row r="2088" spans="1:3" x14ac:dyDescent="0.15">
      <c r="A2088">
        <v>20.840000000000003</v>
      </c>
      <c r="B2088">
        <f t="shared" si="64"/>
        <v>2.4881169735087645</v>
      </c>
      <c r="C2088">
        <f t="shared" si="65"/>
        <v>0.63698967903264514</v>
      </c>
    </row>
    <row r="2089" spans="1:3" x14ac:dyDescent="0.15">
      <c r="A2089">
        <v>20.85</v>
      </c>
      <c r="B2089">
        <f t="shared" si="64"/>
        <v>2.5114132384115013</v>
      </c>
      <c r="C2089">
        <f t="shared" si="65"/>
        <v>0.63093676320878889</v>
      </c>
    </row>
    <row r="2090" spans="1:3" x14ac:dyDescent="0.15">
      <c r="A2090">
        <v>20.860000000000003</v>
      </c>
      <c r="B2090">
        <f t="shared" si="64"/>
        <v>2.5349428278558936</v>
      </c>
      <c r="C2090">
        <f t="shared" si="65"/>
        <v>0.62494430416464553</v>
      </c>
    </row>
    <row r="2091" spans="1:3" x14ac:dyDescent="0.15">
      <c r="A2091">
        <v>20.87</v>
      </c>
      <c r="B2091">
        <f t="shared" si="64"/>
        <v>2.558708058052801</v>
      </c>
      <c r="C2091">
        <f t="shared" si="65"/>
        <v>0.61901170073932943</v>
      </c>
    </row>
    <row r="2092" spans="1:3" x14ac:dyDescent="0.15">
      <c r="A2092">
        <v>20.880000000000003</v>
      </c>
      <c r="B2092">
        <f t="shared" si="64"/>
        <v>2.582711268406618</v>
      </c>
      <c r="C2092">
        <f t="shared" si="65"/>
        <v>0.61313835777727832</v>
      </c>
    </row>
    <row r="2093" spans="1:3" x14ac:dyDescent="0.15">
      <c r="A2093">
        <v>20.89</v>
      </c>
      <c r="B2093">
        <f t="shared" si="64"/>
        <v>2.6069548217449605</v>
      </c>
      <c r="C2093">
        <f t="shared" si="65"/>
        <v>0.60732368606865028</v>
      </c>
    </row>
    <row r="2094" spans="1:3" x14ac:dyDescent="0.15">
      <c r="A2094">
        <v>20.900000000000002</v>
      </c>
      <c r="B2094">
        <f t="shared" si="64"/>
        <v>2.6314411045506536</v>
      </c>
      <c r="C2094">
        <f t="shared" si="65"/>
        <v>0.60156710229031507</v>
      </c>
    </row>
    <row r="2095" spans="1:3" x14ac:dyDescent="0.15">
      <c r="A2095">
        <v>20.910000000000004</v>
      </c>
      <c r="B2095">
        <f t="shared" si="64"/>
        <v>2.6561725271960479</v>
      </c>
      <c r="C2095">
        <f t="shared" si="65"/>
        <v>0.5958680289474344</v>
      </c>
    </row>
    <row r="2096" spans="1:3" x14ac:dyDescent="0.15">
      <c r="A2096">
        <v>20.92</v>
      </c>
      <c r="B2096">
        <f t="shared" si="64"/>
        <v>2.6811515241796835</v>
      </c>
      <c r="C2096">
        <f t="shared" si="65"/>
        <v>0.590225894315625</v>
      </c>
    </row>
    <row r="2097" spans="1:3" x14ac:dyDescent="0.15">
      <c r="A2097">
        <v>20.930000000000003</v>
      </c>
      <c r="B2097">
        <f t="shared" si="64"/>
        <v>2.7063805543653259</v>
      </c>
      <c r="C2097">
        <f t="shared" si="65"/>
        <v>0.58464013238369972</v>
      </c>
    </row>
    <row r="2098" spans="1:3" x14ac:dyDescent="0.15">
      <c r="A2098">
        <v>20.94</v>
      </c>
      <c r="B2098">
        <f t="shared" si="64"/>
        <v>2.7318621012233946</v>
      </c>
      <c r="C2098">
        <f t="shared" si="65"/>
        <v>0.57911018279697968</v>
      </c>
    </row>
    <row r="2099" spans="1:3" x14ac:dyDescent="0.15">
      <c r="A2099">
        <v>20.950000000000003</v>
      </c>
      <c r="B2099">
        <f t="shared" si="64"/>
        <v>2.757598673074813</v>
      </c>
      <c r="C2099">
        <f t="shared" si="65"/>
        <v>0.57363549080117304</v>
      </c>
    </row>
    <row r="2100" spans="1:3" x14ac:dyDescent="0.15">
      <c r="A2100">
        <v>20.96</v>
      </c>
      <c r="B2100">
        <f t="shared" si="64"/>
        <v>2.783592803337299</v>
      </c>
      <c r="C2100">
        <f t="shared" si="65"/>
        <v>0.56821550718681368</v>
      </c>
    </row>
    <row r="2101" spans="1:3" x14ac:dyDescent="0.15">
      <c r="A2101">
        <v>20.970000000000002</v>
      </c>
      <c r="B2101">
        <f t="shared" si="64"/>
        <v>2.8098470507741218</v>
      </c>
      <c r="C2101">
        <f t="shared" si="65"/>
        <v>0.56284968823425552</v>
      </c>
    </row>
    <row r="2102" spans="1:3" x14ac:dyDescent="0.15">
      <c r="A2102">
        <v>20.98</v>
      </c>
      <c r="B2102">
        <f t="shared" si="64"/>
        <v>2.8363639997453491</v>
      </c>
      <c r="C2102">
        <f t="shared" si="65"/>
        <v>0.55753749565921584</v>
      </c>
    </row>
    <row r="2103" spans="1:3" x14ac:dyDescent="0.15">
      <c r="A2103">
        <v>20.990000000000002</v>
      </c>
      <c r="B2103">
        <f t="shared" si="64"/>
        <v>2.8631462604616065</v>
      </c>
      <c r="C2103">
        <f t="shared" si="65"/>
        <v>0.55227839655886291</v>
      </c>
    </row>
    <row r="2104" spans="1:3" x14ac:dyDescent="0.15">
      <c r="A2104">
        <v>21.000000000000004</v>
      </c>
      <c r="B2104">
        <f t="shared" si="64"/>
        <v>2.8901964692403816</v>
      </c>
      <c r="C2104">
        <f t="shared" si="65"/>
        <v>0.54707186335844249</v>
      </c>
    </row>
    <row r="2105" spans="1:3" x14ac:dyDescent="0.15">
      <c r="A2105">
        <v>21.01</v>
      </c>
      <c r="B2105">
        <f t="shared" si="64"/>
        <v>2.9175172887648864</v>
      </c>
      <c r="C2105">
        <f t="shared" si="65"/>
        <v>0.54191737375843785</v>
      </c>
    </row>
    <row r="2106" spans="1:3" x14ac:dyDescent="0.15">
      <c r="A2106">
        <v>21.020000000000003</v>
      </c>
      <c r="B2106">
        <f t="shared" si="64"/>
        <v>2.9451114083455132</v>
      </c>
      <c r="C2106">
        <f t="shared" si="65"/>
        <v>0.53681441068225788</v>
      </c>
    </row>
    <row r="2107" spans="1:3" x14ac:dyDescent="0.15">
      <c r="A2107">
        <v>21.03</v>
      </c>
      <c r="B2107">
        <f t="shared" si="64"/>
        <v>2.9729815441839036</v>
      </c>
      <c r="C2107">
        <f t="shared" si="65"/>
        <v>0.53176246222444823</v>
      </c>
    </row>
    <row r="2108" spans="1:3" x14ac:dyDescent="0.15">
      <c r="A2108">
        <v>21.040000000000003</v>
      </c>
      <c r="B2108">
        <f t="shared" si="64"/>
        <v>3.0011304396396592</v>
      </c>
      <c r="C2108">
        <f t="shared" si="65"/>
        <v>0.52676102159942029</v>
      </c>
    </row>
    <row r="2109" spans="1:3" x14ac:dyDescent="0.15">
      <c r="A2109">
        <v>21.05</v>
      </c>
      <c r="B2109">
        <f t="shared" si="64"/>
        <v>3.0295608654997186</v>
      </c>
      <c r="C2109">
        <f t="shared" si="65"/>
        <v>0.52180958709069369</v>
      </c>
    </row>
    <row r="2110" spans="1:3" x14ac:dyDescent="0.15">
      <c r="A2110">
        <v>21.060000000000002</v>
      </c>
      <c r="B2110">
        <f t="shared" si="64"/>
        <v>3.0582756202504231</v>
      </c>
      <c r="C2110">
        <f t="shared" si="65"/>
        <v>0.5169076620006452</v>
      </c>
    </row>
    <row r="2111" spans="1:3" x14ac:dyDescent="0.15">
      <c r="A2111">
        <v>21.07</v>
      </c>
      <c r="B2111">
        <f t="shared" si="64"/>
        <v>3.0872775303523103</v>
      </c>
      <c r="C2111">
        <f t="shared" si="65"/>
        <v>0.51205475460076222</v>
      </c>
    </row>
    <row r="2112" spans="1:3" x14ac:dyDescent="0.15">
      <c r="A2112">
        <v>21.080000000000002</v>
      </c>
      <c r="B2112">
        <f t="shared" si="64"/>
        <v>3.1165694505176447</v>
      </c>
      <c r="C2112">
        <f t="shared" si="65"/>
        <v>0.50725037808239237</v>
      </c>
    </row>
    <row r="2113" spans="1:3" x14ac:dyDescent="0.15">
      <c r="A2113">
        <v>21.090000000000003</v>
      </c>
      <c r="B2113">
        <f t="shared" si="64"/>
        <v>3.1461542639907263</v>
      </c>
      <c r="C2113">
        <f t="shared" si="65"/>
        <v>0.50249405050798746</v>
      </c>
    </row>
    <row r="2114" spans="1:3" x14ac:dyDescent="0.15">
      <c r="A2114">
        <v>21.1</v>
      </c>
      <c r="B2114">
        <f t="shared" si="64"/>
        <v>3.1760348828309977</v>
      </c>
      <c r="C2114">
        <f t="shared" si="65"/>
        <v>0.49778529476283473</v>
      </c>
    </row>
    <row r="2115" spans="1:3" x14ac:dyDescent="0.15">
      <c r="A2115">
        <v>21.110000000000003</v>
      </c>
      <c r="B2115">
        <f t="shared" si="64"/>
        <v>3.206214248198981</v>
      </c>
      <c r="C2115">
        <f t="shared" si="65"/>
        <v>0.49312363850727176</v>
      </c>
    </row>
    <row r="2116" spans="1:3" x14ac:dyDescent="0.15">
      <c r="A2116">
        <v>21.12</v>
      </c>
      <c r="B2116">
        <f t="shared" si="64"/>
        <v>3.2366953306450652</v>
      </c>
      <c r="C2116">
        <f t="shared" si="65"/>
        <v>0.48850861412938018</v>
      </c>
    </row>
    <row r="2117" spans="1:3" x14ac:dyDescent="0.15">
      <c r="A2117">
        <v>21.130000000000003</v>
      </c>
      <c r="B2117">
        <f t="shared" si="64"/>
        <v>3.2674811304011837</v>
      </c>
      <c r="C2117">
        <f t="shared" si="65"/>
        <v>0.48393975869815287</v>
      </c>
    </row>
    <row r="2118" spans="1:3" x14ac:dyDescent="0.15">
      <c r="A2118">
        <v>21.14</v>
      </c>
      <c r="B2118">
        <f t="shared" ref="B2118:B2181" si="66">(1+($A$2-$B$2*C2117)*$E$2)*B2117</f>
        <v>3.2985746776753984</v>
      </c>
      <c r="C2118">
        <f t="shared" ref="C2118:C2181" si="67">(1+($C$2*B2117-$D$2)*$E$2)*C2117</f>
        <v>0.47941661391713075</v>
      </c>
    </row>
    <row r="2119" spans="1:3" x14ac:dyDescent="0.15">
      <c r="A2119">
        <v>21.150000000000002</v>
      </c>
      <c r="B2119">
        <f t="shared" si="66"/>
        <v>3.3299790329494288</v>
      </c>
      <c r="C2119">
        <f t="shared" si="67"/>
        <v>0.47493872607850424</v>
      </c>
    </row>
    <row r="2120" spans="1:3" x14ac:dyDescent="0.15">
      <c r="A2120">
        <v>21.160000000000004</v>
      </c>
      <c r="B2120">
        <f t="shared" si="66"/>
        <v>3.3616972872791457</v>
      </c>
      <c r="C2120">
        <f t="shared" si="67"/>
        <v>0.47050564601767464</v>
      </c>
    </row>
    <row r="2121" spans="1:3" x14ac:dyDescent="0.15">
      <c r="A2121">
        <v>21.17</v>
      </c>
      <c r="B2121">
        <f t="shared" si="66"/>
        <v>3.3937325625980699</v>
      </c>
      <c r="C2121">
        <f t="shared" si="67"/>
        <v>0.46611692906827129</v>
      </c>
    </row>
    <row r="2122" spans="1:3" x14ac:dyDescent="0.15">
      <c r="A2122">
        <v>21.180000000000003</v>
      </c>
      <c r="B2122">
        <f t="shared" si="66"/>
        <v>3.4260880120238935</v>
      </c>
      <c r="C2122">
        <f t="shared" si="67"/>
        <v>0.46177213501762004</v>
      </c>
    </row>
    <row r="2123" spans="1:3" x14ac:dyDescent="0.15">
      <c r="A2123">
        <v>21.19</v>
      </c>
      <c r="B2123">
        <f t="shared" si="66"/>
        <v>3.4587668201680621</v>
      </c>
      <c r="C2123">
        <f t="shared" si="67"/>
        <v>0.45747082806265799</v>
      </c>
    </row>
    <row r="2124" spans="1:3" x14ac:dyDescent="0.15">
      <c r="A2124">
        <v>21.200000000000003</v>
      </c>
      <c r="B2124">
        <f t="shared" si="66"/>
        <v>3.4917722034484449</v>
      </c>
      <c r="C2124">
        <f t="shared" si="67"/>
        <v>0.45321257676629101</v>
      </c>
    </row>
    <row r="2125" spans="1:3" x14ac:dyDescent="0.15">
      <c r="A2125">
        <v>21.21</v>
      </c>
      <c r="B2125">
        <f t="shared" si="66"/>
        <v>3.5251074104051239</v>
      </c>
      <c r="C2125">
        <f t="shared" si="67"/>
        <v>0.44899695401418926</v>
      </c>
    </row>
    <row r="2126" spans="1:3" x14ac:dyDescent="0.15">
      <c r="A2126">
        <v>21.220000000000002</v>
      </c>
      <c r="B2126">
        <f t="shared" si="66"/>
        <v>3.5587757220193303</v>
      </c>
      <c r="C2126">
        <f t="shared" si="67"/>
        <v>0.44482353697201632</v>
      </c>
    </row>
    <row r="2127" spans="1:3" x14ac:dyDescent="0.15">
      <c r="A2127">
        <v>21.23</v>
      </c>
      <c r="B2127">
        <f t="shared" si="66"/>
        <v>3.5927804520355648</v>
      </c>
      <c r="C2127">
        <f t="shared" si="67"/>
        <v>0.44069190704308792</v>
      </c>
    </row>
    <row r="2128" spans="1:3" x14ac:dyDescent="0.15">
      <c r="A2128">
        <v>21.240000000000002</v>
      </c>
      <c r="B2128">
        <f t="shared" si="66"/>
        <v>3.627124947286926</v>
      </c>
      <c r="C2128">
        <f t="shared" si="67"/>
        <v>0.436601649826456</v>
      </c>
    </row>
    <row r="2129" spans="1:3" x14ac:dyDescent="0.15">
      <c r="A2129">
        <v>21.250000000000004</v>
      </c>
      <c r="B2129">
        <f t="shared" si="66"/>
        <v>3.6618125880236829</v>
      </c>
      <c r="C2129">
        <f t="shared" si="67"/>
        <v>0.43255235507541384</v>
      </c>
    </row>
    <row r="2130" spans="1:3" x14ac:dyDescent="0.15">
      <c r="A2130">
        <v>21.26</v>
      </c>
      <c r="B2130">
        <f t="shared" si="66"/>
        <v>3.696846788245125</v>
      </c>
      <c r="C2130">
        <f t="shared" si="67"/>
        <v>0.4285436166564186</v>
      </c>
    </row>
    <row r="2131" spans="1:3" x14ac:dyDescent="0.15">
      <c r="A2131">
        <v>21.270000000000003</v>
      </c>
      <c r="B2131">
        <f t="shared" si="66"/>
        <v>3.7322309960347169</v>
      </c>
      <c r="C2131">
        <f t="shared" si="67"/>
        <v>0.42457503250842626</v>
      </c>
    </row>
    <row r="2132" spans="1:3" x14ac:dyDescent="0.15">
      <c r="A2132">
        <v>21.28</v>
      </c>
      <c r="B2132">
        <f t="shared" si="66"/>
        <v>3.7679686938985935</v>
      </c>
      <c r="C2132">
        <f t="shared" si="67"/>
        <v>0.42064620460263608</v>
      </c>
    </row>
    <row r="2133" spans="1:3" x14ac:dyDescent="0.15">
      <c r="A2133">
        <v>21.290000000000003</v>
      </c>
      <c r="B2133">
        <f t="shared" si="66"/>
        <v>3.8040633991074295</v>
      </c>
      <c r="C2133">
        <f t="shared" si="67"/>
        <v>0.4167567389026397</v>
      </c>
    </row>
    <row r="2134" spans="1:3" x14ac:dyDescent="0.15">
      <c r="A2134">
        <v>21.3</v>
      </c>
      <c r="B2134">
        <f t="shared" si="66"/>
        <v>3.840518664041713</v>
      </c>
      <c r="C2134">
        <f t="shared" si="67"/>
        <v>0.4129062453249715</v>
      </c>
    </row>
    <row r="2135" spans="1:3" x14ac:dyDescent="0.15">
      <c r="A2135">
        <v>21.310000000000002</v>
      </c>
      <c r="B2135">
        <f t="shared" si="66"/>
        <v>3.8773380765404597</v>
      </c>
      <c r="C2135">
        <f t="shared" si="67"/>
        <v>0.40909433770005577</v>
      </c>
    </row>
    <row r="2136" spans="1:3" x14ac:dyDescent="0.15">
      <c r="A2136">
        <v>21.32</v>
      </c>
      <c r="B2136">
        <f t="shared" si="66"/>
        <v>3.9145252602534031</v>
      </c>
      <c r="C2136">
        <f t="shared" si="67"/>
        <v>0.40532063373354754</v>
      </c>
    </row>
    <row r="2137" spans="1:3" x14ac:dyDescent="0.15">
      <c r="A2137">
        <v>21.330000000000002</v>
      </c>
      <c r="B2137">
        <f t="shared" si="66"/>
        <v>3.9520838749966853</v>
      </c>
      <c r="C2137">
        <f t="shared" si="67"/>
        <v>0.40158475496806245</v>
      </c>
    </row>
    <row r="2138" spans="1:3" x14ac:dyDescent="0.15">
      <c r="A2138">
        <v>21.340000000000003</v>
      </c>
      <c r="B2138">
        <f t="shared" si="66"/>
        <v>3.9900176171120982</v>
      </c>
      <c r="C2138">
        <f t="shared" si="67"/>
        <v>0.39788632674529256</v>
      </c>
    </row>
    <row r="2139" spans="1:3" x14ac:dyDescent="0.15">
      <c r="A2139">
        <v>21.35</v>
      </c>
      <c r="B2139">
        <f t="shared" si="66"/>
        <v>4.0283302198298978</v>
      </c>
      <c r="C2139">
        <f t="shared" si="67"/>
        <v>0.39422497816850399</v>
      </c>
    </row>
    <row r="2140" spans="1:3" x14ac:dyDescent="0.15">
      <c r="A2140">
        <v>21.360000000000003</v>
      </c>
      <c r="B2140">
        <f t="shared" si="66"/>
        <v>4.067025453635229</v>
      </c>
      <c r="C2140">
        <f t="shared" si="67"/>
        <v>0.39060034206541255</v>
      </c>
    </row>
    <row r="2141" spans="1:3" x14ac:dyDescent="0.15">
      <c r="A2141">
        <v>21.37</v>
      </c>
      <c r="B2141">
        <f t="shared" si="66"/>
        <v>4.1061071266382028</v>
      </c>
      <c r="C2141">
        <f t="shared" si="67"/>
        <v>0.38701205495143415</v>
      </c>
    </row>
    <row r="2142" spans="1:3" x14ac:dyDescent="0.15">
      <c r="A2142">
        <v>21.380000000000003</v>
      </c>
      <c r="B2142">
        <f t="shared" si="66"/>
        <v>4.1455790849476539</v>
      </c>
      <c r="C2142">
        <f t="shared" si="67"/>
        <v>0.38345975699330603</v>
      </c>
    </row>
    <row r="2143" spans="1:3" x14ac:dyDescent="0.15">
      <c r="A2143">
        <v>21.39</v>
      </c>
      <c r="B2143">
        <f t="shared" si="66"/>
        <v>4.1854452130486193</v>
      </c>
      <c r="C2143">
        <f t="shared" si="67"/>
        <v>0.37994309197307508</v>
      </c>
    </row>
    <row r="2144" spans="1:3" x14ac:dyDescent="0.15">
      <c r="A2144">
        <v>21.400000000000002</v>
      </c>
      <c r="B2144">
        <f t="shared" si="66"/>
        <v>4.2257094341835755</v>
      </c>
      <c r="C2144">
        <f t="shared" si="67"/>
        <v>0.37646170725245026</v>
      </c>
    </row>
    <row r="2145" spans="1:3" x14ac:dyDescent="0.15">
      <c r="A2145">
        <v>21.410000000000004</v>
      </c>
      <c r="B2145">
        <f t="shared" si="66"/>
        <v>4.2663757107374662</v>
      </c>
      <c r="C2145">
        <f t="shared" si="67"/>
        <v>0.37301525373751487</v>
      </c>
    </row>
    <row r="2146" spans="1:3" x14ac:dyDescent="0.15">
      <c r="A2146">
        <v>21.42</v>
      </c>
      <c r="B2146">
        <f t="shared" si="66"/>
        <v>4.3074480446265602</v>
      </c>
      <c r="C2146">
        <f t="shared" si="67"/>
        <v>0.36960338584379576</v>
      </c>
    </row>
    <row r="2147" spans="1:3" x14ac:dyDescent="0.15">
      <c r="A2147">
        <v>21.430000000000003</v>
      </c>
      <c r="B2147">
        <f t="shared" si="66"/>
        <v>4.3489304776911855</v>
      </c>
      <c r="C2147">
        <f t="shared" si="67"/>
        <v>0.36622576146168584</v>
      </c>
    </row>
    <row r="2148" spans="1:3" x14ac:dyDescent="0.15">
      <c r="A2148">
        <v>21.44</v>
      </c>
      <c r="B2148">
        <f t="shared" si="66"/>
        <v>4.3908270920923611</v>
      </c>
      <c r="C2148">
        <f t="shared" si="67"/>
        <v>0.36288204192221624</v>
      </c>
    </row>
    <row r="2149" spans="1:3" x14ac:dyDescent="0.15">
      <c r="A2149">
        <v>21.450000000000003</v>
      </c>
      <c r="B2149">
        <f t="shared" si="66"/>
        <v>4.4331420107123796</v>
      </c>
      <c r="C2149">
        <f t="shared" si="67"/>
        <v>0.35957189196317524</v>
      </c>
    </row>
    <row r="2150" spans="1:3" x14ac:dyDescent="0.15">
      <c r="A2150">
        <v>21.46</v>
      </c>
      <c r="B2150">
        <f t="shared" si="66"/>
        <v>4.4758793975593703</v>
      </c>
      <c r="C2150">
        <f t="shared" si="67"/>
        <v>0.35629497969557017</v>
      </c>
    </row>
    <row r="2151" spans="1:3" x14ac:dyDescent="0.15">
      <c r="A2151">
        <v>21.470000000000002</v>
      </c>
      <c r="B2151">
        <f t="shared" si="66"/>
        <v>4.5190434581758909</v>
      </c>
      <c r="C2151">
        <f t="shared" si="67"/>
        <v>0.35305097657042911</v>
      </c>
    </row>
    <row r="2152" spans="1:3" x14ac:dyDescent="0.15">
      <c r="A2152">
        <v>21.48</v>
      </c>
      <c r="B2152">
        <f t="shared" si="66"/>
        <v>4.5626384400515771</v>
      </c>
      <c r="C2152">
        <f t="shared" si="67"/>
        <v>0.34983955734593947</v>
      </c>
    </row>
    <row r="2153" spans="1:3" x14ac:dyDescent="0.15">
      <c r="A2153">
        <v>21.490000000000002</v>
      </c>
      <c r="B2153">
        <f t="shared" si="66"/>
        <v>4.6066686330398952</v>
      </c>
      <c r="C2153">
        <f t="shared" si="67"/>
        <v>0.34666040005491949</v>
      </c>
    </row>
    <row r="2154" spans="1:3" x14ac:dyDescent="0.15">
      <c r="A2154">
        <v>21.500000000000004</v>
      </c>
      <c r="B2154">
        <f t="shared" si="66"/>
        <v>4.6511383697790443</v>
      </c>
      <c r="C2154">
        <f t="shared" si="67"/>
        <v>0.34351318597262032</v>
      </c>
    </row>
    <row r="2155" spans="1:3" x14ac:dyDescent="0.15">
      <c r="A2155">
        <v>21.51</v>
      </c>
      <c r="B2155">
        <f t="shared" si="66"/>
        <v>4.6960520261170329</v>
      </c>
      <c r="C2155">
        <f t="shared" si="67"/>
        <v>0.34039759958485455</v>
      </c>
    </row>
    <row r="2156" spans="1:3" x14ac:dyDescent="0.15">
      <c r="A2156">
        <v>21.520000000000003</v>
      </c>
      <c r="B2156">
        <f t="shared" si="66"/>
        <v>4.7414140215409875</v>
      </c>
      <c r="C2156">
        <f t="shared" si="67"/>
        <v>0.33731332855644913</v>
      </c>
    </row>
    <row r="2157" spans="1:3" x14ac:dyDescent="0.15">
      <c r="A2157">
        <v>21.53</v>
      </c>
      <c r="B2157">
        <f t="shared" si="66"/>
        <v>4.7872288196107267</v>
      </c>
      <c r="C2157">
        <f t="shared" si="67"/>
        <v>0.33426006370001871</v>
      </c>
    </row>
    <row r="2158" spans="1:3" x14ac:dyDescent="0.15">
      <c r="A2158">
        <v>21.540000000000003</v>
      </c>
      <c r="B2158">
        <f t="shared" si="66"/>
        <v>4.8335009283966448</v>
      </c>
      <c r="C2158">
        <f t="shared" si="67"/>
        <v>0.33123749894505644</v>
      </c>
    </row>
    <row r="2159" spans="1:3" x14ac:dyDescent="0.15">
      <c r="A2159">
        <v>21.55</v>
      </c>
      <c r="B2159">
        <f t="shared" si="66"/>
        <v>4.8802349009219403</v>
      </c>
      <c r="C2159">
        <f t="shared" si="67"/>
        <v>0.32824533130734002</v>
      </c>
    </row>
    <row r="2160" spans="1:3" x14ac:dyDescent="0.15">
      <c r="A2160">
        <v>21.560000000000002</v>
      </c>
      <c r="B2160">
        <f t="shared" si="66"/>
        <v>4.9274353356092488</v>
      </c>
      <c r="C2160">
        <f t="shared" si="67"/>
        <v>0.32528326085864878</v>
      </c>
    </row>
    <row r="2161" spans="1:3" x14ac:dyDescent="0.15">
      <c r="A2161">
        <v>21.57</v>
      </c>
      <c r="B2161">
        <f t="shared" si="66"/>
        <v>4.9751068767317044</v>
      </c>
      <c r="C2161">
        <f t="shared" si="67"/>
        <v>0.32235099069678974</v>
      </c>
    </row>
    <row r="2162" spans="1:3" x14ac:dyDescent="0.15">
      <c r="A2162">
        <v>21.580000000000002</v>
      </c>
      <c r="B2162">
        <f t="shared" si="66"/>
        <v>5.0232542148684844</v>
      </c>
      <c r="C2162">
        <f t="shared" si="67"/>
        <v>0.31944822691592922</v>
      </c>
    </row>
    <row r="2163" spans="1:3" x14ac:dyDescent="0.15">
      <c r="A2163">
        <v>21.590000000000003</v>
      </c>
      <c r="B2163">
        <f t="shared" si="66"/>
        <v>5.0718820873648811</v>
      </c>
      <c r="C2163">
        <f t="shared" si="67"/>
        <v>0.31657467857722749</v>
      </c>
    </row>
    <row r="2164" spans="1:3" x14ac:dyDescent="0.15">
      <c r="A2164">
        <v>21.6</v>
      </c>
      <c r="B2164">
        <f t="shared" si="66"/>
        <v>5.1209952787969408</v>
      </c>
      <c r="C2164">
        <f t="shared" si="67"/>
        <v>0.31373005767977308</v>
      </c>
    </row>
    <row r="2165" spans="1:3" x14ac:dyDescent="0.15">
      <c r="A2165">
        <v>21.610000000000003</v>
      </c>
      <c r="B2165">
        <f t="shared" si="66"/>
        <v>5.1705986214407149</v>
      </c>
      <c r="C2165">
        <f t="shared" si="67"/>
        <v>0.31091407913181429</v>
      </c>
    </row>
    <row r="2166" spans="1:3" x14ac:dyDescent="0.15">
      <c r="A2166">
        <v>21.62</v>
      </c>
      <c r="B2166">
        <f t="shared" si="66"/>
        <v>5.2206969957461773</v>
      </c>
      <c r="C2166">
        <f t="shared" si="67"/>
        <v>0.30812646072228522</v>
      </c>
    </row>
    <row r="2167" spans="1:3" x14ac:dyDescent="0.15">
      <c r="A2167">
        <v>21.630000000000003</v>
      </c>
      <c r="B2167">
        <f t="shared" si="66"/>
        <v>5.2712953308158363</v>
      </c>
      <c r="C2167">
        <f t="shared" si="67"/>
        <v>0.30536692309262292</v>
      </c>
    </row>
    <row r="2168" spans="1:3" x14ac:dyDescent="0.15">
      <c r="A2168">
        <v>21.64</v>
      </c>
      <c r="B2168">
        <f t="shared" si="66"/>
        <v>5.3223986048881109</v>
      </c>
      <c r="C2168">
        <f t="shared" si="67"/>
        <v>0.30263518970887343</v>
      </c>
    </row>
    <row r="2169" spans="1:3" x14ac:dyDescent="0.15">
      <c r="A2169">
        <v>21.650000000000002</v>
      </c>
      <c r="B2169">
        <f t="shared" si="66"/>
        <v>5.3740118458254953</v>
      </c>
      <c r="C2169">
        <f t="shared" si="67"/>
        <v>0.29993098683408403</v>
      </c>
    </row>
    <row r="2170" spans="1:3" x14ac:dyDescent="0.15">
      <c r="A2170">
        <v>21.660000000000004</v>
      </c>
      <c r="B2170">
        <f t="shared" si="66"/>
        <v>5.4261401316075739</v>
      </c>
      <c r="C2170">
        <f t="shared" si="67"/>
        <v>0.2972540435009785</v>
      </c>
    </row>
    <row r="2171" spans="1:3" x14ac:dyDescent="0.15">
      <c r="A2171">
        <v>21.67</v>
      </c>
      <c r="B2171">
        <f t="shared" si="66"/>
        <v>5.4787885908289269</v>
      </c>
      <c r="C2171">
        <f t="shared" si="67"/>
        <v>0.29460409148491334</v>
      </c>
    </row>
    <row r="2172" spans="1:3" x14ac:dyDescent="0.15">
      <c r="A2172">
        <v>21.680000000000003</v>
      </c>
      <c r="B2172">
        <f t="shared" si="66"/>
        <v>5.5319624032019776</v>
      </c>
      <c r="C2172">
        <f t="shared" si="67"/>
        <v>0.29198086527711203</v>
      </c>
    </row>
    <row r="2173" spans="1:3" x14ac:dyDescent="0.15">
      <c r="A2173">
        <v>21.69</v>
      </c>
      <c r="B2173">
        <f t="shared" si="66"/>
        <v>5.5856668000648302</v>
      </c>
      <c r="C2173">
        <f t="shared" si="67"/>
        <v>0.28938410205817439</v>
      </c>
    </row>
    <row r="2174" spans="1:3" x14ac:dyDescent="0.15">
      <c r="A2174">
        <v>21.700000000000003</v>
      </c>
      <c r="B2174">
        <f t="shared" si="66"/>
        <v>5.6399070648941461</v>
      </c>
      <c r="C2174">
        <f t="shared" si="67"/>
        <v>0.28681354167185924</v>
      </c>
    </row>
    <row r="2175" spans="1:3" x14ac:dyDescent="0.15">
      <c r="A2175">
        <v>21.71</v>
      </c>
      <c r="B2175">
        <f t="shared" si="66"/>
        <v>5.694688533823105</v>
      </c>
      <c r="C2175">
        <f t="shared" si="67"/>
        <v>0.28426892659913716</v>
      </c>
    </row>
    <row r="2176" spans="1:3" x14ac:dyDescent="0.15">
      <c r="A2176">
        <v>21.720000000000002</v>
      </c>
      <c r="B2176">
        <f t="shared" si="66"/>
        <v>5.7500165961645093</v>
      </c>
      <c r="C2176">
        <f t="shared" si="67"/>
        <v>0.28175000193251104</v>
      </c>
    </row>
    <row r="2177" spans="1:3" x14ac:dyDescent="0.15">
      <c r="A2177">
        <v>21.73</v>
      </c>
      <c r="B2177">
        <f t="shared" si="66"/>
        <v>5.8058966949390731</v>
      </c>
      <c r="C2177">
        <f t="shared" si="67"/>
        <v>0.2792565153506022</v>
      </c>
    </row>
    <row r="2178" spans="1:3" x14ac:dyDescent="0.15">
      <c r="A2178">
        <v>21.740000000000002</v>
      </c>
      <c r="B2178">
        <f t="shared" si="66"/>
        <v>5.8623343274089494</v>
      </c>
      <c r="C2178">
        <f t="shared" si="67"/>
        <v>0.27678821709299906</v>
      </c>
    </row>
    <row r="2179" spans="1:3" x14ac:dyDescent="0.15">
      <c r="A2179">
        <v>21.750000000000004</v>
      </c>
      <c r="B2179">
        <f t="shared" si="66"/>
        <v>5.9193350456165517</v>
      </c>
      <c r="C2179">
        <f t="shared" si="67"/>
        <v>0.27434485993536639</v>
      </c>
    </row>
    <row r="2180" spans="1:3" x14ac:dyDescent="0.15">
      <c r="A2180">
        <v>21.76</v>
      </c>
      <c r="B2180">
        <f t="shared" si="66"/>
        <v>5.9769044569287173</v>
      </c>
      <c r="C2180">
        <f t="shared" si="67"/>
        <v>0.27192619916481275</v>
      </c>
    </row>
    <row r="2181" spans="1:3" x14ac:dyDescent="0.15">
      <c r="A2181">
        <v>21.770000000000003</v>
      </c>
      <c r="B2181">
        <f t="shared" si="66"/>
        <v>6.0350482245862604</v>
      </c>
      <c r="C2181">
        <f t="shared" si="67"/>
        <v>0.26953199255551341</v>
      </c>
    </row>
    <row r="2182" spans="1:3" x14ac:dyDescent="0.15">
      <c r="A2182">
        <v>21.78</v>
      </c>
      <c r="B2182">
        <f t="shared" ref="B2182:B2245" si="68">(1+($A$2-$B$2*C2181)*$E$2)*B2181</f>
        <v>6.093772068258982</v>
      </c>
      <c r="C2182">
        <f t="shared" ref="C2182:C2245" si="69">(1+($C$2*B2181-$D$2)*$E$2)*C2181</f>
        <v>0.26716200034458654</v>
      </c>
    </row>
    <row r="2183" spans="1:3" x14ac:dyDescent="0.15">
      <c r="A2183">
        <v>21.790000000000003</v>
      </c>
      <c r="B2183">
        <f t="shared" si="68"/>
        <v>6.1530817646061724</v>
      </c>
      <c r="C2183">
        <f t="shared" si="69"/>
        <v>0.26481598520822069</v>
      </c>
    </row>
    <row r="2184" spans="1:3" x14ac:dyDescent="0.15">
      <c r="A2184">
        <v>21.8</v>
      </c>
      <c r="B2184">
        <f t="shared" si="68"/>
        <v>6.2129831478426727</v>
      </c>
      <c r="C2184">
        <f t="shared" si="69"/>
        <v>0.26249371223805068</v>
      </c>
    </row>
    <row r="2185" spans="1:3" x14ac:dyDescent="0.15">
      <c r="A2185">
        <v>21.810000000000002</v>
      </c>
      <c r="B2185">
        <f t="shared" si="68"/>
        <v>6.2734821103105505</v>
      </c>
      <c r="C2185">
        <f t="shared" si="69"/>
        <v>0.26019494891778011</v>
      </c>
    </row>
    <row r="2186" spans="1:3" x14ac:dyDescent="0.15">
      <c r="A2186">
        <v>21.82</v>
      </c>
      <c r="B2186">
        <f t="shared" si="68"/>
        <v>6.3345846030564266</v>
      </c>
      <c r="C2186">
        <f t="shared" si="69"/>
        <v>0.2579194651000481</v>
      </c>
    </row>
    <row r="2187" spans="1:3" x14ac:dyDescent="0.15">
      <c r="A2187">
        <v>21.830000000000002</v>
      </c>
      <c r="B2187">
        <f t="shared" si="68"/>
        <v>6.3962966364145402</v>
      </c>
      <c r="C2187">
        <f t="shared" si="69"/>
        <v>0.25566703298353788</v>
      </c>
    </row>
    <row r="2188" spans="1:3" x14ac:dyDescent="0.15">
      <c r="A2188">
        <v>21.840000000000003</v>
      </c>
      <c r="B2188">
        <f t="shared" si="68"/>
        <v>6.4586242805955703</v>
      </c>
      <c r="C2188">
        <f t="shared" si="69"/>
        <v>0.25343742709032541</v>
      </c>
    </row>
    <row r="2189" spans="1:3" x14ac:dyDescent="0.15">
      <c r="A2189">
        <v>21.85</v>
      </c>
      <c r="B2189">
        <f t="shared" si="68"/>
        <v>6.5215736662813084</v>
      </c>
      <c r="C2189">
        <f t="shared" si="69"/>
        <v>0.25123042424346559</v>
      </c>
    </row>
    <row r="2190" spans="1:3" x14ac:dyDescent="0.15">
      <c r="A2190">
        <v>21.860000000000003</v>
      </c>
      <c r="B2190">
        <f t="shared" si="68"/>
        <v>6.5851509852252068</v>
      </c>
      <c r="C2190">
        <f t="shared" si="69"/>
        <v>0.24904580354481393</v>
      </c>
    </row>
    <row r="2191" spans="1:3" x14ac:dyDescent="0.15">
      <c r="A2191">
        <v>21.87</v>
      </c>
      <c r="B2191">
        <f t="shared" si="68"/>
        <v>6.6493624908588789</v>
      </c>
      <c r="C2191">
        <f t="shared" si="69"/>
        <v>0.24688334635308168</v>
      </c>
    </row>
    <row r="2192" spans="1:3" x14ac:dyDescent="0.15">
      <c r="A2192">
        <v>21.880000000000003</v>
      </c>
      <c r="B2192">
        <f t="shared" si="68"/>
        <v>6.7142144989046093</v>
      </c>
      <c r="C2192">
        <f t="shared" si="69"/>
        <v>0.24474283626212243</v>
      </c>
    </row>
    <row r="2193" spans="1:3" x14ac:dyDescent="0.15">
      <c r="A2193">
        <v>21.89</v>
      </c>
      <c r="B2193">
        <f t="shared" si="68"/>
        <v>6.7797133879939206</v>
      </c>
      <c r="C2193">
        <f t="shared" si="69"/>
        <v>0.24262405907944803</v>
      </c>
    </row>
    <row r="2194" spans="1:3" x14ac:dyDescent="0.15">
      <c r="A2194">
        <v>21.900000000000002</v>
      </c>
      <c r="B2194">
        <f t="shared" si="68"/>
        <v>6.84586560029227</v>
      </c>
      <c r="C2194">
        <f t="shared" si="69"/>
        <v>0.24052680280497163</v>
      </c>
    </row>
    <row r="2195" spans="1:3" x14ac:dyDescent="0.15">
      <c r="A2195">
        <v>21.910000000000004</v>
      </c>
      <c r="B2195">
        <f t="shared" si="68"/>
        <v>6.9126776421299221</v>
      </c>
      <c r="C2195">
        <f t="shared" si="69"/>
        <v>0.23845085760997609</v>
      </c>
    </row>
    <row r="2196" spans="1:3" x14ac:dyDescent="0.15">
      <c r="A2196">
        <v>21.92</v>
      </c>
      <c r="B2196">
        <f t="shared" si="68"/>
        <v>6.9801560846390736</v>
      </c>
      <c r="C2196">
        <f t="shared" si="69"/>
        <v>0.23639601581630579</v>
      </c>
    </row>
    <row r="2197" spans="1:3" x14ac:dyDescent="0.15">
      <c r="A2197">
        <v>21.930000000000003</v>
      </c>
      <c r="B2197">
        <f t="shared" si="68"/>
        <v>7.0483075643972803</v>
      </c>
      <c r="C2197">
        <f t="shared" si="69"/>
        <v>0.23436207187577965</v>
      </c>
    </row>
    <row r="2198" spans="1:3" x14ac:dyDescent="0.15">
      <c r="A2198">
        <v>21.94</v>
      </c>
      <c r="B2198">
        <f t="shared" si="68"/>
        <v>7.1171387840772429</v>
      </c>
      <c r="C2198">
        <f t="shared" si="69"/>
        <v>0.23234882234982382</v>
      </c>
    </row>
    <row r="2199" spans="1:3" x14ac:dyDescent="0.15">
      <c r="A2199">
        <v>21.950000000000003</v>
      </c>
      <c r="B2199">
        <f t="shared" si="68"/>
        <v>7.186656513103034</v>
      </c>
      <c r="C2199">
        <f t="shared" si="69"/>
        <v>0.2303560658893217</v>
      </c>
    </row>
    <row r="2200" spans="1:3" x14ac:dyDescent="0.15">
      <c r="A2200">
        <v>21.96</v>
      </c>
      <c r="B2200">
        <f t="shared" si="68"/>
        <v>7.256867588312808</v>
      </c>
      <c r="C2200">
        <f t="shared" si="69"/>
        <v>0.22838360321467974</v>
      </c>
    </row>
    <row r="2201" spans="1:3" x14ac:dyDescent="0.15">
      <c r="A2201">
        <v>21.970000000000002</v>
      </c>
      <c r="B2201">
        <f t="shared" si="68"/>
        <v>7.3277789146280661</v>
      </c>
      <c r="C2201">
        <f t="shared" si="69"/>
        <v>0.22643123709610707</v>
      </c>
    </row>
    <row r="2202" spans="1:3" x14ac:dyDescent="0.15">
      <c r="A2202">
        <v>21.98</v>
      </c>
      <c r="B2202">
        <f t="shared" si="68"/>
        <v>7.3993974657295407</v>
      </c>
      <c r="C2202">
        <f t="shared" si="69"/>
        <v>0.2244987723341072</v>
      </c>
    </row>
    <row r="2203" spans="1:3" x14ac:dyDescent="0.15">
      <c r="A2203">
        <v>21.990000000000002</v>
      </c>
      <c r="B2203">
        <f t="shared" si="68"/>
        <v>7.4717302847397677</v>
      </c>
      <c r="C2203">
        <f t="shared" si="69"/>
        <v>0.2225860157401798</v>
      </c>
    </row>
    <row r="2204" spans="1:3" x14ac:dyDescent="0.15">
      <c r="A2204">
        <v>22.000000000000004</v>
      </c>
      <c r="B2204">
        <f t="shared" si="68"/>
        <v>7.5447844849124008</v>
      </c>
      <c r="C2204">
        <f t="shared" si="69"/>
        <v>0.22069277611773111</v>
      </c>
    </row>
    <row r="2205" spans="1:3" x14ac:dyDescent="0.15">
      <c r="A2205">
        <v>22.01</v>
      </c>
      <c r="B2205">
        <f t="shared" si="68"/>
        <v>7.6185672503283399</v>
      </c>
      <c r="C2205">
        <f t="shared" si="69"/>
        <v>0.21881886424319086</v>
      </c>
    </row>
    <row r="2206" spans="1:3" x14ac:dyDescent="0.15">
      <c r="A2206">
        <v>22.020000000000003</v>
      </c>
      <c r="B2206">
        <f t="shared" si="68"/>
        <v>7.6930858365987467</v>
      </c>
      <c r="C2206">
        <f t="shared" si="69"/>
        <v>0.21696409284733439</v>
      </c>
    </row>
    <row r="2207" spans="1:3" x14ac:dyDescent="0.15">
      <c r="A2207">
        <v>22.03</v>
      </c>
      <c r="B2207">
        <f t="shared" si="68"/>
        <v>7.7683475715750001</v>
      </c>
      <c r="C2207">
        <f t="shared" si="69"/>
        <v>0.21512827659680792</v>
      </c>
    </row>
    <row r="2208" spans="1:3" x14ac:dyDescent="0.15">
      <c r="A2208">
        <v>22.040000000000003</v>
      </c>
      <c r="B2208">
        <f t="shared" si="68"/>
        <v>7.8443598560656724</v>
      </c>
      <c r="C2208">
        <f t="shared" si="69"/>
        <v>0.21331123207585542</v>
      </c>
    </row>
    <row r="2209" spans="1:3" x14ac:dyDescent="0.15">
      <c r="A2209">
        <v>22.05</v>
      </c>
      <c r="B2209">
        <f t="shared" si="68"/>
        <v>7.9211301645605854</v>
      </c>
      <c r="C2209">
        <f t="shared" si="69"/>
        <v>0.21151277776824562</v>
      </c>
    </row>
    <row r="2210" spans="1:3" x14ac:dyDescent="0.15">
      <c r="A2210">
        <v>22.060000000000002</v>
      </c>
      <c r="B2210">
        <f t="shared" si="68"/>
        <v>7.9986660459620218</v>
      </c>
      <c r="C2210">
        <f t="shared" si="69"/>
        <v>0.20973273403939716</v>
      </c>
    </row>
    <row r="2211" spans="1:3" x14ac:dyDescent="0.15">
      <c r="A2211">
        <v>22.07</v>
      </c>
      <c r="B2211">
        <f t="shared" si="68"/>
        <v>8.0769751243231553</v>
      </c>
      <c r="C2211">
        <f t="shared" si="69"/>
        <v>0.20797092311870072</v>
      </c>
    </row>
    <row r="2212" spans="1:3" x14ac:dyDescent="0.15">
      <c r="A2212">
        <v>22.080000000000002</v>
      </c>
      <c r="B2212">
        <f t="shared" si="68"/>
        <v>8.1560650995937749</v>
      </c>
      <c r="C2212">
        <f t="shared" si="69"/>
        <v>0.20622716908203617</v>
      </c>
    </row>
    <row r="2213" spans="1:3" x14ac:dyDescent="0.15">
      <c r="A2213">
        <v>22.090000000000003</v>
      </c>
      <c r="B2213">
        <f t="shared" si="68"/>
        <v>8.2359437483733746</v>
      </c>
      <c r="C2213">
        <f t="shared" si="69"/>
        <v>0.2045012978344834</v>
      </c>
    </row>
    <row r="2214" spans="1:3" x14ac:dyDescent="0.15">
      <c r="A2214">
        <v>22.1</v>
      </c>
      <c r="B2214">
        <f t="shared" si="68"/>
        <v>8.3166189246716744</v>
      </c>
      <c r="C2214">
        <f t="shared" si="69"/>
        <v>0.20279313709322541</v>
      </c>
    </row>
    <row r="2215" spans="1:3" x14ac:dyDescent="0.15">
      <c r="A2215">
        <v>22.110000000000003</v>
      </c>
      <c r="B2215">
        <f t="shared" si="68"/>
        <v>8.3980985606766492</v>
      </c>
      <c r="C2215">
        <f t="shared" si="69"/>
        <v>0.20110251637064178</v>
      </c>
    </row>
    <row r="2216" spans="1:3" x14ac:dyDescent="0.15">
      <c r="A2216">
        <v>22.12</v>
      </c>
      <c r="B2216">
        <f t="shared" si="68"/>
        <v>8.4803906675301359</v>
      </c>
      <c r="C2216">
        <f t="shared" si="69"/>
        <v>0.1994292669575915</v>
      </c>
    </row>
    <row r="2217" spans="1:3" x14ac:dyDescent="0.15">
      <c r="A2217">
        <v>22.130000000000003</v>
      </c>
      <c r="B2217">
        <f t="shared" si="68"/>
        <v>8.563503336111097</v>
      </c>
      <c r="C2217">
        <f t="shared" si="69"/>
        <v>0.19777322190688348</v>
      </c>
    </row>
    <row r="2218" spans="1:3" x14ac:dyDescent="0.15">
      <c r="A2218">
        <v>22.14</v>
      </c>
      <c r="B2218">
        <f t="shared" si="68"/>
        <v>8.6474447378266142</v>
      </c>
      <c r="C2218">
        <f t="shared" si="69"/>
        <v>0.19613421601693326</v>
      </c>
    </row>
    <row r="2219" spans="1:3" x14ac:dyDescent="0.15">
      <c r="A2219">
        <v>22.150000000000002</v>
      </c>
      <c r="B2219">
        <f t="shared" si="68"/>
        <v>8.7322231254106768</v>
      </c>
      <c r="C2219">
        <f t="shared" si="69"/>
        <v>0.19451208581560459</v>
      </c>
    </row>
    <row r="2220" spans="1:3" x14ac:dyDescent="0.15">
      <c r="A2220">
        <v>22.160000000000004</v>
      </c>
      <c r="B2220">
        <f t="shared" si="68"/>
        <v>8.8178468337308527</v>
      </c>
      <c r="C2220">
        <f t="shared" si="69"/>
        <v>0.19290666954423472</v>
      </c>
    </row>
    <row r="2221" spans="1:3" x14ac:dyDescent="0.15">
      <c r="A2221">
        <v>22.17</v>
      </c>
      <c r="B2221">
        <f t="shared" si="68"/>
        <v>8.9043242806029141</v>
      </c>
      <c r="C2221">
        <f t="shared" si="69"/>
        <v>0.1913178071418416</v>
      </c>
    </row>
    <row r="2222" spans="1:3" x14ac:dyDescent="0.15">
      <c r="A2222">
        <v>22.180000000000003</v>
      </c>
      <c r="B2222">
        <f t="shared" si="68"/>
        <v>8.9916639676134995</v>
      </c>
      <c r="C2222">
        <f t="shared" si="69"/>
        <v>0.18974534022951214</v>
      </c>
    </row>
    <row r="2223" spans="1:3" x14ac:dyDescent="0.15">
      <c r="A2223">
        <v>22.19</v>
      </c>
      <c r="B2223">
        <f t="shared" si="68"/>
        <v>9.0798744809508705</v>
      </c>
      <c r="C2223">
        <f t="shared" si="69"/>
        <v>0.18818911209496988</v>
      </c>
    </row>
    <row r="2224" spans="1:3" x14ac:dyDescent="0.15">
      <c r="A2224">
        <v>22.200000000000003</v>
      </c>
      <c r="B2224">
        <f t="shared" si="68"/>
        <v>9.1689644922438749</v>
      </c>
      <c r="C2224">
        <f t="shared" si="69"/>
        <v>0.18664896767732098</v>
      </c>
    </row>
    <row r="2225" spans="1:3" x14ac:dyDescent="0.15">
      <c r="A2225">
        <v>22.21</v>
      </c>
      <c r="B2225">
        <f t="shared" si="68"/>
        <v>9.258942759409166</v>
      </c>
      <c r="C2225">
        <f t="shared" si="69"/>
        <v>0.18512475355197722</v>
      </c>
    </row>
    <row r="2226" spans="1:3" x14ac:dyDescent="0.15">
      <c r="A2226">
        <v>22.220000000000002</v>
      </c>
      <c r="B2226">
        <f t="shared" si="68"/>
        <v>9.3498181275067704</v>
      </c>
      <c r="C2226">
        <f t="shared" si="69"/>
        <v>0.18361631791575495</v>
      </c>
    </row>
    <row r="2227" spans="1:3" x14ac:dyDescent="0.15">
      <c r="A2227">
        <v>22.23</v>
      </c>
      <c r="B2227">
        <f t="shared" si="68"/>
        <v>9.4415995296040833</v>
      </c>
      <c r="C2227">
        <f t="shared" si="69"/>
        <v>0.18212351057214834</v>
      </c>
    </row>
    <row r="2228" spans="1:3" x14ac:dyDescent="0.15">
      <c r="A2228">
        <v>22.240000000000002</v>
      </c>
      <c r="B2228">
        <f t="shared" si="68"/>
        <v>9.5342959876483775</v>
      </c>
      <c r="C2228">
        <f t="shared" si="69"/>
        <v>0.18064618291677645</v>
      </c>
    </row>
    <row r="2229" spans="1:3" x14ac:dyDescent="0.15">
      <c r="A2229">
        <v>22.250000000000004</v>
      </c>
      <c r="B2229">
        <f t="shared" si="68"/>
        <v>9.6279166133478942</v>
      </c>
      <c r="C2229">
        <f t="shared" si="69"/>
        <v>0.17918418792300217</v>
      </c>
    </row>
    <row r="2230" spans="1:3" x14ac:dyDescent="0.15">
      <c r="A2230">
        <v>22.26</v>
      </c>
      <c r="B2230">
        <f t="shared" si="68"/>
        <v>9.7224706090616202</v>
      </c>
      <c r="C2230">
        <f t="shared" si="69"/>
        <v>0.17773738012772278</v>
      </c>
    </row>
    <row r="2231" spans="1:3" x14ac:dyDescent="0.15">
      <c r="A2231">
        <v>22.270000000000003</v>
      </c>
      <c r="B2231">
        <f t="shared" si="68"/>
        <v>9.8179672686978137</v>
      </c>
      <c r="C2231">
        <f t="shared" si="69"/>
        <v>0.17630561561733021</v>
      </c>
    </row>
    <row r="2232" spans="1:3" x14ac:dyDescent="0.15">
      <c r="A2232">
        <v>22.28</v>
      </c>
      <c r="B2232">
        <f t="shared" si="68"/>
        <v>9.9144159786213724</v>
      </c>
      <c r="C2232">
        <f t="shared" si="69"/>
        <v>0.1748887520138406</v>
      </c>
    </row>
    <row r="2233" spans="1:3" x14ac:dyDescent="0.15">
      <c r="A2233">
        <v>22.290000000000003</v>
      </c>
      <c r="B2233">
        <f t="shared" si="68"/>
        <v>10.011826218570139</v>
      </c>
      <c r="C2233">
        <f t="shared" si="69"/>
        <v>0.17348664846119163</v>
      </c>
    </row>
    <row r="2234" spans="1:3" x14ac:dyDescent="0.15">
      <c r="A2234">
        <v>22.3</v>
      </c>
      <c r="B2234">
        <f t="shared" si="68"/>
        <v>10.110207562580204</v>
      </c>
      <c r="C2234">
        <f t="shared" si="69"/>
        <v>0.17209916561170682</v>
      </c>
    </row>
    <row r="2235" spans="1:3" x14ac:dyDescent="0.15">
      <c r="A2235">
        <v>22.310000000000002</v>
      </c>
      <c r="B2235">
        <f t="shared" si="68"/>
        <v>10.209569679920325</v>
      </c>
      <c r="C2235">
        <f t="shared" si="69"/>
        <v>0.17072616561272599</v>
      </c>
    </row>
    <row r="2236" spans="1:3" x14ac:dyDescent="0.15">
      <c r="A2236">
        <v>22.32</v>
      </c>
      <c r="B2236">
        <f t="shared" si="68"/>
        <v>10.30992233603552</v>
      </c>
      <c r="C2236">
        <f t="shared" si="69"/>
        <v>0.16936751209340048</v>
      </c>
    </row>
    <row r="2237" spans="1:3" x14ac:dyDescent="0.15">
      <c r="A2237">
        <v>22.330000000000002</v>
      </c>
      <c r="B2237">
        <f t="shared" si="68"/>
        <v>10.411275393499944</v>
      </c>
      <c r="C2237">
        <f t="shared" si="69"/>
        <v>0.16802307015165258</v>
      </c>
    </row>
    <row r="2238" spans="1:3" x14ac:dyDescent="0.15">
      <c r="A2238">
        <v>22.340000000000003</v>
      </c>
      <c r="B2238">
        <f t="shared" si="68"/>
        <v>10.513638812979131</v>
      </c>
      <c r="C2238">
        <f t="shared" si="69"/>
        <v>0.1666927063412981</v>
      </c>
    </row>
    <row r="2239" spans="1:3" x14ac:dyDescent="0.15">
      <c r="A2239">
        <v>22.35</v>
      </c>
      <c r="B2239">
        <f t="shared" si="68"/>
        <v>10.617022654201692</v>
      </c>
      <c r="C2239">
        <f t="shared" si="69"/>
        <v>0.16537628865933118</v>
      </c>
    </row>
    <row r="2240" spans="1:3" x14ac:dyDescent="0.15">
      <c r="A2240">
        <v>22.360000000000003</v>
      </c>
      <c r="B2240">
        <f t="shared" si="68"/>
        <v>10.721437076940546</v>
      </c>
      <c r="C2240">
        <f t="shared" si="69"/>
        <v>0.16407368653337065</v>
      </c>
    </row>
    <row r="2241" spans="1:3" x14ac:dyDescent="0.15">
      <c r="A2241">
        <v>22.37</v>
      </c>
      <c r="B2241">
        <f t="shared" si="68"/>
        <v>10.826892342003802</v>
      </c>
      <c r="C2241">
        <f t="shared" si="69"/>
        <v>0.16278477080926679</v>
      </c>
    </row>
    <row r="2242" spans="1:3" x14ac:dyDescent="0.15">
      <c r="A2242">
        <v>22.380000000000003</v>
      </c>
      <c r="B2242">
        <f t="shared" si="68"/>
        <v>10.933398812235371</v>
      </c>
      <c r="C2242">
        <f t="shared" si="69"/>
        <v>0.16150941373886807</v>
      </c>
    </row>
    <row r="2243" spans="1:3" x14ac:dyDescent="0.15">
      <c r="A2243">
        <v>22.39</v>
      </c>
      <c r="B2243">
        <f t="shared" si="68"/>
        <v>11.040966953525388</v>
      </c>
      <c r="C2243">
        <f t="shared" si="69"/>
        <v>0.16024748896794688</v>
      </c>
    </row>
    <row r="2244" spans="1:3" x14ac:dyDescent="0.15">
      <c r="A2244">
        <v>22.400000000000002</v>
      </c>
      <c r="B2244">
        <f t="shared" si="68"/>
        <v>11.149607335830561</v>
      </c>
      <c r="C2244">
        <f t="shared" si="69"/>
        <v>0.15899887152428352</v>
      </c>
    </row>
    <row r="2245" spans="1:3" x14ac:dyDescent="0.15">
      <c r="A2245">
        <v>22.410000000000004</v>
      </c>
      <c r="B2245">
        <f t="shared" si="68"/>
        <v>11.259330634204531</v>
      </c>
      <c r="C2245">
        <f t="shared" si="69"/>
        <v>0.15776343780590787</v>
      </c>
    </row>
    <row r="2246" spans="1:3" x14ac:dyDescent="0.15">
      <c r="A2246">
        <v>22.42</v>
      </c>
      <c r="B2246">
        <f t="shared" ref="B2246:B2309" si="70">(1+($A$2-$B$2*C2245)*$E$2)*B2245</f>
        <v>11.370147629838332</v>
      </c>
      <c r="C2246">
        <f t="shared" ref="C2246:C2309" si="71">(1+($C$2*B2245-$D$2)*$E$2)*C2245</f>
        <v>0.1565410655694979</v>
      </c>
    </row>
    <row r="2247" spans="1:3" x14ac:dyDescent="0.15">
      <c r="A2247">
        <v>22.430000000000003</v>
      </c>
      <c r="B2247">
        <f t="shared" si="70"/>
        <v>11.482069211111058</v>
      </c>
      <c r="C2247">
        <f t="shared" si="71"/>
        <v>0.1553316339189344</v>
      </c>
    </row>
    <row r="2248" spans="1:3" x14ac:dyDescent="0.15">
      <c r="A2248">
        <v>22.44</v>
      </c>
      <c r="B2248">
        <f t="shared" si="70"/>
        <v>11.595106374650838</v>
      </c>
      <c r="C2248">
        <f t="shared" si="71"/>
        <v>0.15413502329401149</v>
      </c>
    </row>
    <row r="2249" spans="1:3" x14ac:dyDescent="0.15">
      <c r="A2249">
        <v>22.450000000000003</v>
      </c>
      <c r="B2249">
        <f t="shared" si="70"/>
        <v>11.709270226406192</v>
      </c>
      <c r="C2249">
        <f t="shared" si="71"/>
        <v>0.15295111545930207</v>
      </c>
    </row>
    <row r="2250" spans="1:3" x14ac:dyDescent="0.15">
      <c r="A2250">
        <v>22.46</v>
      </c>
      <c r="B2250">
        <f t="shared" si="70"/>
        <v>11.824571982727912</v>
      </c>
      <c r="C2250">
        <f t="shared" si="71"/>
        <v>0.15177979349317769</v>
      </c>
    </row>
    <row r="2251" spans="1:3" x14ac:dyDescent="0.15">
      <c r="A2251">
        <v>22.470000000000002</v>
      </c>
      <c r="B2251">
        <f t="shared" si="70"/>
        <v>11.941022971461509</v>
      </c>
      <c r="C2251">
        <f t="shared" si="71"/>
        <v>0.15062094177698265</v>
      </c>
    </row>
    <row r="2252" spans="1:3" x14ac:dyDescent="0.15">
      <c r="A2252">
        <v>22.48</v>
      </c>
      <c r="B2252">
        <f t="shared" si="70"/>
        <v>12.058634633050382</v>
      </c>
      <c r="C2252">
        <f t="shared" si="71"/>
        <v>0.14947444598436124</v>
      </c>
    </row>
    <row r="2253" spans="1:3" x14ac:dyDescent="0.15">
      <c r="A2253">
        <v>22.490000000000002</v>
      </c>
      <c r="B2253">
        <f t="shared" si="70"/>
        <v>12.177418521649781</v>
      </c>
      <c r="C2253">
        <f t="shared" si="71"/>
        <v>0.14834019307073823</v>
      </c>
    </row>
    <row r="2254" spans="1:3" x14ac:dyDescent="0.15">
      <c r="A2254">
        <v>22.500000000000004</v>
      </c>
      <c r="B2254">
        <f t="shared" si="70"/>
        <v>12.297386306251674</v>
      </c>
      <c r="C2254">
        <f t="shared" si="71"/>
        <v>0.14721807126295181</v>
      </c>
    </row>
    <row r="2255" spans="1:3" x14ac:dyDescent="0.15">
      <c r="A2255">
        <v>22.51</v>
      </c>
      <c r="B2255">
        <f t="shared" si="70"/>
        <v>12.41854977182061</v>
      </c>
      <c r="C2255">
        <f t="shared" si="71"/>
        <v>0.14610797004903867</v>
      </c>
    </row>
    <row r="2256" spans="1:3" x14ac:dyDescent="0.15">
      <c r="A2256">
        <v>22.520000000000003</v>
      </c>
      <c r="B2256">
        <f t="shared" si="70"/>
        <v>12.540920820440702</v>
      </c>
      <c r="C2256">
        <f t="shared" si="71"/>
        <v>0.14500978016817101</v>
      </c>
    </row>
    <row r="2257" spans="1:3" x14ac:dyDescent="0.15">
      <c r="A2257">
        <v>22.53</v>
      </c>
      <c r="B2257">
        <f t="shared" si="70"/>
        <v>12.664511472473832</v>
      </c>
      <c r="C2257">
        <f t="shared" si="71"/>
        <v>0.14392339360074502</v>
      </c>
    </row>
    <row r="2258" spans="1:3" x14ac:dyDescent="0.15">
      <c r="A2258">
        <v>22.540000000000003</v>
      </c>
      <c r="B2258">
        <f t="shared" si="70"/>
        <v>12.789333867729157</v>
      </c>
      <c r="C2258">
        <f t="shared" si="71"/>
        <v>0.14284870355862037</v>
      </c>
    </row>
    <row r="2259" spans="1:3" x14ac:dyDescent="0.15">
      <c r="A2259">
        <v>22.55</v>
      </c>
      <c r="B2259">
        <f t="shared" si="70"/>
        <v>12.915400266644065</v>
      </c>
      <c r="C2259">
        <f t="shared" si="71"/>
        <v>0.14178560447551086</v>
      </c>
    </row>
    <row r="2260" spans="1:3" x14ac:dyDescent="0.15">
      <c r="A2260">
        <v>22.560000000000002</v>
      </c>
      <c r="B2260">
        <f t="shared" si="70"/>
        <v>13.042723051476658</v>
      </c>
      <c r="C2260">
        <f t="shared" si="71"/>
        <v>0.14073399199752562</v>
      </c>
    </row>
    <row r="2261" spans="1:3" x14ac:dyDescent="0.15">
      <c r="A2261">
        <v>22.57</v>
      </c>
      <c r="B2261">
        <f t="shared" si="70"/>
        <v>13.171314727509873</v>
      </c>
      <c r="C2261">
        <f t="shared" si="71"/>
        <v>0.13969376297386085</v>
      </c>
    </row>
    <row r="2262" spans="1:3" x14ac:dyDescent="0.15">
      <c r="A2262">
        <v>22.580000000000002</v>
      </c>
      <c r="B2262">
        <f t="shared" si="70"/>
        <v>13.301187924267374</v>
      </c>
      <c r="C2262">
        <f t="shared" si="71"/>
        <v>0.138664815447642</v>
      </c>
    </row>
    <row r="2263" spans="1:3" x14ac:dyDescent="0.15">
      <c r="A2263">
        <v>22.590000000000003</v>
      </c>
      <c r="B2263">
        <f t="shared" si="70"/>
        <v>13.432355396741297</v>
      </c>
      <c r="C2263">
        <f t="shared" si="71"/>
        <v>0.13764704864691615</v>
      </c>
    </row>
    <row r="2264" spans="1:3" x14ac:dyDescent="0.15">
      <c r="A2264">
        <v>22.6</v>
      </c>
      <c r="B2264">
        <f t="shared" si="70"/>
        <v>13.564830026631972</v>
      </c>
      <c r="C2264">
        <f t="shared" si="71"/>
        <v>0.13664036297579457</v>
      </c>
    </row>
    <row r="2265" spans="1:3" x14ac:dyDescent="0.15">
      <c r="A2265">
        <v>22.610000000000003</v>
      </c>
      <c r="B2265">
        <f t="shared" si="70"/>
        <v>13.698624823599747</v>
      </c>
      <c r="C2265">
        <f t="shared" si="71"/>
        <v>0.13564466000574543</v>
      </c>
    </row>
    <row r="2266" spans="1:3" x14ac:dyDescent="0.15">
      <c r="A2266">
        <v>22.62</v>
      </c>
      <c r="B2266">
        <f t="shared" si="70"/>
        <v>13.833752926529</v>
      </c>
      <c r="C2266">
        <f t="shared" si="71"/>
        <v>0.13465984246703666</v>
      </c>
    </row>
    <row r="2267" spans="1:3" x14ac:dyDescent="0.15">
      <c r="A2267">
        <v>22.630000000000003</v>
      </c>
      <c r="B2267">
        <f t="shared" si="70"/>
        <v>13.970227604804476</v>
      </c>
      <c r="C2267">
        <f t="shared" si="71"/>
        <v>0.13368581424032916</v>
      </c>
    </row>
    <row r="2268" spans="1:3" x14ac:dyDescent="0.15">
      <c r="A2268">
        <v>22.64</v>
      </c>
      <c r="B2268">
        <f t="shared" si="70"/>
        <v>14.108062259600048</v>
      </c>
      <c r="C2268">
        <f t="shared" si="71"/>
        <v>0.13272248034842007</v>
      </c>
    </row>
    <row r="2269" spans="1:3" x14ac:dyDescent="0.15">
      <c r="A2269">
        <v>22.650000000000002</v>
      </c>
      <c r="B2269">
        <f t="shared" si="70"/>
        <v>14.247270425180044</v>
      </c>
      <c r="C2269">
        <f t="shared" si="71"/>
        <v>0.13176974694813667</v>
      </c>
    </row>
    <row r="2270" spans="1:3" x14ac:dyDescent="0.15">
      <c r="A2270">
        <v>22.660000000000004</v>
      </c>
      <c r="B2270">
        <f t="shared" si="70"/>
        <v>14.387865770213219</v>
      </c>
      <c r="C2270">
        <f t="shared" si="71"/>
        <v>0.13082752132238085</v>
      </c>
    </row>
    <row r="2271" spans="1:3" x14ac:dyDescent="0.15">
      <c r="A2271">
        <v>22.67</v>
      </c>
      <c r="B2271">
        <f t="shared" si="70"/>
        <v>14.529862099099516</v>
      </c>
      <c r="C2271">
        <f t="shared" si="71"/>
        <v>0.12989571187232427</v>
      </c>
    </row>
    <row r="2272" spans="1:3" x14ac:dyDescent="0.15">
      <c r="A2272">
        <v>22.680000000000003</v>
      </c>
      <c r="B2272">
        <f t="shared" si="70"/>
        <v>14.673273353309742</v>
      </c>
      <c r="C2272">
        <f t="shared" si="71"/>
        <v>0.12897422810975487</v>
      </c>
    </row>
    <row r="2273" spans="1:3" x14ac:dyDescent="0.15">
      <c r="A2273">
        <v>22.69</v>
      </c>
      <c r="B2273">
        <f t="shared" si="70"/>
        <v>14.818113612738252</v>
      </c>
      <c r="C2273">
        <f t="shared" si="71"/>
        <v>0.12806298064957464</v>
      </c>
    </row>
    <row r="2274" spans="1:3" x14ac:dyDescent="0.15">
      <c r="A2274">
        <v>22.700000000000003</v>
      </c>
      <c r="B2274">
        <f t="shared" si="70"/>
        <v>14.964397097068785</v>
      </c>
      <c r="C2274">
        <f t="shared" si="71"/>
        <v>0.12716188120244915</v>
      </c>
    </row>
    <row r="2275" spans="1:3" x14ac:dyDescent="0.15">
      <c r="A2275">
        <v>22.71</v>
      </c>
      <c r="B2275">
        <f t="shared" si="70"/>
        <v>15.11213816715355</v>
      </c>
      <c r="C2275">
        <f t="shared" si="71"/>
        <v>0.1262708425676094</v>
      </c>
    </row>
    <row r="2276" spans="1:3" x14ac:dyDescent="0.15">
      <c r="A2276">
        <v>22.720000000000002</v>
      </c>
      <c r="B2276">
        <f t="shared" si="70"/>
        <v>15.261351326405721</v>
      </c>
      <c r="C2276">
        <f t="shared" si="71"/>
        <v>0.12538977862580622</v>
      </c>
    </row>
    <row r="2277" spans="1:3" x14ac:dyDescent="0.15">
      <c r="A2277">
        <v>22.73</v>
      </c>
      <c r="B2277">
        <f t="shared" si="70"/>
        <v>15.412051222205431</v>
      </c>
      <c r="C2277">
        <f t="shared" si="71"/>
        <v>0.12451860433241789</v>
      </c>
    </row>
    <row r="2278" spans="1:3" x14ac:dyDescent="0.15">
      <c r="A2278">
        <v>22.740000000000002</v>
      </c>
      <c r="B2278">
        <f t="shared" si="70"/>
        <v>15.564252647319398</v>
      </c>
      <c r="C2278">
        <f t="shared" si="71"/>
        <v>0.12365723571071147</v>
      </c>
    </row>
    <row r="2279" spans="1:3" x14ac:dyDescent="0.15">
      <c r="A2279">
        <v>22.750000000000004</v>
      </c>
      <c r="B2279">
        <f t="shared" si="70"/>
        <v>15.717970541334322</v>
      </c>
      <c r="C2279">
        <f t="shared" si="71"/>
        <v>0.12280558984525848</v>
      </c>
    </row>
    <row r="2280" spans="1:3" x14ac:dyDescent="0.15">
      <c r="A2280">
        <v>22.76</v>
      </c>
      <c r="B2280">
        <f t="shared" si="70"/>
        <v>15.873219992104167</v>
      </c>
      <c r="C2280">
        <f t="shared" si="71"/>
        <v>0.1219635848755057</v>
      </c>
    </row>
    <row r="2281" spans="1:3" x14ac:dyDescent="0.15">
      <c r="A2281">
        <v>22.770000000000003</v>
      </c>
      <c r="B2281">
        <f t="shared" si="70"/>
        <v>16.030016237211456</v>
      </c>
      <c r="C2281">
        <f t="shared" si="71"/>
        <v>0.12113113998950155</v>
      </c>
    </row>
    <row r="2282" spans="1:3" x14ac:dyDescent="0.15">
      <c r="A2282">
        <v>22.78</v>
      </c>
      <c r="B2282">
        <f t="shared" si="70"/>
        <v>16.188374665442705</v>
      </c>
      <c r="C2282">
        <f t="shared" si="71"/>
        <v>0.12030817541777926</v>
      </c>
    </row>
    <row r="2283" spans="1:3" x14ac:dyDescent="0.15">
      <c r="A2283">
        <v>22.790000000000003</v>
      </c>
      <c r="B2283">
        <f t="shared" si="70"/>
        <v>16.348310818278154</v>
      </c>
      <c r="C2283">
        <f t="shared" si="71"/>
        <v>0.11949461242739723</v>
      </c>
    </row>
    <row r="2284" spans="1:3" x14ac:dyDescent="0.15">
      <c r="A2284">
        <v>22.8</v>
      </c>
      <c r="B2284">
        <f t="shared" si="70"/>
        <v>16.509840391395862</v>
      </c>
      <c r="C2284">
        <f t="shared" si="71"/>
        <v>0.11869037331613781</v>
      </c>
    </row>
    <row r="2285" spans="1:3" x14ac:dyDescent="0.15">
      <c r="A2285">
        <v>22.810000000000002</v>
      </c>
      <c r="B2285">
        <f t="shared" si="70"/>
        <v>16.672979236190375</v>
      </c>
      <c r="C2285">
        <f t="shared" si="71"/>
        <v>0.11789538140686537</v>
      </c>
    </row>
    <row r="2286" spans="1:3" x14ac:dyDescent="0.15">
      <c r="A2286">
        <v>22.82</v>
      </c>
      <c r="B2286">
        <f t="shared" si="70"/>
        <v>16.837743361306039</v>
      </c>
      <c r="C2286">
        <f t="shared" si="71"/>
        <v>0.11710956104204459</v>
      </c>
    </row>
    <row r="2287" spans="1:3" x14ac:dyDescent="0.15">
      <c r="A2287">
        <v>22.830000000000002</v>
      </c>
      <c r="B2287">
        <f t="shared" si="70"/>
        <v>17.004148934185118</v>
      </c>
      <c r="C2287">
        <f t="shared" si="71"/>
        <v>0.11633283757842038</v>
      </c>
    </row>
    <row r="2288" spans="1:3" x14ac:dyDescent="0.15">
      <c r="A2288">
        <v>22.840000000000003</v>
      </c>
      <c r="B2288">
        <f t="shared" si="70"/>
        <v>17.172212282630849</v>
      </c>
      <c r="C2288">
        <f t="shared" si="71"/>
        <v>0.11556513738186013</v>
      </c>
    </row>
    <row r="2289" spans="1:3" x14ac:dyDescent="0.15">
      <c r="A2289">
        <v>22.85</v>
      </c>
      <c r="B2289">
        <f t="shared" si="70"/>
        <v>17.341949896385565</v>
      </c>
      <c r="C2289">
        <f t="shared" si="71"/>
        <v>0.11480638782236006</v>
      </c>
    </row>
    <row r="2290" spans="1:3" x14ac:dyDescent="0.15">
      <c r="A2290">
        <v>22.860000000000003</v>
      </c>
      <c r="B2290">
        <f t="shared" si="70"/>
        <v>17.513378428724018</v>
      </c>
      <c r="C2290">
        <f t="shared" si="71"/>
        <v>0.11405651726921653</v>
      </c>
    </row>
    <row r="2291" spans="1:3" x14ac:dyDescent="0.15">
      <c r="A2291">
        <v>22.87</v>
      </c>
      <c r="B2291">
        <f t="shared" si="70"/>
        <v>17.686514698062059</v>
      </c>
      <c r="C2291">
        <f t="shared" si="71"/>
        <v>0.11331545508636398</v>
      </c>
    </row>
    <row r="2292" spans="1:3" x14ac:dyDescent="0.15">
      <c r="A2292">
        <v>22.880000000000003</v>
      </c>
      <c r="B2292">
        <f t="shared" si="70"/>
        <v>17.861375689580779</v>
      </c>
      <c r="C2292">
        <f t="shared" si="71"/>
        <v>0.11258313162788085</v>
      </c>
    </row>
    <row r="2293" spans="1:3" x14ac:dyDescent="0.15">
      <c r="A2293">
        <v>22.89</v>
      </c>
      <c r="B2293">
        <f t="shared" si="70"/>
        <v>18.037978556866271</v>
      </c>
      <c r="C2293">
        <f t="shared" si="71"/>
        <v>0.11185947823366506</v>
      </c>
    </row>
    <row r="2294" spans="1:3" x14ac:dyDescent="0.15">
      <c r="A2294">
        <v>22.900000000000002</v>
      </c>
      <c r="B2294">
        <f t="shared" si="70"/>
        <v>18.216340623565173</v>
      </c>
      <c r="C2294">
        <f t="shared" si="71"/>
        <v>0.11114442722528063</v>
      </c>
    </row>
    <row r="2295" spans="1:3" x14ac:dyDescent="0.15">
      <c r="A2295">
        <v>22.910000000000004</v>
      </c>
      <c r="B2295">
        <f t="shared" si="70"/>
        <v>18.396479385056079</v>
      </c>
      <c r="C2295">
        <f t="shared" si="71"/>
        <v>0.11043791190197717</v>
      </c>
    </row>
    <row r="2296" spans="1:3" x14ac:dyDescent="0.15">
      <c r="A2296">
        <v>22.92</v>
      </c>
      <c r="B2296">
        <f t="shared" si="70"/>
        <v>18.578412510137007</v>
      </c>
      <c r="C2296">
        <f t="shared" si="71"/>
        <v>0.10973986653688407</v>
      </c>
    </row>
    <row r="2297" spans="1:3" x14ac:dyDescent="0.15">
      <c r="A2297">
        <v>22.930000000000003</v>
      </c>
      <c r="B2297">
        <f t="shared" si="70"/>
        <v>18.762157842729049</v>
      </c>
      <c r="C2297">
        <f t="shared" si="71"/>
        <v>0.10905022637338115</v>
      </c>
    </row>
    <row r="2298" spans="1:3" x14ac:dyDescent="0.15">
      <c r="A2298">
        <v>22.94</v>
      </c>
      <c r="B2298">
        <f t="shared" si="70"/>
        <v>18.947733403596338</v>
      </c>
      <c r="C2298">
        <f t="shared" si="71"/>
        <v>0.10836892762164788</v>
      </c>
    </row>
    <row r="2299" spans="1:3" x14ac:dyDescent="0.15">
      <c r="A2299">
        <v>22.950000000000003</v>
      </c>
      <c r="B2299">
        <f t="shared" si="70"/>
        <v>19.135157392082494</v>
      </c>
      <c r="C2299">
        <f t="shared" si="71"/>
        <v>0.10769590745539312</v>
      </c>
    </row>
    <row r="2300" spans="1:3" x14ac:dyDescent="0.15">
      <c r="A2300">
        <v>22.96</v>
      </c>
      <c r="B2300">
        <f t="shared" si="70"/>
        <v>19.32444818786368</v>
      </c>
      <c r="C2300">
        <f t="shared" si="71"/>
        <v>0.1070311040087676</v>
      </c>
    </row>
    <row r="2301" spans="1:3" x14ac:dyDescent="0.15">
      <c r="A2301">
        <v>22.970000000000002</v>
      </c>
      <c r="B2301">
        <f t="shared" si="70"/>
        <v>19.515624352718408</v>
      </c>
      <c r="C2301">
        <f t="shared" si="71"/>
        <v>0.10637445637346138</v>
      </c>
    </row>
    <row r="2302" spans="1:3" x14ac:dyDescent="0.15">
      <c r="A2302">
        <v>22.98</v>
      </c>
      <c r="B2302">
        <f t="shared" si="70"/>
        <v>19.708704632314284</v>
      </c>
      <c r="C2302">
        <f t="shared" si="71"/>
        <v>0.10572590459598859</v>
      </c>
    </row>
    <row r="2303" spans="1:3" x14ac:dyDescent="0.15">
      <c r="A2303">
        <v>22.990000000000002</v>
      </c>
      <c r="B2303">
        <f t="shared" si="70"/>
        <v>19.903707958011761</v>
      </c>
      <c r="C2303">
        <f t="shared" si="71"/>
        <v>0.10508538967516201</v>
      </c>
    </row>
    <row r="2304" spans="1:3" x14ac:dyDescent="0.15">
      <c r="A2304">
        <v>23.000000000000004</v>
      </c>
      <c r="B2304">
        <f t="shared" si="70"/>
        <v>20.100653448685133</v>
      </c>
      <c r="C2304">
        <f t="shared" si="71"/>
        <v>0.10445285355976004</v>
      </c>
    </row>
    <row r="2305" spans="1:3" x14ac:dyDescent="0.15">
      <c r="A2305">
        <v>23.01</v>
      </c>
      <c r="B2305">
        <f t="shared" si="70"/>
        <v>20.299560412560851</v>
      </c>
      <c r="C2305">
        <f t="shared" si="71"/>
        <v>0.10382823914638864</v>
      </c>
    </row>
    <row r="2306" spans="1:3" x14ac:dyDescent="0.15">
      <c r="A2306">
        <v>23.020000000000003</v>
      </c>
      <c r="B2306">
        <f t="shared" si="70"/>
        <v>20.500448349073377</v>
      </c>
      <c r="C2306">
        <f t="shared" si="71"/>
        <v>0.10321149027754115</v>
      </c>
    </row>
    <row r="2307" spans="1:3" x14ac:dyDescent="0.15">
      <c r="A2307">
        <v>23.03</v>
      </c>
      <c r="B2307">
        <f t="shared" si="70"/>
        <v>20.703336950738645</v>
      </c>
      <c r="C2307">
        <f t="shared" si="71"/>
        <v>0.10260255173985885</v>
      </c>
    </row>
    <row r="2308" spans="1:3" x14ac:dyDescent="0.15">
      <c r="A2308">
        <v>23.040000000000003</v>
      </c>
      <c r="B2308">
        <f t="shared" si="70"/>
        <v>20.908246105045354</v>
      </c>
      <c r="C2308">
        <f t="shared" si="71"/>
        <v>0.10200136926259544</v>
      </c>
    </row>
    <row r="2309" spans="1:3" x14ac:dyDescent="0.15">
      <c r="A2309">
        <v>23.05</v>
      </c>
      <c r="B2309">
        <f t="shared" si="70"/>
        <v>21.115195896364217</v>
      </c>
      <c r="C2309">
        <f t="shared" si="71"/>
        <v>0.10140788951628828</v>
      </c>
    </row>
    <row r="2310" spans="1:3" x14ac:dyDescent="0.15">
      <c r="A2310">
        <v>23.060000000000002</v>
      </c>
      <c r="B2310">
        <f t="shared" ref="B2310:B2373" si="72">(1+($A$2-$B$2*C2309)*$E$2)*B2309</f>
        <v>21.324206607875286</v>
      </c>
      <c r="C2310">
        <f t="shared" ref="C2310:C2373" si="73">(1+($C$2*B2309-$D$2)*$E$2)*C2309</f>
        <v>0.10082206011164005</v>
      </c>
    </row>
    <row r="2311" spans="1:3" x14ac:dyDescent="0.15">
      <c r="A2311">
        <v>23.07</v>
      </c>
      <c r="B2311">
        <f t="shared" si="72"/>
        <v>21.535298723513584</v>
      </c>
      <c r="C2311">
        <f t="shared" si="73"/>
        <v>0.1002438295986141</v>
      </c>
    </row>
    <row r="2312" spans="1:3" x14ac:dyDescent="0.15">
      <c r="A2312">
        <v>23.080000000000002</v>
      </c>
      <c r="B2312">
        <f t="shared" si="72"/>
        <v>21.748492929933121</v>
      </c>
      <c r="C2312">
        <f t="shared" si="73"/>
        <v>9.9673147465746986E-2</v>
      </c>
    </row>
    <row r="2313" spans="1:3" x14ac:dyDescent="0.15">
      <c r="A2313">
        <v>23.090000000000003</v>
      </c>
      <c r="B2313">
        <f t="shared" si="72"/>
        <v>21.963810118489487</v>
      </c>
      <c r="C2313">
        <f t="shared" si="73"/>
        <v>9.9109964139682122E-2</v>
      </c>
    </row>
    <row r="2314" spans="1:3" x14ac:dyDescent="0.15">
      <c r="A2314">
        <v>23.1</v>
      </c>
      <c r="B2314">
        <f t="shared" si="72"/>
        <v>22.181271387241168</v>
      </c>
      <c r="C2314">
        <f t="shared" si="73"/>
        <v>9.8554230984928159E-2</v>
      </c>
    </row>
    <row r="2315" spans="1:3" x14ac:dyDescent="0.15">
      <c r="A2315">
        <v>23.110000000000003</v>
      </c>
      <c r="B2315">
        <f t="shared" si="72"/>
        <v>22.40089804296974</v>
      </c>
      <c r="C2315">
        <f t="shared" si="73"/>
        <v>9.8005900303846386E-2</v>
      </c>
    </row>
    <row r="2316" spans="1:3" x14ac:dyDescent="0.15">
      <c r="A2316">
        <v>23.12</v>
      </c>
      <c r="B2316">
        <f t="shared" si="72"/>
        <v>22.62271160321912</v>
      </c>
      <c r="C2316">
        <f t="shared" si="73"/>
        <v>9.7464925336871108E-2</v>
      </c>
    </row>
    <row r="2317" spans="1:3" x14ac:dyDescent="0.15">
      <c r="A2317">
        <v>23.130000000000003</v>
      </c>
      <c r="B2317">
        <f t="shared" si="72"/>
        <v>22.846733798353984</v>
      </c>
      <c r="C2317">
        <f t="shared" si="73"/>
        <v>9.6931260262967459E-2</v>
      </c>
    </row>
    <row r="2318" spans="1:3" x14ac:dyDescent="0.15">
      <c r="A2318">
        <v>23.14</v>
      </c>
      <c r="B2318">
        <f t="shared" si="72"/>
        <v>23.072986573637557</v>
      </c>
      <c r="C2318">
        <f t="shared" si="73"/>
        <v>9.6404860200331177E-2</v>
      </c>
    </row>
    <row r="2319" spans="1:3" x14ac:dyDescent="0.15">
      <c r="A2319">
        <v>23.150000000000002</v>
      </c>
      <c r="B2319">
        <f t="shared" si="72"/>
        <v>23.301492091328896</v>
      </c>
      <c r="C2319">
        <f t="shared" si="73"/>
        <v>9.5885681207334997E-2</v>
      </c>
    </row>
    <row r="2320" spans="1:3" x14ac:dyDescent="0.15">
      <c r="A2320">
        <v>23.160000000000004</v>
      </c>
      <c r="B2320">
        <f t="shared" si="72"/>
        <v>23.532272732799857</v>
      </c>
      <c r="C2320">
        <f t="shared" si="73"/>
        <v>9.5373680283726531E-2</v>
      </c>
    </row>
    <row r="2321" spans="1:3" x14ac:dyDescent="0.15">
      <c r="A2321">
        <v>23.17</v>
      </c>
      <c r="B2321">
        <f t="shared" si="72"/>
        <v>23.765351100671886</v>
      </c>
      <c r="C2321">
        <f t="shared" si="73"/>
        <v>9.4868815372082763E-2</v>
      </c>
    </row>
    <row r="2322" spans="1:3" x14ac:dyDescent="0.15">
      <c r="A2322">
        <v>23.180000000000003</v>
      </c>
      <c r="B2322">
        <f t="shared" si="72"/>
        <v>24.000750020972781</v>
      </c>
      <c r="C2322">
        <f t="shared" si="73"/>
        <v>9.4371045359526409E-2</v>
      </c>
    </row>
    <row r="2323" spans="1:3" x14ac:dyDescent="0.15">
      <c r="A2323">
        <v>23.19</v>
      </c>
      <c r="B2323">
        <f t="shared" si="72"/>
        <v>24.238492545313616</v>
      </c>
      <c r="C2323">
        <f t="shared" si="73"/>
        <v>9.3880330079709515E-2</v>
      </c>
    </row>
    <row r="2324" spans="1:3" x14ac:dyDescent="0.15">
      <c r="A2324">
        <v>23.200000000000003</v>
      </c>
      <c r="B2324">
        <f t="shared" si="72"/>
        <v>24.478601953085967</v>
      </c>
      <c r="C2324">
        <f t="shared" si="73"/>
        <v>9.3396630315070145E-2</v>
      </c>
    </row>
    <row r="2325" spans="1:3" x14ac:dyDescent="0.15">
      <c r="A2325">
        <v>23.21</v>
      </c>
      <c r="B2325">
        <f t="shared" si="72"/>
        <v>24.721101753679584</v>
      </c>
      <c r="C2325">
        <f t="shared" si="73"/>
        <v>9.2919907799367873E-2</v>
      </c>
    </row>
    <row r="2326" spans="1:3" x14ac:dyDescent="0.15">
      <c r="A2326">
        <v>23.220000000000002</v>
      </c>
      <c r="B2326">
        <f t="shared" si="72"/>
        <v>24.966015688720727</v>
      </c>
      <c r="C2326">
        <f t="shared" si="73"/>
        <v>9.2450125220504331E-2</v>
      </c>
    </row>
    <row r="2327" spans="1:3" x14ac:dyDescent="0.15">
      <c r="A2327">
        <v>23.23</v>
      </c>
      <c r="B2327">
        <f t="shared" si="72"/>
        <v>25.213367734331257</v>
      </c>
      <c r="C2327">
        <f t="shared" si="73"/>
        <v>9.1987246223635161E-2</v>
      </c>
    </row>
    <row r="2328" spans="1:3" x14ac:dyDescent="0.15">
      <c r="A2328">
        <v>23.240000000000002</v>
      </c>
      <c r="B2328">
        <f t="shared" si="72"/>
        <v>25.463182103408663</v>
      </c>
      <c r="C2328">
        <f t="shared" si="73"/>
        <v>9.1531235414579803E-2</v>
      </c>
    </row>
    <row r="2329" spans="1:3" x14ac:dyDescent="0.15">
      <c r="A2329">
        <v>23.250000000000004</v>
      </c>
      <c r="B2329">
        <f t="shared" si="72"/>
        <v>25.715483247927239</v>
      </c>
      <c r="C2329">
        <f t="shared" si="73"/>
        <v>9.1082058363536278E-2</v>
      </c>
    </row>
    <row r="2330" spans="1:3" x14ac:dyDescent="0.15">
      <c r="A2330">
        <v>23.26</v>
      </c>
      <c r="B2330">
        <f t="shared" si="72"/>
        <v>25.970295861260478</v>
      </c>
      <c r="C2330">
        <f t="shared" si="73"/>
        <v>9.0639681609107764E-2</v>
      </c>
    </row>
    <row r="2331" spans="1:3" x14ac:dyDescent="0.15">
      <c r="A2331">
        <v>23.270000000000003</v>
      </c>
      <c r="B2331">
        <f t="shared" si="72"/>
        <v>26.227644880524924</v>
      </c>
      <c r="C2331">
        <f t="shared" si="73"/>
        <v>9.0204072662648488E-2</v>
      </c>
    </row>
    <row r="2332" spans="1:3" x14ac:dyDescent="0.15">
      <c r="A2332">
        <v>23.28</v>
      </c>
      <c r="B2332">
        <f t="shared" si="72"/>
        <v>26.487555488945599</v>
      </c>
      <c r="C2332">
        <f t="shared" si="73"/>
        <v>8.977520001293661E-2</v>
      </c>
    </row>
    <row r="2333" spans="1:3" x14ac:dyDescent="0.15">
      <c r="A2333">
        <v>23.290000000000003</v>
      </c>
      <c r="B2333">
        <f t="shared" si="72"/>
        <v>26.750053118243184</v>
      </c>
      <c r="C2333">
        <f t="shared" si="73"/>
        <v>8.9353033131182008E-2</v>
      </c>
    </row>
    <row r="2334" spans="1:3" x14ac:dyDescent="0.15">
      <c r="A2334">
        <v>23.3</v>
      </c>
      <c r="B2334">
        <f t="shared" si="72"/>
        <v>27.01516345104308</v>
      </c>
      <c r="C2334">
        <f t="shared" si="73"/>
        <v>8.8937542476377238E-2</v>
      </c>
    </row>
    <row r="2335" spans="1:3" x14ac:dyDescent="0.15">
      <c r="A2335">
        <v>23.310000000000002</v>
      </c>
      <c r="B2335">
        <f t="shared" si="72"/>
        <v>27.282912423306577</v>
      </c>
      <c r="C2335">
        <f t="shared" si="73"/>
        <v>8.8528699501000147E-2</v>
      </c>
    </row>
    <row r="2336" spans="1:3" x14ac:dyDescent="0.15">
      <c r="A2336">
        <v>23.32</v>
      </c>
      <c r="B2336">
        <f t="shared" si="72"/>
        <v>27.553326226784211</v>
      </c>
      <c r="C2336">
        <f t="shared" si="73"/>
        <v>8.8126476657077152E-2</v>
      </c>
    </row>
    <row r="2337" spans="1:3" x14ac:dyDescent="0.15">
      <c r="A2337">
        <v>23.330000000000002</v>
      </c>
      <c r="B2337">
        <f t="shared" si="72"/>
        <v>27.826431311491504</v>
      </c>
      <c r="C2337">
        <f t="shared" si="73"/>
        <v>8.7730847402616288E-2</v>
      </c>
    </row>
    <row r="2338" spans="1:3" x14ac:dyDescent="0.15">
      <c r="A2338">
        <v>23.340000000000003</v>
      </c>
      <c r="B2338">
        <f t="shared" si="72"/>
        <v>28.102254388207275</v>
      </c>
      <c r="C2338">
        <f t="shared" si="73"/>
        <v>8.7341786208419703E-2</v>
      </c>
    </row>
    <row r="2339" spans="1:3" x14ac:dyDescent="0.15">
      <c r="A2339">
        <v>23.35</v>
      </c>
      <c r="B2339">
        <f t="shared" si="72"/>
        <v>28.380822430994598</v>
      </c>
      <c r="C2339">
        <f t="shared" si="73"/>
        <v>8.6959268565285394E-2</v>
      </c>
    </row>
    <row r="2340" spans="1:3" x14ac:dyDescent="0.15">
      <c r="A2340">
        <v>23.360000000000003</v>
      </c>
      <c r="B2340">
        <f t="shared" si="72"/>
        <v>28.662162679744664</v>
      </c>
      <c r="C2340">
        <f t="shared" si="73"/>
        <v>8.6583270991608646E-2</v>
      </c>
    </row>
    <row r="2341" spans="1:3" x14ac:dyDescent="0.15">
      <c r="A2341">
        <v>23.37</v>
      </c>
      <c r="B2341">
        <f t="shared" si="72"/>
        <v>28.946302642743607</v>
      </c>
      <c r="C2341">
        <f t="shared" si="73"/>
        <v>8.6213771041393744E-2</v>
      </c>
    </row>
    <row r="2342" spans="1:3" x14ac:dyDescent="0.15">
      <c r="A2342">
        <v>23.380000000000003</v>
      </c>
      <c r="B2342">
        <f t="shared" si="72"/>
        <v>29.233270099262509</v>
      </c>
      <c r="C2342">
        <f t="shared" si="73"/>
        <v>8.585074731268709E-2</v>
      </c>
    </row>
    <row r="2343" spans="1:3" x14ac:dyDescent="0.15">
      <c r="A2343">
        <v>23.39</v>
      </c>
      <c r="B2343">
        <f t="shared" si="72"/>
        <v>29.523093102170719</v>
      </c>
      <c r="C2343">
        <f t="shared" si="73"/>
        <v>8.5494179456443276E-2</v>
      </c>
    </row>
    <row r="2344" spans="1:3" x14ac:dyDescent="0.15">
      <c r="A2344">
        <v>23.400000000000002</v>
      </c>
      <c r="B2344">
        <f t="shared" si="72"/>
        <v>29.815799980572642</v>
      </c>
      <c r="C2344">
        <f t="shared" si="73"/>
        <v>8.5144048185836096E-2</v>
      </c>
    </row>
    <row r="2345" spans="1:3" x14ac:dyDescent="0.15">
      <c r="A2345">
        <v>23.410000000000004</v>
      </c>
      <c r="B2345">
        <f t="shared" si="72"/>
        <v>30.111419342468121</v>
      </c>
      <c r="C2345">
        <f t="shared" si="73"/>
        <v>8.4800335286026762E-2</v>
      </c>
    </row>
    <row r="2346" spans="1:3" x14ac:dyDescent="0.15">
      <c r="A2346">
        <v>23.42</v>
      </c>
      <c r="B2346">
        <f t="shared" si="72"/>
        <v>30.409980077436625</v>
      </c>
      <c r="C2346">
        <f t="shared" si="73"/>
        <v>8.4463023624402389E-2</v>
      </c>
    </row>
    <row r="2347" spans="1:3" x14ac:dyDescent="0.15">
      <c r="A2347">
        <v>23.430000000000003</v>
      </c>
      <c r="B2347">
        <f t="shared" si="72"/>
        <v>30.711511359345298</v>
      </c>
      <c r="C2347">
        <f t="shared" si="73"/>
        <v>8.4132097161297992E-2</v>
      </c>
    </row>
    <row r="2348" spans="1:3" x14ac:dyDescent="0.15">
      <c r="A2348">
        <v>23.44</v>
      </c>
      <c r="B2348">
        <f t="shared" si="72"/>
        <v>31.016042649081093</v>
      </c>
      <c r="C2348">
        <f t="shared" si="73"/>
        <v>8.3807540961215968E-2</v>
      </c>
    </row>
    <row r="2349" spans="1:3" x14ac:dyDescent="0.15">
      <c r="A2349">
        <v>23.450000000000003</v>
      </c>
      <c r="B2349">
        <f t="shared" si="72"/>
        <v>31.323603697307135</v>
      </c>
      <c r="C2349">
        <f t="shared" si="73"/>
        <v>8.3489341204557352E-2</v>
      </c>
    </row>
    <row r="2350" spans="1:3" x14ac:dyDescent="0.15">
      <c r="A2350">
        <v>23.46</v>
      </c>
      <c r="B2350">
        <f t="shared" si="72"/>
        <v>31.634224547243367</v>
      </c>
      <c r="C2350">
        <f t="shared" si="73"/>
        <v>8.3177485199879941E-2</v>
      </c>
    </row>
    <row r="2351" spans="1:3" x14ac:dyDescent="0.15">
      <c r="A2351">
        <v>23.470000000000002</v>
      </c>
      <c r="B2351">
        <f t="shared" si="72"/>
        <v>31.947935537471711</v>
      </c>
      <c r="C2351">
        <f t="shared" si="73"/>
        <v>8.2871961396698751E-2</v>
      </c>
    </row>
    <row r="2352" spans="1:3" x14ac:dyDescent="0.15">
      <c r="A2352">
        <v>23.48</v>
      </c>
      <c r="B2352">
        <f t="shared" si="72"/>
        <v>32.264767304765861</v>
      </c>
      <c r="C2352">
        <f t="shared" si="73"/>
        <v>8.2572759398844883E-2</v>
      </c>
    </row>
    <row r="2353" spans="1:3" x14ac:dyDescent="0.15">
      <c r="A2353">
        <v>23.490000000000002</v>
      </c>
      <c r="B2353">
        <f t="shared" si="72"/>
        <v>32.584750786945804</v>
      </c>
      <c r="C2353">
        <f t="shared" si="73"/>
        <v>8.2279869978399672E-2</v>
      </c>
    </row>
    <row r="2354" spans="1:3" x14ac:dyDescent="0.15">
      <c r="A2354">
        <v>23.500000000000004</v>
      </c>
      <c r="B2354">
        <f t="shared" si="72"/>
        <v>32.907917225757231</v>
      </c>
      <c r="C2354">
        <f t="shared" si="73"/>
        <v>8.1993285090221371E-2</v>
      </c>
    </row>
    <row r="2355" spans="1:3" x14ac:dyDescent="0.15">
      <c r="A2355">
        <v>23.51</v>
      </c>
      <c r="B2355">
        <f t="shared" si="72"/>
        <v>33.23429816977599</v>
      </c>
      <c r="C2355">
        <f t="shared" si="73"/>
        <v>8.1712997887082542E-2</v>
      </c>
    </row>
    <row r="2356" spans="1:3" x14ac:dyDescent="0.15">
      <c r="A2356">
        <v>23.520000000000003</v>
      </c>
      <c r="B2356">
        <f t="shared" si="72"/>
        <v>33.563925477337619</v>
      </c>
      <c r="C2356">
        <f t="shared" si="73"/>
        <v>8.1439002735436833E-2</v>
      </c>
    </row>
    <row r="2357" spans="1:3" x14ac:dyDescent="0.15">
      <c r="A2357">
        <v>23.53</v>
      </c>
      <c r="B2357">
        <f t="shared" si="72"/>
        <v>33.896831319492236</v>
      </c>
      <c r="C2357">
        <f t="shared" si="73"/>
        <v>8.1171295231834653E-2</v>
      </c>
    </row>
    <row r="2358" spans="1:3" x14ac:dyDescent="0.15">
      <c r="A2358">
        <v>23.540000000000003</v>
      </c>
      <c r="B2358">
        <f t="shared" si="72"/>
        <v>34.233048182984703</v>
      </c>
      <c r="C2358">
        <f t="shared" si="73"/>
        <v>8.090987222000795E-2</v>
      </c>
    </row>
    <row r="2359" spans="1:3" x14ac:dyDescent="0.15">
      <c r="A2359">
        <v>23.55</v>
      </c>
      <c r="B2359">
        <f t="shared" si="72"/>
        <v>34.572608873260364</v>
      </c>
      <c r="C2359">
        <f t="shared" si="73"/>
        <v>8.0654731808645214E-2</v>
      </c>
    </row>
    <row r="2360" spans="1:3" x14ac:dyDescent="0.15">
      <c r="A2360">
        <v>23.560000000000002</v>
      </c>
      <c r="B2360">
        <f t="shared" si="72"/>
        <v>34.915546517496374</v>
      </c>
      <c r="C2360">
        <f t="shared" si="73"/>
        <v>8.0405873389878368E-2</v>
      </c>
    </row>
    <row r="2361" spans="1:3" x14ac:dyDescent="0.15">
      <c r="A2361">
        <v>23.57</v>
      </c>
      <c r="B2361">
        <f t="shared" si="72"/>
        <v>35.261894567658715</v>
      </c>
      <c r="C2361">
        <f t="shared" si="73"/>
        <v>8.0163297658504426E-2</v>
      </c>
    </row>
    <row r="2362" spans="1:3" x14ac:dyDescent="0.15">
      <c r="A2362">
        <v>23.580000000000002</v>
      </c>
      <c r="B2362">
        <f t="shared" si="72"/>
        <v>35.611686803585066</v>
      </c>
      <c r="C2362">
        <f t="shared" si="73"/>
        <v>7.9927006631965378E-2</v>
      </c>
    </row>
    <row r="2363" spans="1:3" x14ac:dyDescent="0.15">
      <c r="A2363">
        <v>23.590000000000003</v>
      </c>
      <c r="B2363">
        <f t="shared" si="72"/>
        <v>35.96495733609359</v>
      </c>
      <c r="C2363">
        <f t="shared" si="73"/>
        <v>7.969700367111085E-2</v>
      </c>
    </row>
    <row r="2364" spans="1:3" x14ac:dyDescent="0.15">
      <c r="A2364">
        <v>23.6</v>
      </c>
      <c r="B2364">
        <f t="shared" si="72"/>
        <v>36.321740610117679</v>
      </c>
      <c r="C2364">
        <f t="shared" si="73"/>
        <v>7.9473293501768946E-2</v>
      </c>
    </row>
    <row r="2365" spans="1:3" x14ac:dyDescent="0.15">
      <c r="A2365">
        <v>23.610000000000003</v>
      </c>
      <c r="B2365">
        <f t="shared" si="72"/>
        <v>36.68207140786685</v>
      </c>
      <c r="C2365">
        <f t="shared" si="73"/>
        <v>7.9255882237151867E-2</v>
      </c>
    </row>
    <row r="2366" spans="1:3" x14ac:dyDescent="0.15">
      <c r="A2366">
        <v>23.62</v>
      </c>
      <c r="B2366">
        <f t="shared" si="72"/>
        <v>37.045984852013802</v>
      </c>
      <c r="C2366">
        <f t="shared" si="73"/>
        <v>7.9044777401123686E-2</v>
      </c>
    </row>
    <row r="2367" spans="1:3" x14ac:dyDescent="0.15">
      <c r="A2367">
        <v>23.630000000000003</v>
      </c>
      <c r="B2367">
        <f t="shared" si="72"/>
        <v>37.413516408907711</v>
      </c>
      <c r="C2367">
        <f t="shared" si="73"/>
        <v>7.8839987952359011E-2</v>
      </c>
    </row>
    <row r="2368" spans="1:3" x14ac:dyDescent="0.15">
      <c r="A2368">
        <v>23.64</v>
      </c>
      <c r="B2368">
        <f t="shared" si="72"/>
        <v>37.784701891813853</v>
      </c>
      <c r="C2368">
        <f t="shared" si="73"/>
        <v>7.8641524309422159E-2</v>
      </c>
    </row>
    <row r="2369" spans="1:3" x14ac:dyDescent="0.15">
      <c r="A2369">
        <v>23.650000000000002</v>
      </c>
      <c r="B2369">
        <f t="shared" si="72"/>
        <v>38.159577464179641</v>
      </c>
      <c r="C2369">
        <f t="shared" si="73"/>
        <v>7.8449398376797805E-2</v>
      </c>
    </row>
    <row r="2370" spans="1:3" x14ac:dyDescent="0.15">
      <c r="A2370">
        <v>23.660000000000004</v>
      </c>
      <c r="B2370">
        <f t="shared" si="72"/>
        <v>38.538179642927062</v>
      </c>
      <c r="C2370">
        <f t="shared" si="73"/>
        <v>7.8263623571905361E-2</v>
      </c>
    </row>
    <row r="2371" spans="1:3" x14ac:dyDescent="0.15">
      <c r="A2371">
        <v>23.67</v>
      </c>
      <c r="B2371">
        <f t="shared" si="72"/>
        <v>38.920545301771611</v>
      </c>
      <c r="C2371">
        <f t="shared" si="73"/>
        <v>7.8084214853130413E-2</v>
      </c>
    </row>
    <row r="2372" spans="1:3" x14ac:dyDescent="0.15">
      <c r="A2372">
        <v>23.680000000000003</v>
      </c>
      <c r="B2372">
        <f t="shared" si="72"/>
        <v>39.306711674567786</v>
      </c>
      <c r="C2372">
        <f t="shared" si="73"/>
        <v>7.7911188748908011E-2</v>
      </c>
    </row>
    <row r="2373" spans="1:3" x14ac:dyDescent="0.15">
      <c r="A2373">
        <v>23.69</v>
      </c>
      <c r="B2373">
        <f t="shared" si="72"/>
        <v>39.696716358681087</v>
      </c>
      <c r="C2373">
        <f t="shared" si="73"/>
        <v>7.7744563387894164E-2</v>
      </c>
    </row>
    <row r="2374" spans="1:3" x14ac:dyDescent="0.15">
      <c r="A2374">
        <v>23.700000000000003</v>
      </c>
      <c r="B2374">
        <f t="shared" ref="B2374:B2437" si="74">(1+($A$2-$B$2*C2373)*$E$2)*B2373</f>
        <v>40.090597318386656</v>
      </c>
      <c r="C2374">
        <f t="shared" ref="C2374:C2437" si="75">(1+($C$2*B2373-$D$2)*$E$2)*C2373</f>
        <v>7.7584358530262965E-2</v>
      </c>
    </row>
    <row r="2375" spans="1:3" x14ac:dyDescent="0.15">
      <c r="A2375">
        <v>23.71</v>
      </c>
      <c r="B2375">
        <f t="shared" si="74"/>
        <v>40.488392888294477</v>
      </c>
      <c r="C2375">
        <f t="shared" si="75"/>
        <v>7.7430595600168753E-2</v>
      </c>
    </row>
    <row r="2376" spans="1:3" x14ac:dyDescent="0.15">
      <c r="A2376">
        <v>23.720000000000002</v>
      </c>
      <c r="B2376">
        <f t="shared" si="74"/>
        <v>40.890141776801187</v>
      </c>
      <c r="C2376">
        <f t="shared" si="75"/>
        <v>7.7283297719413918E-2</v>
      </c>
    </row>
    <row r="2377" spans="1:3" x14ac:dyDescent="0.15">
      <c r="A2377">
        <v>23.73</v>
      </c>
      <c r="B2377">
        <f t="shared" si="74"/>
        <v>41.295883069568475</v>
      </c>
      <c r="C2377">
        <f t="shared" si="75"/>
        <v>7.71424897423649E-2</v>
      </c>
    </row>
    <row r="2378" spans="1:3" x14ac:dyDescent="0.15">
      <c r="A2378">
        <v>23.740000000000002</v>
      </c>
      <c r="B2378">
        <f t="shared" si="74"/>
        <v>41.705656233028066</v>
      </c>
      <c r="C2378">
        <f t="shared" si="75"/>
        <v>7.7008198292160476E-2</v>
      </c>
    </row>
    <row r="2379" spans="1:3" x14ac:dyDescent="0.15">
      <c r="A2379">
        <v>23.750000000000004</v>
      </c>
      <c r="B2379">
        <f t="shared" si="74"/>
        <v>42.119501117913252</v>
      </c>
      <c r="C2379">
        <f t="shared" si="75"/>
        <v>7.6880451798258406E-2</v>
      </c>
    </row>
    <row r="2380" spans="1:3" x14ac:dyDescent="0.15">
      <c r="A2380">
        <v>23.76</v>
      </c>
      <c r="B2380">
        <f t="shared" si="74"/>
        <v>42.537457962816923</v>
      </c>
      <c r="C2380">
        <f t="shared" si="75"/>
        <v>7.6759280535368304E-2</v>
      </c>
    </row>
    <row r="2381" spans="1:3" x14ac:dyDescent="0.15">
      <c r="A2381">
        <v>23.770000000000003</v>
      </c>
      <c r="B2381">
        <f t="shared" si="74"/>
        <v>42.95956739777607</v>
      </c>
      <c r="C2381">
        <f t="shared" si="75"/>
        <v>7.6644716663820472E-2</v>
      </c>
    </row>
    <row r="2382" spans="1:3" x14ac:dyDescent="0.15">
      <c r="A2382">
        <v>23.78</v>
      </c>
      <c r="B2382">
        <f t="shared" si="74"/>
        <v>43.385870447882631</v>
      </c>
      <c r="C2382">
        <f t="shared" si="75"/>
        <v>7.6536794271422834E-2</v>
      </c>
    </row>
    <row r="2383" spans="1:3" x14ac:dyDescent="0.15">
      <c r="A2383">
        <v>23.790000000000003</v>
      </c>
      <c r="B2383">
        <f t="shared" si="74"/>
        <v>43.816408536920697</v>
      </c>
      <c r="C2383">
        <f t="shared" si="75"/>
        <v>7.6435549416859844E-2</v>
      </c>
    </row>
    <row r="2384" spans="1:3" x14ac:dyDescent="0.15">
      <c r="A2384">
        <v>23.8</v>
      </c>
      <c r="B2384">
        <f t="shared" si="74"/>
        <v>44.251223491029911</v>
      </c>
      <c r="C2384">
        <f t="shared" si="75"/>
        <v>7.6341020174689869E-2</v>
      </c>
    </row>
    <row r="2385" spans="1:3" x14ac:dyDescent="0.15">
      <c r="A2385">
        <v>23.810000000000002</v>
      </c>
      <c r="B2385">
        <f t="shared" si="74"/>
        <v>44.690357542394928</v>
      </c>
      <c r="C2385">
        <f t="shared" si="75"/>
        <v>7.6253246681999648E-2</v>
      </c>
    </row>
    <row r="2386" spans="1:3" x14ac:dyDescent="0.15">
      <c r="A2386">
        <v>23.82</v>
      </c>
      <c r="B2386">
        <f t="shared" si="74"/>
        <v>45.133853332960889</v>
      </c>
      <c r="C2386">
        <f t="shared" si="75"/>
        <v>7.6172271186777052E-2</v>
      </c>
    </row>
    <row r="2387" spans="1:3" x14ac:dyDescent="0.15">
      <c r="A2387">
        <v>23.830000000000002</v>
      </c>
      <c r="B2387">
        <f t="shared" si="74"/>
        <v>45.581753918174712</v>
      </c>
      <c r="C2387">
        <f t="shared" si="75"/>
        <v>7.6098138098065787E-2</v>
      </c>
    </row>
    <row r="2388" spans="1:3" x14ac:dyDescent="0.15">
      <c r="A2388">
        <v>23.840000000000003</v>
      </c>
      <c r="B2388">
        <f t="shared" si="74"/>
        <v>46.034102770752042</v>
      </c>
      <c r="C2388">
        <f t="shared" si="75"/>
        <v>7.6030894037968588E-2</v>
      </c>
    </row>
    <row r="2389" spans="1:3" x14ac:dyDescent="0.15">
      <c r="A2389">
        <v>23.85</v>
      </c>
      <c r="B2389">
        <f t="shared" si="74"/>
        <v>46.490943784469671</v>
      </c>
      <c r="C2389">
        <f t="shared" si="75"/>
        <v>7.5970587895568112E-2</v>
      </c>
    </row>
    <row r="2390" spans="1:3" x14ac:dyDescent="0.15">
      <c r="A2390">
        <v>23.860000000000003</v>
      </c>
      <c r="B2390">
        <f t="shared" si="74"/>
        <v>46.952321277983238</v>
      </c>
      <c r="C2390">
        <f t="shared" si="75"/>
        <v>7.5917270882837617E-2</v>
      </c>
    </row>
    <row r="2391" spans="1:3" x14ac:dyDescent="0.15">
      <c r="A2391">
        <v>23.87</v>
      </c>
      <c r="B2391">
        <f t="shared" si="74"/>
        <v>47.41827999867003</v>
      </c>
      <c r="C2391">
        <f t="shared" si="75"/>
        <v>7.5870996592616979E-2</v>
      </c>
    </row>
    <row r="2392" spans="1:3" x14ac:dyDescent="0.15">
      <c r="A2392">
        <v>23.880000000000003</v>
      </c>
      <c r="B2392">
        <f t="shared" si="74"/>
        <v>47.888865126496519</v>
      </c>
      <c r="C2392">
        <f t="shared" si="75"/>
        <v>7.5831821058732179E-2</v>
      </c>
    </row>
    <row r="2393" spans="1:3" x14ac:dyDescent="0.15">
      <c r="A2393">
        <v>23.89</v>
      </c>
      <c r="B2393">
        <f t="shared" si="74"/>
        <v>48.364122277910504</v>
      </c>
      <c r="C2393">
        <f t="shared" si="75"/>
        <v>7.5799802818340506E-2</v>
      </c>
    </row>
    <row r="2394" spans="1:3" x14ac:dyDescent="0.15">
      <c r="A2394">
        <v>23.900000000000002</v>
      </c>
      <c r="B2394">
        <f t="shared" si="74"/>
        <v>48.844097509757468</v>
      </c>
      <c r="C2394">
        <f t="shared" si="75"/>
        <v>7.5775002976586653E-2</v>
      </c>
    </row>
    <row r="2395" spans="1:3" x14ac:dyDescent="0.15">
      <c r="A2395">
        <v>23.910000000000004</v>
      </c>
      <c r="B2395">
        <f t="shared" si="74"/>
        <v>49.328837323220853</v>
      </c>
      <c r="C2395">
        <f t="shared" si="75"/>
        <v>7.5757485273658901E-2</v>
      </c>
    </row>
    <row r="2396" spans="1:3" x14ac:dyDescent="0.15">
      <c r="A2396">
        <v>23.92</v>
      </c>
      <c r="B2396">
        <f t="shared" si="74"/>
        <v>49.818388667785982</v>
      </c>
      <c r="C2396">
        <f t="shared" si="75"/>
        <v>7.574731615433844E-2</v>
      </c>
    </row>
    <row r="2397" spans="1:3" x14ac:dyDescent="0.15">
      <c r="A2397">
        <v>23.930000000000003</v>
      </c>
      <c r="B2397">
        <f t="shared" si="74"/>
        <v>50.312798945227122</v>
      </c>
      <c r="C2397">
        <f t="shared" si="75"/>
        <v>7.5744564840138751E-2</v>
      </c>
    </row>
    <row r="2398" spans="1:3" x14ac:dyDescent="0.15">
      <c r="A2398">
        <v>23.94</v>
      </c>
      <c r="B2398">
        <f t="shared" si="74"/>
        <v>50.812116013617405</v>
      </c>
      <c r="C2398">
        <f t="shared" si="75"/>
        <v>7.5749303404136478E-2</v>
      </c>
    </row>
    <row r="2399" spans="1:3" x14ac:dyDescent="0.15">
      <c r="A2399">
        <v>23.950000000000003</v>
      </c>
      <c r="B2399">
        <f t="shared" si="74"/>
        <v>51.316388191361064</v>
      </c>
      <c r="C2399">
        <f t="shared" si="75"/>
        <v>7.576160684859945E-2</v>
      </c>
    </row>
    <row r="2400" spans="1:3" x14ac:dyDescent="0.15">
      <c r="A2400">
        <v>23.96</v>
      </c>
      <c r="B2400">
        <f t="shared" si="74"/>
        <v>51.825664261247631</v>
      </c>
      <c r="C2400">
        <f t="shared" si="75"/>
        <v>7.5781553185522266E-2</v>
      </c>
    </row>
    <row r="2401" spans="1:3" x14ac:dyDescent="0.15">
      <c r="A2401">
        <v>23.970000000000002</v>
      </c>
      <c r="B2401">
        <f t="shared" si="74"/>
        <v>52.339993474527517</v>
      </c>
      <c r="C2401">
        <f t="shared" si="75"/>
        <v>7.5809223520184793E-2</v>
      </c>
    </row>
    <row r="2402" spans="1:3" x14ac:dyDescent="0.15">
      <c r="A2402">
        <v>23.98</v>
      </c>
      <c r="B2402">
        <f t="shared" si="74"/>
        <v>52.859425555008436</v>
      </c>
      <c r="C2402">
        <f t="shared" si="75"/>
        <v>7.5844702137854034E-2</v>
      </c>
    </row>
    <row r="2403" spans="1:3" x14ac:dyDescent="0.15">
      <c r="A2403">
        <v>23.990000000000002</v>
      </c>
      <c r="B2403">
        <f t="shared" si="74"/>
        <v>53.384010703172123</v>
      </c>
      <c r="C2403">
        <f t="shared" si="75"/>
        <v>7.588807659375503E-2</v>
      </c>
    </row>
    <row r="2404" spans="1:3" x14ac:dyDescent="0.15">
      <c r="A2404">
        <v>24.000000000000004</v>
      </c>
      <c r="B2404">
        <f t="shared" si="74"/>
        <v>53.913799600310718</v>
      </c>
      <c r="C2404">
        <f t="shared" si="75"/>
        <v>7.5939437806442314E-2</v>
      </c>
    </row>
    <row r="2405" spans="1:3" x14ac:dyDescent="0.15">
      <c r="A2405">
        <v>24.01</v>
      </c>
      <c r="B2405">
        <f t="shared" si="74"/>
        <v>54.448843412682166</v>
      </c>
      <c r="C2405">
        <f t="shared" si="75"/>
        <v>7.5998880154709236E-2</v>
      </c>
    </row>
    <row r="2406" spans="1:3" x14ac:dyDescent="0.15">
      <c r="A2406">
        <v>24.020000000000003</v>
      </c>
      <c r="B2406">
        <f t="shared" si="74"/>
        <v>54.98919379568391</v>
      </c>
      <c r="C2406">
        <f t="shared" si="75"/>
        <v>7.6066501578178736E-2</v>
      </c>
    </row>
    <row r="2407" spans="1:3" x14ac:dyDescent="0.15">
      <c r="A2407">
        <v>24.03</v>
      </c>
      <c r="B2407">
        <f t="shared" si="74"/>
        <v>55.534902898044109</v>
      </c>
      <c r="C2407">
        <f t="shared" si="75"/>
        <v>7.6142403681725382E-2</v>
      </c>
    </row>
    <row r="2408" spans="1:3" x14ac:dyDescent="0.15">
      <c r="A2408">
        <v>24.040000000000003</v>
      </c>
      <c r="B2408">
        <f t="shared" si="74"/>
        <v>56.086023366029664</v>
      </c>
      <c r="C2408">
        <f t="shared" si="75"/>
        <v>7.6226691843885794E-2</v>
      </c>
    </row>
    <row r="2409" spans="1:3" x14ac:dyDescent="0.15">
      <c r="A2409">
        <v>24.05</v>
      </c>
      <c r="B2409">
        <f t="shared" si="74"/>
        <v>56.642608347670091</v>
      </c>
      <c r="C2409">
        <f t="shared" si="75"/>
        <v>7.6319475329421196E-2</v>
      </c>
    </row>
    <row r="2410" spans="1:3" x14ac:dyDescent="0.15">
      <c r="A2410">
        <v>24.060000000000002</v>
      </c>
      <c r="B2410">
        <f t="shared" si="74"/>
        <v>57.204711496996403</v>
      </c>
      <c r="C2410">
        <f t="shared" si="75"/>
        <v>7.6420867406203796E-2</v>
      </c>
    </row>
    <row r="2411" spans="1:3" x14ac:dyDescent="0.15">
      <c r="A2411">
        <v>24.070000000000004</v>
      </c>
      <c r="B2411">
        <f t="shared" si="74"/>
        <v>57.772386978294044</v>
      </c>
      <c r="C2411">
        <f t="shared" si="75"/>
        <v>7.653098546660618E-2</v>
      </c>
    </row>
    <row r="2412" spans="1:3" x14ac:dyDescent="0.15">
      <c r="A2412">
        <v>24.080000000000002</v>
      </c>
      <c r="B2412">
        <f t="shared" si="74"/>
        <v>58.345689470368775</v>
      </c>
      <c r="C2412">
        <f t="shared" si="75"/>
        <v>7.6649951153581516E-2</v>
      </c>
    </row>
    <row r="2413" spans="1:3" x14ac:dyDescent="0.15">
      <c r="A2413">
        <v>24.090000000000003</v>
      </c>
      <c r="B2413">
        <f t="shared" si="74"/>
        <v>58.924674170824538</v>
      </c>
      <c r="C2413">
        <f t="shared" si="75"/>
        <v>7.6777890491630876E-2</v>
      </c>
    </row>
    <row r="2414" spans="1:3" x14ac:dyDescent="0.15">
      <c r="A2414">
        <v>24.1</v>
      </c>
      <c r="B2414">
        <f t="shared" si="74"/>
        <v>59.50939680035205</v>
      </c>
      <c r="C2414">
        <f t="shared" si="75"/>
        <v>7.6914934022863091E-2</v>
      </c>
    </row>
    <row r="2415" spans="1:3" x14ac:dyDescent="0.15">
      <c r="A2415">
        <v>24.110000000000003</v>
      </c>
      <c r="B2415">
        <f t="shared" si="74"/>
        <v>60.099913607026927</v>
      </c>
      <c r="C2415">
        <f t="shared" si="75"/>
        <v>7.7061216948362363E-2</v>
      </c>
    </row>
    <row r="2416" spans="1:3" x14ac:dyDescent="0.15">
      <c r="A2416">
        <v>24.12</v>
      </c>
      <c r="B2416">
        <f t="shared" si="74"/>
        <v>60.696281370616155</v>
      </c>
      <c r="C2416">
        <f t="shared" si="75"/>
        <v>7.7216879275088524E-2</v>
      </c>
    </row>
    <row r="2417" spans="1:3" x14ac:dyDescent="0.15">
      <c r="A2417">
        <v>24.130000000000003</v>
      </c>
      <c r="B2417">
        <f t="shared" si="74"/>
        <v>61.298557406891277</v>
      </c>
      <c r="C2417">
        <f t="shared" si="75"/>
        <v>7.7382065968545966E-2</v>
      </c>
    </row>
    <row r="2418" spans="1:3" x14ac:dyDescent="0.15">
      <c r="A2418">
        <v>24.14</v>
      </c>
      <c r="B2418">
        <f t="shared" si="74"/>
        <v>61.906799571947154</v>
      </c>
      <c r="C2418">
        <f t="shared" si="75"/>
        <v>7.755692711146786E-2</v>
      </c>
    </row>
    <row r="2419" spans="1:3" x14ac:dyDescent="0.15">
      <c r="A2419">
        <v>24.150000000000002</v>
      </c>
      <c r="B2419">
        <f t="shared" si="74"/>
        <v>62.521066266524521</v>
      </c>
      <c r="C2419">
        <f t="shared" si="75"/>
        <v>7.7741618068774332E-2</v>
      </c>
    </row>
    <row r="2420" spans="1:3" x14ac:dyDescent="0.15">
      <c r="A2420">
        <v>24.160000000000004</v>
      </c>
      <c r="B2420">
        <f t="shared" si="74"/>
        <v>63.141416440334815</v>
      </c>
      <c r="C2420">
        <f t="shared" si="75"/>
        <v>7.7936299659075517E-2</v>
      </c>
    </row>
    <row r="2421" spans="1:3" x14ac:dyDescent="0.15">
      <c r="A2421">
        <v>24.17</v>
      </c>
      <c r="B2421">
        <f t="shared" si="74"/>
        <v>63.767909596385572</v>
      </c>
      <c r="C2421">
        <f t="shared" si="75"/>
        <v>7.8141138333003235E-2</v>
      </c>
    </row>
    <row r="2422" spans="1:3" x14ac:dyDescent="0.15">
      <c r="A2422">
        <v>24.180000000000003</v>
      </c>
      <c r="B2422">
        <f t="shared" si="74"/>
        <v>64.400605795304443</v>
      </c>
      <c r="C2422">
        <f t="shared" si="75"/>
        <v>7.8356306358668734E-2</v>
      </c>
    </row>
    <row r="2423" spans="1:3" x14ac:dyDescent="0.15">
      <c r="A2423">
        <v>24.19</v>
      </c>
      <c r="B2423">
        <f t="shared" si="74"/>
        <v>65.039565659660113</v>
      </c>
      <c r="C2423">
        <f t="shared" si="75"/>
        <v>7.8581982014558183E-2</v>
      </c>
    </row>
    <row r="2424" spans="1:3" x14ac:dyDescent="0.15">
      <c r="A2424">
        <v>24.200000000000003</v>
      </c>
      <c r="B2424">
        <f t="shared" si="74"/>
        <v>65.684850378277815</v>
      </c>
      <c r="C2424">
        <f t="shared" si="75"/>
        <v>7.8818349790193018E-2</v>
      </c>
    </row>
    <row r="2425" spans="1:3" x14ac:dyDescent="0.15">
      <c r="A2425">
        <v>24.21</v>
      </c>
      <c r="B2425">
        <f t="shared" si="74"/>
        <v>66.336521710547558</v>
      </c>
      <c r="C2425">
        <f t="shared" si="75"/>
        <v>7.9065600594897409E-2</v>
      </c>
    </row>
    <row r="2426" spans="1:3" x14ac:dyDescent="0.15">
      <c r="A2426">
        <v>24.220000000000002</v>
      </c>
      <c r="B2426">
        <f t="shared" si="74"/>
        <v>66.994641990722613</v>
      </c>
      <c r="C2426">
        <f t="shared" si="75"/>
        <v>7.9323931975032611E-2</v>
      </c>
    </row>
    <row r="2427" spans="1:3" x14ac:dyDescent="0.15">
      <c r="A2427">
        <v>24.23</v>
      </c>
      <c r="B2427">
        <f t="shared" si="74"/>
        <v>67.65927413220588</v>
      </c>
      <c r="C2427">
        <f t="shared" si="75"/>
        <v>7.9593548340075038E-2</v>
      </c>
    </row>
    <row r="2428" spans="1:3" x14ac:dyDescent="0.15">
      <c r="A2428">
        <v>24.240000000000002</v>
      </c>
      <c r="B2428">
        <f t="shared" si="74"/>
        <v>68.330481631821655</v>
      </c>
      <c r="C2428">
        <f t="shared" si="75"/>
        <v>7.9874661197933502E-2</v>
      </c>
    </row>
    <row r="2429" spans="1:3" x14ac:dyDescent="0.15">
      <c r="A2429">
        <v>24.250000000000004</v>
      </c>
      <c r="B2429">
        <f t="shared" si="74"/>
        <v>69.008328574070049</v>
      </c>
      <c r="C2429">
        <f t="shared" si="75"/>
        <v>8.0167489399920841E-2</v>
      </c>
    </row>
    <row r="2430" spans="1:3" x14ac:dyDescent="0.15">
      <c r="A2430">
        <v>24.26</v>
      </c>
      <c r="B2430">
        <f t="shared" si="74"/>
        <v>69.69287963536128</v>
      </c>
      <c r="C2430">
        <f t="shared" si="75"/>
        <v>8.0472259395815246E-2</v>
      </c>
    </row>
    <row r="2431" spans="1:3" x14ac:dyDescent="0.15">
      <c r="A2431">
        <v>24.270000000000003</v>
      </c>
      <c r="B2431">
        <f t="shared" si="74"/>
        <v>70.384200088226834</v>
      </c>
      <c r="C2431">
        <f t="shared" si="75"/>
        <v>8.0789205499468719E-2</v>
      </c>
    </row>
    <row r="2432" spans="1:3" x14ac:dyDescent="0.15">
      <c r="A2432">
        <v>24.28</v>
      </c>
      <c r="B2432">
        <f t="shared" si="74"/>
        <v>71.082355805504264</v>
      </c>
      <c r="C2432">
        <f t="shared" si="75"/>
        <v>8.111857016544273E-2</v>
      </c>
    </row>
    <row r="2433" spans="1:3" x14ac:dyDescent="0.15">
      <c r="A2433">
        <v>24.290000000000003</v>
      </c>
      <c r="B2433">
        <f t="shared" si="74"/>
        <v>71.787413264492372</v>
      </c>
      <c r="C2433">
        <f t="shared" si="75"/>
        <v>8.1460604277175053E-2</v>
      </c>
    </row>
    <row r="2434" spans="1:3" x14ac:dyDescent="0.15">
      <c r="A2434">
        <v>24.3</v>
      </c>
      <c r="B2434">
        <f t="shared" si="74"/>
        <v>72.49943955107328</v>
      </c>
      <c r="C2434">
        <f t="shared" si="75"/>
        <v>8.1815567447207471E-2</v>
      </c>
    </row>
    <row r="2435" spans="1:3" x14ac:dyDescent="0.15">
      <c r="A2435">
        <v>24.310000000000002</v>
      </c>
      <c r="B2435">
        <f t="shared" si="74"/>
        <v>73.218502363797541</v>
      </c>
      <c r="C2435">
        <f t="shared" si="75"/>
        <v>8.2183728330030514E-2</v>
      </c>
    </row>
    <row r="2436" spans="1:3" x14ac:dyDescent="0.15">
      <c r="A2436">
        <v>24.320000000000004</v>
      </c>
      <c r="B2436">
        <f t="shared" si="74"/>
        <v>73.944670017928516</v>
      </c>
      <c r="C2436">
        <f t="shared" si="75"/>
        <v>8.2565364948129813E-2</v>
      </c>
    </row>
    <row r="2437" spans="1:3" x14ac:dyDescent="0.15">
      <c r="A2437">
        <v>24.330000000000002</v>
      </c>
      <c r="B2437">
        <f t="shared" si="74"/>
        <v>74.678011449441797</v>
      </c>
      <c r="C2437">
        <f t="shared" si="75"/>
        <v>8.2960765031848363E-2</v>
      </c>
    </row>
    <row r="2438" spans="1:3" x14ac:dyDescent="0.15">
      <c r="A2438">
        <v>24.340000000000003</v>
      </c>
      <c r="B2438">
        <f t="shared" ref="B2438:B2501" si="76">(1+($A$2-$B$2*C2437)*$E$2)*B2437</f>
        <v>75.41859621897531</v>
      </c>
      <c r="C2438">
        <f t="shared" ref="C2438:C2501" si="77">(1+($C$2*B2437-$D$2)*$E$2)*C2437</f>
        <v>8.3370226373710443E-2</v>
      </c>
    </row>
    <row r="2439" spans="1:3" x14ac:dyDescent="0.15">
      <c r="A2439">
        <v>24.35</v>
      </c>
      <c r="B2439">
        <f t="shared" si="76"/>
        <v>76.166494515725503</v>
      </c>
      <c r="C2439">
        <f t="shared" si="77"/>
        <v>8.3794057197886032E-2</v>
      </c>
    </row>
    <row r="2440" spans="1:3" x14ac:dyDescent="0.15">
      <c r="A2440">
        <v>24.360000000000003</v>
      </c>
      <c r="B2440">
        <f t="shared" si="76"/>
        <v>76.921777161284751</v>
      </c>
      <c r="C2440">
        <f t="shared" si="77"/>
        <v>8.4232576545509807E-2</v>
      </c>
    </row>
    <row r="2441" spans="1:3" x14ac:dyDescent="0.15">
      <c r="A2441">
        <v>24.37</v>
      </c>
      <c r="B2441">
        <f t="shared" si="76"/>
        <v>77.684515613414845</v>
      </c>
      <c r="C2441">
        <f t="shared" si="77"/>
        <v>8.4686114676605626E-2</v>
      </c>
    </row>
    <row r="2442" spans="1:3" x14ac:dyDescent="0.15">
      <c r="A2442">
        <v>24.380000000000003</v>
      </c>
      <c r="B2442">
        <f t="shared" si="76"/>
        <v>78.454781969751167</v>
      </c>
      <c r="C2442">
        <f t="shared" si="77"/>
        <v>8.515501348940642E-2</v>
      </c>
    </row>
    <row r="2443" spans="1:3" x14ac:dyDescent="0.15">
      <c r="A2443">
        <v>24.39</v>
      </c>
      <c r="B2443">
        <f t="shared" si="76"/>
        <v>79.232648971431729</v>
      </c>
      <c r="C2443">
        <f t="shared" si="77"/>
        <v>8.563962695790088E-2</v>
      </c>
    </row>
    <row r="2444" spans="1:3" x14ac:dyDescent="0.15">
      <c r="A2444">
        <v>24.400000000000002</v>
      </c>
      <c r="B2444">
        <f t="shared" si="76"/>
        <v>80.018190006645241</v>
      </c>
      <c r="C2444">
        <f t="shared" si="77"/>
        <v>8.6140321588481811E-2</v>
      </c>
    </row>
    <row r="2445" spans="1:3" x14ac:dyDescent="0.15">
      <c r="A2445">
        <v>24.410000000000004</v>
      </c>
      <c r="B2445">
        <f t="shared" si="76"/>
        <v>80.811479114091597</v>
      </c>
      <c r="C2445">
        <f t="shared" si="77"/>
        <v>8.6657476896617125E-2</v>
      </c>
    </row>
    <row r="2446" spans="1:3" x14ac:dyDescent="0.15">
      <c r="A2446">
        <v>24.42</v>
      </c>
      <c r="B2446">
        <f t="shared" si="76"/>
        <v>81.612590986348195</v>
      </c>
      <c r="C2446">
        <f t="shared" si="77"/>
        <v>8.7191485904513116E-2</v>
      </c>
    </row>
    <row r="2447" spans="1:3" x14ac:dyDescent="0.15">
      <c r="A2447">
        <v>24.430000000000003</v>
      </c>
      <c r="B2447">
        <f t="shared" si="76"/>
        <v>82.421600973135071</v>
      </c>
      <c r="C2447">
        <f t="shared" si="77"/>
        <v>8.7742755660791386E-2</v>
      </c>
    </row>
    <row r="2448" spans="1:3" x14ac:dyDescent="0.15">
      <c r="A2448">
        <v>24.44</v>
      </c>
      <c r="B2448">
        <f t="shared" si="76"/>
        <v>83.238585084471069</v>
      </c>
      <c r="C2448">
        <f t="shared" si="77"/>
        <v>8.8311707783254881E-2</v>
      </c>
    </row>
    <row r="2449" spans="1:3" x14ac:dyDescent="0.15">
      <c r="A2449">
        <v>24.450000000000003</v>
      </c>
      <c r="B2449">
        <f t="shared" si="76"/>
        <v>84.063619993713516</v>
      </c>
      <c r="C2449">
        <f t="shared" si="77"/>
        <v>8.8898779025876604E-2</v>
      </c>
    </row>
    <row r="2450" spans="1:3" x14ac:dyDescent="0.15">
      <c r="A2450">
        <v>24.46</v>
      </c>
      <c r="B2450">
        <f t="shared" si="76"/>
        <v>84.896783040472712</v>
      </c>
      <c r="C2450">
        <f t="shared" si="77"/>
        <v>8.9504421871205123E-2</v>
      </c>
    </row>
    <row r="2451" spans="1:3" x14ac:dyDescent="0.15">
      <c r="A2451">
        <v>24.470000000000002</v>
      </c>
      <c r="B2451">
        <f t="shared" si="76"/>
        <v>85.738152233392682</v>
      </c>
      <c r="C2451">
        <f t="shared" si="77"/>
        <v>9.0129105149445596E-2</v>
      </c>
    </row>
    <row r="2452" spans="1:3" x14ac:dyDescent="0.15">
      <c r="A2452">
        <v>24.48</v>
      </c>
      <c r="B2452">
        <f t="shared" si="76"/>
        <v>86.587806252788653</v>
      </c>
      <c r="C2452">
        <f t="shared" si="77"/>
        <v>9.0773314685543657E-2</v>
      </c>
    </row>
    <row r="2453" spans="1:3" x14ac:dyDescent="0.15">
      <c r="A2453">
        <v>24.490000000000002</v>
      </c>
      <c r="B2453">
        <f t="shared" si="76"/>
        <v>87.445824453131621</v>
      </c>
      <c r="C2453">
        <f t="shared" si="77"/>
        <v>9.1437553975671285E-2</v>
      </c>
    </row>
    <row r="2454" spans="1:3" x14ac:dyDescent="0.15">
      <c r="A2454">
        <v>24.500000000000004</v>
      </c>
      <c r="B2454">
        <f t="shared" si="76"/>
        <v>88.312286865369543</v>
      </c>
      <c r="C2454">
        <f t="shared" si="77"/>
        <v>9.2122344894590633E-2</v>
      </c>
    </row>
    <row r="2455" spans="1:3" x14ac:dyDescent="0.15">
      <c r="A2455">
        <v>24.51</v>
      </c>
      <c r="B2455">
        <f t="shared" si="76"/>
        <v>89.187274199074196</v>
      </c>
      <c r="C2455">
        <f t="shared" si="77"/>
        <v>9.2828228435453047E-2</v>
      </c>
    </row>
    <row r="2456" spans="1:3" x14ac:dyDescent="0.15">
      <c r="A2456">
        <v>24.520000000000003</v>
      </c>
      <c r="B2456">
        <f t="shared" si="76"/>
        <v>90.070867844402059</v>
      </c>
      <c r="C2456">
        <f t="shared" si="77"/>
        <v>9.3555765483675918E-2</v>
      </c>
    </row>
    <row r="2457" spans="1:3" x14ac:dyDescent="0.15">
      <c r="A2457">
        <v>24.53</v>
      </c>
      <c r="B2457">
        <f t="shared" si="76"/>
        <v>90.963149873857105</v>
      </c>
      <c r="C2457">
        <f t="shared" si="77"/>
        <v>9.4305537626631561E-2</v>
      </c>
    </row>
    <row r="2458" spans="1:3" x14ac:dyDescent="0.15">
      <c r="A2458">
        <v>24.540000000000003</v>
      </c>
      <c r="B2458">
        <f t="shared" si="76"/>
        <v>91.864203043842622</v>
      </c>
      <c r="C2458">
        <f t="shared" si="77"/>
        <v>9.5078148000978441E-2</v>
      </c>
    </row>
    <row r="2459" spans="1:3" x14ac:dyDescent="0.15">
      <c r="A2459">
        <v>24.55</v>
      </c>
      <c r="B2459">
        <f t="shared" si="76"/>
        <v>92.774110795988065</v>
      </c>
      <c r="C2459">
        <f t="shared" si="77"/>
        <v>9.5874222179567523E-2</v>
      </c>
    </row>
    <row r="2460" spans="1:3" x14ac:dyDescent="0.15">
      <c r="A2460">
        <v>24.560000000000002</v>
      </c>
      <c r="B2460">
        <f t="shared" si="76"/>
        <v>93.692957258236987</v>
      </c>
      <c r="C2460">
        <f t="shared" si="77"/>
        <v>9.6694409099965115E-2</v>
      </c>
    </row>
    <row r="2461" spans="1:3" x14ac:dyDescent="0.15">
      <c r="A2461">
        <v>24.570000000000004</v>
      </c>
      <c r="B2461">
        <f t="shared" si="76"/>
        <v>94.620827245680459</v>
      </c>
      <c r="C2461">
        <f t="shared" si="77"/>
        <v>9.7539382036748168E-2</v>
      </c>
    </row>
    <row r="2462" spans="1:3" x14ac:dyDescent="0.15">
      <c r="A2462">
        <v>24.580000000000002</v>
      </c>
      <c r="B2462">
        <f t="shared" si="76"/>
        <v>95.557806261119907</v>
      </c>
      <c r="C2462">
        <f t="shared" si="77"/>
        <v>9.84098396198506E-2</v>
      </c>
    </row>
    <row r="2463" spans="1:3" x14ac:dyDescent="0.15">
      <c r="A2463">
        <v>24.590000000000003</v>
      </c>
      <c r="B2463">
        <f t="shared" si="76"/>
        <v>96.503980495342518</v>
      </c>
      <c r="C2463">
        <f t="shared" si="77"/>
        <v>9.9306506901368399E-2</v>
      </c>
    </row>
    <row r="2464" spans="1:3" x14ac:dyDescent="0.15">
      <c r="A2464">
        <v>24.6</v>
      </c>
      <c r="B2464">
        <f t="shared" si="76"/>
        <v>97.459436827090869</v>
      </c>
      <c r="C2464">
        <f t="shared" si="77"/>
        <v>0.10023013647336877</v>
      </c>
    </row>
    <row r="2465" spans="1:3" x14ac:dyDescent="0.15">
      <c r="A2465">
        <v>24.610000000000003</v>
      </c>
      <c r="B2465">
        <f t="shared" si="76"/>
        <v>98.424262822707973</v>
      </c>
      <c r="C2465">
        <f t="shared" si="77"/>
        <v>0.10118150963939448</v>
      </c>
    </row>
    <row r="2466" spans="1:3" x14ac:dyDescent="0.15">
      <c r="A2466">
        <v>24.62</v>
      </c>
      <c r="B2466">
        <f t="shared" si="76"/>
        <v>99.398546735437506</v>
      </c>
      <c r="C2466">
        <f t="shared" si="77"/>
        <v>0.10216143764250978</v>
      </c>
    </row>
    <row r="2467" spans="1:3" x14ac:dyDescent="0.15">
      <c r="A2467">
        <v>24.630000000000003</v>
      </c>
      <c r="B2467">
        <f t="shared" si="76"/>
        <v>100.38237750435782</v>
      </c>
      <c r="C2467">
        <f t="shared" si="77"/>
        <v>0.10317076295289837</v>
      </c>
    </row>
    <row r="2468" spans="1:3" x14ac:dyDescent="0.15">
      <c r="A2468">
        <v>24.64</v>
      </c>
      <c r="B2468">
        <f t="shared" si="76"/>
        <v>101.37584475292725</v>
      </c>
      <c r="C2468">
        <f t="shared" si="77"/>
        <v>0.10421036061819948</v>
      </c>
    </row>
    <row r="2469" spans="1:3" x14ac:dyDescent="0.15">
      <c r="A2469">
        <v>24.650000000000002</v>
      </c>
      <c r="B2469">
        <f t="shared" si="76"/>
        <v>102.37903878711685</v>
      </c>
      <c r="C2469">
        <f t="shared" si="77"/>
        <v>0.10528113967995292</v>
      </c>
    </row>
    <row r="2470" spans="1:3" x14ac:dyDescent="0.15">
      <c r="A2470">
        <v>24.660000000000004</v>
      </c>
      <c r="B2470">
        <f t="shared" si="76"/>
        <v>103.39205059310517</v>
      </c>
      <c r="C2470">
        <f t="shared" si="77"/>
        <v>0.10638404465972255</v>
      </c>
    </row>
    <row r="2471" spans="1:3" x14ac:dyDescent="0.15">
      <c r="A2471">
        <v>24.67</v>
      </c>
      <c r="B2471">
        <f t="shared" si="76"/>
        <v>104.41497183450845</v>
      </c>
      <c r="C2471">
        <f t="shared" si="77"/>
        <v>0.10752005711867677</v>
      </c>
    </row>
    <row r="2472" spans="1:3" x14ac:dyDescent="0.15">
      <c r="A2472">
        <v>24.680000000000003</v>
      </c>
      <c r="B2472">
        <f t="shared" si="76"/>
        <v>105.44789484911783</v>
      </c>
      <c r="C2472">
        <f t="shared" si="77"/>
        <v>0.10869019729462828</v>
      </c>
    </row>
    <row r="2473" spans="1:3" x14ac:dyDescent="0.15">
      <c r="A2473">
        <v>24.69</v>
      </c>
      <c r="B2473">
        <f t="shared" si="76"/>
        <v>106.49091264511355</v>
      </c>
      <c r="C2473">
        <f t="shared" si="77"/>
        <v>0.10989552582077276</v>
      </c>
    </row>
    <row r="2474" spans="1:3" x14ac:dyDescent="0.15">
      <c r="A2474">
        <v>24.700000000000003</v>
      </c>
      <c r="B2474">
        <f t="shared" si="76"/>
        <v>107.54411889672443</v>
      </c>
      <c r="C2474">
        <f t="shared" si="77"/>
        <v>0.11113714553061879</v>
      </c>
    </row>
    <row r="2475" spans="1:3" x14ac:dyDescent="0.15">
      <c r="A2475">
        <v>24.71</v>
      </c>
      <c r="B2475">
        <f t="shared" si="76"/>
        <v>108.60760793929887</v>
      </c>
      <c r="C2475">
        <f t="shared" si="77"/>
        <v>0.11241620335387008</v>
      </c>
    </row>
    <row r="2476" spans="1:3" x14ac:dyDescent="0.15">
      <c r="A2476">
        <v>24.720000000000002</v>
      </c>
      <c r="B2476">
        <f t="shared" si="76"/>
        <v>109.68147476375198</v>
      </c>
      <c r="C2476">
        <f t="shared" si="77"/>
        <v>0.11373389230830769</v>
      </c>
    </row>
    <row r="2477" spans="1:3" x14ac:dyDescent="0.15">
      <c r="A2477">
        <v>24.73</v>
      </c>
      <c r="B2477">
        <f t="shared" si="76"/>
        <v>110.76581501035051</v>
      </c>
      <c r="C2477">
        <f t="shared" si="77"/>
        <v>0.115091453593024</v>
      </c>
    </row>
    <row r="2478" spans="1:3" x14ac:dyDescent="0.15">
      <c r="A2478">
        <v>24.740000000000002</v>
      </c>
      <c r="B2478">
        <f t="shared" si="76"/>
        <v>111.86072496179605</v>
      </c>
      <c r="C2478">
        <f t="shared" si="77"/>
        <v>0.11649017878868521</v>
      </c>
    </row>
    <row r="2479" spans="1:3" x14ac:dyDescent="0.15">
      <c r="A2479">
        <v>24.750000000000004</v>
      </c>
      <c r="B2479">
        <f t="shared" si="76"/>
        <v>112.96630153556379</v>
      </c>
      <c r="C2479">
        <f t="shared" si="77"/>
        <v>0.11793141217084468</v>
      </c>
    </row>
    <row r="2480" spans="1:3" x14ac:dyDescent="0.15">
      <c r="A2480">
        <v>24.76</v>
      </c>
      <c r="B2480">
        <f t="shared" si="76"/>
        <v>114.08264227545162</v>
      </c>
      <c r="C2480">
        <f t="shared" si="77"/>
        <v>0.11941655314269754</v>
      </c>
    </row>
    <row r="2481" spans="1:3" x14ac:dyDescent="0.15">
      <c r="A2481">
        <v>24.770000000000003</v>
      </c>
      <c r="B2481">
        <f t="shared" si="76"/>
        <v>115.2098453422922</v>
      </c>
      <c r="C2481">
        <f t="shared" si="77"/>
        <v>0.12094705879405973</v>
      </c>
    </row>
    <row r="2482" spans="1:3" x14ac:dyDescent="0.15">
      <c r="A2482">
        <v>24.78</v>
      </c>
      <c r="B2482">
        <f t="shared" si="76"/>
        <v>116.34800950377684</v>
      </c>
      <c r="C2482">
        <f t="shared" si="77"/>
        <v>0.12252444659377289</v>
      </c>
    </row>
    <row r="2483" spans="1:3" x14ac:dyDescent="0.15">
      <c r="A2483">
        <v>24.790000000000003</v>
      </c>
      <c r="B2483">
        <f t="shared" si="76"/>
        <v>117.49723412333786</v>
      </c>
      <c r="C2483">
        <f t="shared" si="77"/>
        <v>0.12415029722318262</v>
      </c>
    </row>
    <row r="2484" spans="1:3" x14ac:dyDescent="0.15">
      <c r="A2484">
        <v>24.8</v>
      </c>
      <c r="B2484">
        <f t="shared" si="76"/>
        <v>118.65761914803193</v>
      </c>
      <c r="C2484">
        <f t="shared" si="77"/>
        <v>0.12582625755881366</v>
      </c>
    </row>
    <row r="2485" spans="1:3" x14ac:dyDescent="0.15">
      <c r="A2485">
        <v>24.810000000000002</v>
      </c>
      <c r="B2485">
        <f t="shared" si="76"/>
        <v>119.82926509536402</v>
      </c>
      <c r="C2485">
        <f t="shared" si="77"/>
        <v>0.12755404381287269</v>
      </c>
    </row>
    <row r="2486" spans="1:3" x14ac:dyDescent="0.15">
      <c r="A2486">
        <v>24.820000000000004</v>
      </c>
      <c r="B2486">
        <f t="shared" si="76"/>
        <v>121.01227303898763</v>
      </c>
      <c r="C2486">
        <f t="shared" si="77"/>
        <v>0.12933544484075163</v>
      </c>
    </row>
    <row r="2487" spans="1:3" x14ac:dyDescent="0.15">
      <c r="A2487">
        <v>24.830000000000002</v>
      </c>
      <c r="B2487">
        <f t="shared" si="76"/>
        <v>122.2067445932128</v>
      </c>
      <c r="C2487">
        <f t="shared" si="77"/>
        <v>0.13117232562528169</v>
      </c>
    </row>
    <row r="2488" spans="1:3" x14ac:dyDescent="0.15">
      <c r="A2488">
        <v>24.840000000000003</v>
      </c>
      <c r="B2488">
        <f t="shared" si="76"/>
        <v>123.41278189624956</v>
      </c>
      <c r="C2488">
        <f t="shared" si="77"/>
        <v>0.1330666309481062</v>
      </c>
    </row>
    <row r="2489" spans="1:3" x14ac:dyDescent="0.15">
      <c r="A2489">
        <v>24.85</v>
      </c>
      <c r="B2489">
        <f t="shared" si="76"/>
        <v>124.63048759210919</v>
      </c>
      <c r="C2489">
        <f t="shared" si="77"/>
        <v>0.1350203892591986</v>
      </c>
    </row>
    <row r="2490" spans="1:3" x14ac:dyDescent="0.15">
      <c r="A2490">
        <v>24.860000000000003</v>
      </c>
      <c r="B2490">
        <f t="shared" si="76"/>
        <v>125.85996481108204</v>
      </c>
      <c r="C2490">
        <f t="shared" si="77"/>
        <v>0.13703571675625667</v>
      </c>
    </row>
    <row r="2491" spans="1:3" x14ac:dyDescent="0.15">
      <c r="A2491">
        <v>24.87</v>
      </c>
      <c r="B2491">
        <f t="shared" si="76"/>
        <v>127.10131714870406</v>
      </c>
      <c r="C2491">
        <f t="shared" si="77"/>
        <v>0.13911482168645489</v>
      </c>
    </row>
    <row r="2492" spans="1:3" x14ac:dyDescent="0.15">
      <c r="A2492">
        <v>24.880000000000003</v>
      </c>
      <c r="B2492">
        <f t="shared" si="76"/>
        <v>128.35464864311984</v>
      </c>
      <c r="C2492">
        <f t="shared" si="77"/>
        <v>0.14126000888384146</v>
      </c>
    </row>
    <row r="2493" spans="1:3" x14ac:dyDescent="0.15">
      <c r="A2493">
        <v>24.89</v>
      </c>
      <c r="B2493">
        <f t="shared" si="76"/>
        <v>129.62006375074341</v>
      </c>
      <c r="C2493">
        <f t="shared" si="77"/>
        <v>0.14347368455652493</v>
      </c>
    </row>
    <row r="2494" spans="1:3" x14ac:dyDescent="0.15">
      <c r="A2494">
        <v>24.900000000000002</v>
      </c>
      <c r="B2494">
        <f t="shared" si="76"/>
        <v>130.89766732011208</v>
      </c>
      <c r="C2494">
        <f t="shared" si="77"/>
        <v>0.14575836133871387</v>
      </c>
    </row>
    <row r="2495" spans="1:3" x14ac:dyDescent="0.15">
      <c r="A2495">
        <v>24.910000000000004</v>
      </c>
      <c r="B2495">
        <f t="shared" si="76"/>
        <v>132.18756456382155</v>
      </c>
      <c r="C2495">
        <f t="shared" si="77"/>
        <v>0.14811666362365467</v>
      </c>
    </row>
    <row r="2496" spans="1:3" x14ac:dyDescent="0.15">
      <c r="A2496">
        <v>24.92</v>
      </c>
      <c r="B2496">
        <f t="shared" si="76"/>
        <v>133.48986102842403</v>
      </c>
      <c r="C2496">
        <f t="shared" si="77"/>
        <v>0.15055133319456404</v>
      </c>
    </row>
    <row r="2497" spans="1:3" x14ac:dyDescent="0.15">
      <c r="A2497">
        <v>24.930000000000003</v>
      </c>
      <c r="B2497">
        <f t="shared" si="76"/>
        <v>134.80466256216249</v>
      </c>
      <c r="C2497">
        <f t="shared" si="77"/>
        <v>0.15306523517177567</v>
      </c>
    </row>
    <row r="2498" spans="1:3" x14ac:dyDescent="0.15">
      <c r="A2498">
        <v>24.94</v>
      </c>
      <c r="B2498">
        <f t="shared" si="76"/>
        <v>136.13207528040678</v>
      </c>
      <c r="C2498">
        <f t="shared" si="77"/>
        <v>0.15566136429552377</v>
      </c>
    </row>
    <row r="2499" spans="1:3" x14ac:dyDescent="0.15">
      <c r="A2499">
        <v>24.950000000000003</v>
      </c>
      <c r="B2499">
        <f t="shared" si="76"/>
        <v>137.47220552864832</v>
      </c>
      <c r="C2499">
        <f t="shared" si="77"/>
        <v>0.15834285156507436</v>
      </c>
    </row>
    <row r="2500" spans="1:3" x14ac:dyDescent="0.15">
      <c r="A2500">
        <v>24.96</v>
      </c>
      <c r="B2500">
        <f t="shared" si="76"/>
        <v>138.82515984290046</v>
      </c>
      <c r="C2500">
        <f t="shared" si="77"/>
        <v>0.16111297125629284</v>
      </c>
    </row>
    <row r="2501" spans="1:3" x14ac:dyDescent="0.15">
      <c r="A2501">
        <v>24.970000000000002</v>
      </c>
      <c r="B2501">
        <f t="shared" si="76"/>
        <v>140.19104490734205</v>
      </c>
      <c r="C2501">
        <f t="shared" si="77"/>
        <v>0.16397514834121379</v>
      </c>
    </row>
    <row r="2502" spans="1:3" x14ac:dyDescent="0.15">
      <c r="A2502">
        <v>24.98</v>
      </c>
      <c r="B2502">
        <f t="shared" ref="B2502:B2504" si="78">(1+($A$2-$B$2*C2501)*$E$2)*B2501</f>
        <v>141.56996750903068</v>
      </c>
      <c r="C2502">
        <f t="shared" ref="C2502:C2504" si="79">(1+($C$2*B2501-$D$2)*$E$2)*C2501</f>
        <v>0.16693296633475987</v>
      </c>
    </row>
    <row r="2503" spans="1:3" x14ac:dyDescent="0.15">
      <c r="A2503">
        <v>24.990000000000002</v>
      </c>
      <c r="B2503">
        <f t="shared" si="78"/>
        <v>142.96203448950078</v>
      </c>
      <c r="C2503">
        <f t="shared" si="79"/>
        <v>0.1699901755954519</v>
      </c>
    </row>
    <row r="2504" spans="1:3" x14ac:dyDescent="0.15">
      <c r="A2504">
        <v>25.000000000000004</v>
      </c>
      <c r="B2504">
        <f t="shared" si="78"/>
        <v>144.36735269304944</v>
      </c>
      <c r="C2504">
        <f t="shared" si="79"/>
        <v>0.17315070210876804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croll Bar 1">
              <controlPr defaultSize="0" autoPict="0">
                <anchor moveWithCells="1">
                  <from>
                    <xdr:col>3</xdr:col>
                    <xdr:colOff>666750</xdr:colOff>
                    <xdr:row>26</xdr:row>
                    <xdr:rowOff>66675</xdr:rowOff>
                  </from>
                  <to>
                    <xdr:col>11</xdr:col>
                    <xdr:colOff>447675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Scroll Bar 3">
              <controlPr defaultSize="0" autoPict="0">
                <anchor moveWithCells="1">
                  <from>
                    <xdr:col>4</xdr:col>
                    <xdr:colOff>0</xdr:colOff>
                    <xdr:row>28</xdr:row>
                    <xdr:rowOff>57150</xdr:rowOff>
                  </from>
                  <to>
                    <xdr:col>11</xdr:col>
                    <xdr:colOff>457200</xdr:colOff>
                    <xdr:row>29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902"/>
  <sheetViews>
    <sheetView workbookViewId="0">
      <selection activeCell="F33" sqref="F33"/>
    </sheetView>
  </sheetViews>
  <sheetFormatPr defaultRowHeight="13.5" x14ac:dyDescent="0.15"/>
  <cols>
    <col min="2" max="2" width="15.375" bestFit="1" customWidth="1"/>
    <col min="3" max="3" width="12.625" bestFit="1" customWidth="1"/>
    <col min="4" max="4" width="13.375" bestFit="1" customWidth="1"/>
  </cols>
  <sheetData>
    <row r="1" spans="1:13" x14ac:dyDescent="0.15">
      <c r="A1" t="s">
        <v>17</v>
      </c>
      <c r="B1" t="s">
        <v>18</v>
      </c>
      <c r="C1" t="s">
        <v>19</v>
      </c>
      <c r="D1" t="s">
        <v>20</v>
      </c>
      <c r="F1" s="1" t="s">
        <v>21</v>
      </c>
      <c r="G1">
        <f>$L$1/100000</f>
        <v>4.0000000000000002E-4</v>
      </c>
      <c r="H1" t="s">
        <v>23</v>
      </c>
      <c r="L1">
        <v>40</v>
      </c>
      <c r="M1" s="3" t="s">
        <v>25</v>
      </c>
    </row>
    <row r="2" spans="1:13" x14ac:dyDescent="0.15">
      <c r="A2">
        <v>0</v>
      </c>
      <c r="B2">
        <v>1000</v>
      </c>
      <c r="C2">
        <v>1</v>
      </c>
      <c r="D2">
        <v>0</v>
      </c>
      <c r="F2" s="1" t="s">
        <v>22</v>
      </c>
      <c r="G2">
        <f>$L$2/100</f>
        <v>0.2</v>
      </c>
      <c r="H2" t="s">
        <v>24</v>
      </c>
      <c r="L2">
        <v>20</v>
      </c>
      <c r="M2" s="3" t="s">
        <v>26</v>
      </c>
    </row>
    <row r="3" spans="1:13" x14ac:dyDescent="0.15">
      <c r="A3">
        <v>0.1</v>
      </c>
      <c r="B3">
        <f>B2-$G$1*B2*C2*$A$3</f>
        <v>999.96</v>
      </c>
      <c r="C3">
        <f>C2+($G$1*B2*C2-$G$2*C2)*$A$3</f>
        <v>1.02</v>
      </c>
      <c r="D3">
        <f>D2+$G$2*C2*$A$3</f>
        <v>2.0000000000000004E-2</v>
      </c>
    </row>
    <row r="4" spans="1:13" x14ac:dyDescent="0.15">
      <c r="A4">
        <v>0.2</v>
      </c>
      <c r="B4">
        <f t="shared" ref="B4:B67" si="0">B3-$G$1*B3*C3*$A$3</f>
        <v>999.91920163200007</v>
      </c>
      <c r="C4">
        <f t="shared" ref="C4:C67" si="1">C3+($G$1*B3*C3-$G$2*C3)*$A$3</f>
        <v>1.040398368</v>
      </c>
      <c r="D4">
        <f t="shared" ref="D4:D67" si="2">D3+$G$2*C3*$A$3</f>
        <v>4.0400000000000005E-2</v>
      </c>
    </row>
    <row r="5" spans="1:13" x14ac:dyDescent="0.15">
      <c r="A5">
        <v>0.30000000000000004</v>
      </c>
      <c r="B5">
        <f t="shared" si="0"/>
        <v>999.87758905977967</v>
      </c>
      <c r="C5">
        <f t="shared" si="1"/>
        <v>1.0612029728603918</v>
      </c>
      <c r="D5">
        <f t="shared" si="2"/>
        <v>6.1207967360000004E-2</v>
      </c>
    </row>
    <row r="6" spans="1:13" x14ac:dyDescent="0.15">
      <c r="A6">
        <v>0.4</v>
      </c>
      <c r="B6">
        <f t="shared" si="0"/>
        <v>999.83514613697935</v>
      </c>
      <c r="C6">
        <f t="shared" si="1"/>
        <v>1.0824218362034528</v>
      </c>
      <c r="D6">
        <f t="shared" si="2"/>
        <v>8.2432026817207849E-2</v>
      </c>
    </row>
    <row r="7" spans="1:13" x14ac:dyDescent="0.15">
      <c r="A7">
        <v>0.5</v>
      </c>
      <c r="B7">
        <f t="shared" si="0"/>
        <v>999.79185640118806</v>
      </c>
      <c r="C7">
        <f t="shared" si="1"/>
        <v>1.1040631352706771</v>
      </c>
      <c r="D7">
        <f t="shared" si="2"/>
        <v>0.10408046354127691</v>
      </c>
    </row>
    <row r="8" spans="1:13" x14ac:dyDescent="0.15">
      <c r="A8">
        <v>0.6</v>
      </c>
      <c r="B8">
        <f t="shared" si="0"/>
        <v>999.74770306792425</v>
      </c>
      <c r="C8">
        <f t="shared" si="1"/>
        <v>1.126135205829119</v>
      </c>
      <c r="D8">
        <f t="shared" si="2"/>
        <v>0.12616172624669045</v>
      </c>
    </row>
    <row r="9" spans="1:13" x14ac:dyDescent="0.15">
      <c r="A9">
        <v>0.70000000000000007</v>
      </c>
      <c r="B9">
        <f t="shared" si="0"/>
        <v>999.70266902450942</v>
      </c>
      <c r="C9">
        <f t="shared" si="1"/>
        <v>1.1486465451273999</v>
      </c>
      <c r="D9">
        <f t="shared" si="2"/>
        <v>0.14868443036327283</v>
      </c>
    </row>
    <row r="10" spans="1:13" x14ac:dyDescent="0.15">
      <c r="A10">
        <v>0.8</v>
      </c>
      <c r="B10">
        <f t="shared" si="0"/>
        <v>999.65673682383226</v>
      </c>
      <c r="C10">
        <f t="shared" si="1"/>
        <v>1.1716058149020376</v>
      </c>
      <c r="D10">
        <f t="shared" si="2"/>
        <v>0.17165736126582085</v>
      </c>
    </row>
    <row r="11" spans="1:13" x14ac:dyDescent="0.15">
      <c r="A11">
        <v>0.9</v>
      </c>
      <c r="B11">
        <f t="shared" si="0"/>
        <v>999.60988867800154</v>
      </c>
      <c r="C11">
        <f t="shared" si="1"/>
        <v>1.1950218444347489</v>
      </c>
      <c r="D11">
        <f t="shared" si="2"/>
        <v>0.19508947756386161</v>
      </c>
    </row>
    <row r="12" spans="1:13" x14ac:dyDescent="0.15">
      <c r="A12">
        <v>1</v>
      </c>
      <c r="B12">
        <f t="shared" si="0"/>
        <v>999.56210645188617</v>
      </c>
      <c r="C12">
        <f t="shared" si="1"/>
        <v>1.2189036336613819</v>
      </c>
      <c r="D12">
        <f t="shared" si="2"/>
        <v>0.21898991445255658</v>
      </c>
    </row>
    <row r="13" spans="1:13" x14ac:dyDescent="0.15">
      <c r="A13">
        <v>1.1000000000000001</v>
      </c>
      <c r="B13">
        <f t="shared" si="0"/>
        <v>999.51337165654115</v>
      </c>
      <c r="C13">
        <f t="shared" si="1"/>
        <v>1.2432603563331315</v>
      </c>
      <c r="D13">
        <f t="shared" si="2"/>
        <v>0.24336798712578422</v>
      </c>
    </row>
    <row r="14" spans="1:13" x14ac:dyDescent="0.15">
      <c r="A14">
        <v>1.2000000000000002</v>
      </c>
      <c r="B14">
        <f t="shared" si="0"/>
        <v>999.46366544251691</v>
      </c>
      <c r="C14">
        <f t="shared" si="1"/>
        <v>1.2681013632306866</v>
      </c>
      <c r="D14">
        <f t="shared" si="2"/>
        <v>0.26823319425244685</v>
      </c>
    </row>
    <row r="15" spans="1:13" x14ac:dyDescent="0.15">
      <c r="A15">
        <v>1.3000000000000003</v>
      </c>
      <c r="B15">
        <f t="shared" si="0"/>
        <v>999.412968593051</v>
      </c>
      <c r="C15">
        <f t="shared" si="1"/>
        <v>1.2934361854319607</v>
      </c>
      <c r="D15">
        <f t="shared" si="2"/>
        <v>0.29359522151706058</v>
      </c>
    </row>
    <row r="16" spans="1:13" x14ac:dyDescent="0.15">
      <c r="A16">
        <v>1.4000000000000001</v>
      </c>
      <c r="B16">
        <f t="shared" si="0"/>
        <v>999.36126151714029</v>
      </c>
      <c r="C16">
        <f t="shared" si="1"/>
        <v>1.3192745376340507</v>
      </c>
      <c r="D16">
        <f t="shared" si="2"/>
        <v>0.31946394522569976</v>
      </c>
    </row>
    <row r="17" spans="1:4" x14ac:dyDescent="0.15">
      <c r="A17">
        <v>1.5000000000000002</v>
      </c>
      <c r="B17">
        <f t="shared" si="0"/>
        <v>999.30852424249156</v>
      </c>
      <c r="C17">
        <f t="shared" si="1"/>
        <v>1.3456263215300659</v>
      </c>
      <c r="D17">
        <f t="shared" si="2"/>
        <v>0.3458494359783808</v>
      </c>
    </row>
    <row r="18" spans="1:4" x14ac:dyDescent="0.15">
      <c r="A18">
        <v>1.6</v>
      </c>
      <c r="B18">
        <f t="shared" si="0"/>
        <v>999.25473640834957</v>
      </c>
      <c r="C18">
        <f t="shared" si="1"/>
        <v>1.3725016292414671</v>
      </c>
      <c r="D18">
        <f t="shared" si="2"/>
        <v>0.37276196240898213</v>
      </c>
    </row>
    <row r="19" spans="1:4" x14ac:dyDescent="0.15">
      <c r="A19">
        <v>1.7000000000000002</v>
      </c>
      <c r="B19">
        <f t="shared" si="0"/>
        <v>999.19987725819965</v>
      </c>
      <c r="C19">
        <f t="shared" si="1"/>
        <v>1.3999107468065464</v>
      </c>
      <c r="D19">
        <f t="shared" si="2"/>
        <v>0.40021199499381149</v>
      </c>
    </row>
    <row r="20" spans="1:4" x14ac:dyDescent="0.15">
      <c r="A20">
        <v>1.8000000000000003</v>
      </c>
      <c r="B20">
        <f t="shared" si="0"/>
        <v>999.14392563234435</v>
      </c>
      <c r="C20">
        <f t="shared" si="1"/>
        <v>1.427864157725677</v>
      </c>
      <c r="D20">
        <f t="shared" si="2"/>
        <v>0.42821020992994241</v>
      </c>
    </row>
    <row r="21" spans="1:4" x14ac:dyDescent="0.15">
      <c r="A21">
        <v>1.9000000000000001</v>
      </c>
      <c r="B21">
        <f t="shared" si="0"/>
        <v>999.0868599603516</v>
      </c>
      <c r="C21">
        <f t="shared" si="1"/>
        <v>1.4563725465639537</v>
      </c>
      <c r="D21">
        <f t="shared" si="2"/>
        <v>0.45676749308445597</v>
      </c>
    </row>
    <row r="22" spans="1:4" x14ac:dyDescent="0.15">
      <c r="A22">
        <v>2</v>
      </c>
      <c r="B22">
        <f t="shared" si="0"/>
        <v>999.02865825337244</v>
      </c>
      <c r="C22">
        <f t="shared" si="1"/>
        <v>1.4854468026118361</v>
      </c>
      <c r="D22">
        <f t="shared" si="2"/>
        <v>0.48589494401573502</v>
      </c>
    </row>
    <row r="23" spans="1:4" x14ac:dyDescent="0.15">
      <c r="A23">
        <v>2.1</v>
      </c>
      <c r="B23">
        <f t="shared" si="0"/>
        <v>998.96929809632763</v>
      </c>
      <c r="C23">
        <f t="shared" si="1"/>
        <v>1.515098023604402</v>
      </c>
      <c r="D23">
        <f t="shared" si="2"/>
        <v>0.51560388006797175</v>
      </c>
    </row>
    <row r="24" spans="1:4" x14ac:dyDescent="0.15">
      <c r="A24">
        <v>2.2000000000000002</v>
      </c>
      <c r="B24">
        <f t="shared" si="0"/>
        <v>998.90875663996019</v>
      </c>
      <c r="C24">
        <f t="shared" si="1"/>
        <v>1.5453375194998029</v>
      </c>
      <c r="D24">
        <f t="shared" si="2"/>
        <v>0.54590584054005975</v>
      </c>
    </row>
    <row r="25" spans="1:4" x14ac:dyDescent="0.15">
      <c r="A25">
        <v>2.3000000000000003</v>
      </c>
      <c r="B25">
        <f t="shared" si="0"/>
        <v>998.84701059275244</v>
      </c>
      <c r="C25">
        <f t="shared" si="1"/>
        <v>1.5761768163175121</v>
      </c>
      <c r="D25">
        <f t="shared" si="2"/>
        <v>0.57681259093005577</v>
      </c>
    </row>
    <row r="26" spans="1:4" x14ac:dyDescent="0.15">
      <c r="A26">
        <v>2.4000000000000004</v>
      </c>
      <c r="B26">
        <f t="shared" si="0"/>
        <v>998.78403621270661</v>
      </c>
      <c r="C26">
        <f t="shared" si="1"/>
        <v>1.6076276600369357</v>
      </c>
      <c r="D26">
        <f t="shared" si="2"/>
        <v>0.60833612725640607</v>
      </c>
    </row>
    <row r="27" spans="1:4" x14ac:dyDescent="0.15">
      <c r="A27">
        <v>2.5000000000000004</v>
      </c>
      <c r="B27">
        <f t="shared" si="0"/>
        <v>998.71980929898587</v>
      </c>
      <c r="C27">
        <f t="shared" si="1"/>
        <v>1.6397020205569521</v>
      </c>
      <c r="D27">
        <f t="shared" si="2"/>
        <v>0.6404886804571448</v>
      </c>
    </row>
    <row r="28" spans="1:4" x14ac:dyDescent="0.15">
      <c r="A28">
        <v>2.6</v>
      </c>
      <c r="B28">
        <f t="shared" si="0"/>
        <v>998.65430518341475</v>
      </c>
      <c r="C28">
        <f t="shared" si="1"/>
        <v>1.6724120957169251</v>
      </c>
      <c r="D28">
        <f t="shared" si="2"/>
        <v>0.67328272086828389</v>
      </c>
    </row>
    <row r="29" spans="1:4" x14ac:dyDescent="0.15">
      <c r="A29">
        <v>2.7</v>
      </c>
      <c r="B29">
        <f t="shared" si="0"/>
        <v>998.58749872183762</v>
      </c>
      <c r="C29">
        <f t="shared" si="1"/>
        <v>1.7057703153797275</v>
      </c>
      <c r="D29">
        <f t="shared" si="2"/>
        <v>0.70673096278262237</v>
      </c>
    </row>
    <row r="30" spans="1:4" x14ac:dyDescent="0.15">
      <c r="A30">
        <v>2.8000000000000003</v>
      </c>
      <c r="B30">
        <f t="shared" si="0"/>
        <v>998.51936428533247</v>
      </c>
      <c r="C30">
        <f t="shared" si="1"/>
        <v>1.739789345577293</v>
      </c>
      <c r="D30">
        <f t="shared" si="2"/>
        <v>0.74084636909021695</v>
      </c>
    </row>
    <row r="31" spans="1:4" x14ac:dyDescent="0.15">
      <c r="A31">
        <v>2.9000000000000004</v>
      </c>
      <c r="B31">
        <f t="shared" si="0"/>
        <v>998.44987575127902</v>
      </c>
      <c r="C31">
        <f t="shared" si="1"/>
        <v>1.7744820927191964</v>
      </c>
      <c r="D31">
        <f t="shared" si="2"/>
        <v>0.77564215600176278</v>
      </c>
    </row>
    <row r="32" spans="1:4" x14ac:dyDescent="0.15">
      <c r="A32">
        <v>3.0000000000000004</v>
      </c>
      <c r="B32">
        <f t="shared" si="0"/>
        <v>998.37900649427911</v>
      </c>
      <c r="C32">
        <f t="shared" si="1"/>
        <v>1.8098617078647465</v>
      </c>
      <c r="D32">
        <f t="shared" si="2"/>
        <v>0.81113179785614675</v>
      </c>
    </row>
    <row r="33" spans="1:4" x14ac:dyDescent="0.15">
      <c r="A33">
        <v>3.1</v>
      </c>
      <c r="B33">
        <f t="shared" si="0"/>
        <v>998.30672937692748</v>
      </c>
      <c r="C33">
        <f t="shared" si="1"/>
        <v>1.8459415910590533</v>
      </c>
      <c r="D33">
        <f t="shared" si="2"/>
        <v>0.84732903201344167</v>
      </c>
    </row>
    <row r="34" spans="1:4" x14ac:dyDescent="0.15">
      <c r="A34">
        <v>3.2</v>
      </c>
      <c r="B34">
        <f t="shared" si="0"/>
        <v>998.23301674043182</v>
      </c>
      <c r="C34">
        <f t="shared" si="1"/>
        <v>1.8827353957335125</v>
      </c>
      <c r="D34">
        <f t="shared" si="2"/>
        <v>0.88424786383462273</v>
      </c>
    </row>
    <row r="35" spans="1:4" x14ac:dyDescent="0.15">
      <c r="A35">
        <v>3.3000000000000003</v>
      </c>
      <c r="B35">
        <f t="shared" si="0"/>
        <v>998.15784039507957</v>
      </c>
      <c r="C35">
        <f t="shared" si="1"/>
        <v>1.9202570331711244</v>
      </c>
      <c r="D35">
        <f t="shared" si="2"/>
        <v>0.92190257174929302</v>
      </c>
    </row>
    <row r="36" spans="1:4" x14ac:dyDescent="0.15">
      <c r="A36">
        <v>3.4000000000000004</v>
      </c>
      <c r="B36">
        <f t="shared" si="0"/>
        <v>998.0811716105502</v>
      </c>
      <c r="C36">
        <f t="shared" si="1"/>
        <v>1.958520677037044</v>
      </c>
      <c r="D36">
        <f t="shared" si="2"/>
        <v>0.96030771241271551</v>
      </c>
    </row>
    <row r="37" spans="1:4" x14ac:dyDescent="0.15">
      <c r="A37">
        <v>3.5000000000000004</v>
      </c>
      <c r="B37">
        <f t="shared" si="0"/>
        <v>998.00298110607173</v>
      </c>
      <c r="C37">
        <f t="shared" si="1"/>
        <v>1.9975407679747279</v>
      </c>
      <c r="D37">
        <f t="shared" si="2"/>
        <v>0.99947812595345642</v>
      </c>
    </row>
    <row r="38" spans="1:4" x14ac:dyDescent="0.15">
      <c r="A38">
        <v>3.6</v>
      </c>
      <c r="B38">
        <f t="shared" si="0"/>
        <v>997.92323904041893</v>
      </c>
      <c r="C38">
        <f t="shared" si="1"/>
        <v>2.037332018268021</v>
      </c>
      <c r="D38">
        <f t="shared" si="2"/>
        <v>1.0394289413129509</v>
      </c>
    </row>
    <row r="39" spans="1:4" x14ac:dyDescent="0.15">
      <c r="A39">
        <v>3.7</v>
      </c>
      <c r="B39">
        <f t="shared" si="0"/>
        <v>997.84191500175211</v>
      </c>
      <c r="C39">
        <f t="shared" si="1"/>
        <v>2.0779094165694918</v>
      </c>
      <c r="D39">
        <f t="shared" si="2"/>
        <v>1.0801755816783114</v>
      </c>
    </row>
    <row r="40" spans="1:4" x14ac:dyDescent="0.15">
      <c r="A40">
        <v>3.8000000000000003</v>
      </c>
      <c r="B40">
        <f t="shared" si="0"/>
        <v>997.75897799729489</v>
      </c>
      <c r="C40">
        <f t="shared" si="1"/>
        <v>2.1192882326952969</v>
      </c>
      <c r="D40">
        <f t="shared" si="2"/>
        <v>1.1217337700097012</v>
      </c>
    </row>
    <row r="41" spans="1:4" x14ac:dyDescent="0.15">
      <c r="A41">
        <v>3.9000000000000004</v>
      </c>
      <c r="B41">
        <f t="shared" si="0"/>
        <v>997.67439644284946</v>
      </c>
      <c r="C41">
        <f t="shared" si="1"/>
        <v>2.161484022486821</v>
      </c>
      <c r="D41">
        <f t="shared" si="2"/>
        <v>1.1641195346636071</v>
      </c>
    </row>
    <row r="42" spans="1:4" x14ac:dyDescent="0.15">
      <c r="A42">
        <v>4</v>
      </c>
      <c r="B42">
        <f t="shared" si="0"/>
        <v>997.58813815214728</v>
      </c>
      <c r="C42">
        <f t="shared" si="1"/>
        <v>2.2045126327393008</v>
      </c>
      <c r="D42">
        <f t="shared" si="2"/>
        <v>1.2073492151133436</v>
      </c>
    </row>
    <row r="43" spans="1:4" x14ac:dyDescent="0.15">
      <c r="A43">
        <v>4.0999999999999996</v>
      </c>
      <c r="B43">
        <f t="shared" si="0"/>
        <v>997.50017032603421</v>
      </c>
      <c r="C43">
        <f t="shared" si="1"/>
        <v>2.2483902061976062</v>
      </c>
      <c r="D43">
        <f t="shared" si="2"/>
        <v>1.2514394677681295</v>
      </c>
    </row>
    <row r="44" spans="1:4" x14ac:dyDescent="0.15">
      <c r="A44">
        <v>4.2</v>
      </c>
      <c r="B44">
        <f t="shared" si="0"/>
        <v>997.41045954148854</v>
      </c>
      <c r="C44">
        <f t="shared" si="1"/>
        <v>2.2931331866193139</v>
      </c>
      <c r="D44">
        <f t="shared" si="2"/>
        <v>1.2964072718920816</v>
      </c>
    </row>
    <row r="45" spans="1:4" x14ac:dyDescent="0.15">
      <c r="A45">
        <v>4.3</v>
      </c>
      <c r="B45">
        <f t="shared" si="0"/>
        <v>997.31897174047026</v>
      </c>
      <c r="C45">
        <f t="shared" si="1"/>
        <v>2.3387583239051599</v>
      </c>
      <c r="D45">
        <f t="shared" si="2"/>
        <v>1.3422699356244678</v>
      </c>
    </row>
    <row r="46" spans="1:4" x14ac:dyDescent="0.15">
      <c r="A46">
        <v>4.3999999999999995</v>
      </c>
      <c r="B46">
        <f t="shared" si="0"/>
        <v>997.22567221860038</v>
      </c>
      <c r="C46">
        <f t="shared" si="1"/>
        <v>2.3852826792969193</v>
      </c>
      <c r="D46">
        <f t="shared" si="2"/>
        <v>1.3890451021025711</v>
      </c>
    </row>
    <row r="47" spans="1:4" x14ac:dyDescent="0.15">
      <c r="A47">
        <v>4.5</v>
      </c>
      <c r="B47">
        <f t="shared" si="0"/>
        <v>997.13052561366862</v>
      </c>
      <c r="C47">
        <f t="shared" si="1"/>
        <v>2.4327236306427111</v>
      </c>
      <c r="D47">
        <f t="shared" si="2"/>
        <v>1.4367507556885095</v>
      </c>
    </row>
    <row r="48" spans="1:4" x14ac:dyDescent="0.15">
      <c r="A48">
        <v>4.5999999999999996</v>
      </c>
      <c r="B48">
        <f t="shared" si="0"/>
        <v>997.03349589396885</v>
      </c>
      <c r="C48">
        <f t="shared" si="1"/>
        <v>2.4810988777296794</v>
      </c>
      <c r="D48">
        <f t="shared" si="2"/>
        <v>1.4854052283013637</v>
      </c>
    </row>
    <row r="49" spans="1:4" x14ac:dyDescent="0.15">
      <c r="A49">
        <v>4.7</v>
      </c>
      <c r="B49">
        <f t="shared" si="0"/>
        <v>996.93454634646002</v>
      </c>
      <c r="C49">
        <f t="shared" si="1"/>
        <v>2.5304264476839426</v>
      </c>
      <c r="D49">
        <f t="shared" si="2"/>
        <v>1.5350272058559573</v>
      </c>
    </row>
    <row r="50" spans="1:4" x14ac:dyDescent="0.15">
      <c r="A50">
        <v>4.8</v>
      </c>
      <c r="B50">
        <f t="shared" si="0"/>
        <v>996.83363956475262</v>
      </c>
      <c r="C50">
        <f t="shared" si="1"/>
        <v>2.580724700437659</v>
      </c>
      <c r="D50">
        <f t="shared" si="2"/>
        <v>1.5856357348096362</v>
      </c>
    </row>
    <row r="51" spans="1:4" x14ac:dyDescent="0.15">
      <c r="A51">
        <v>4.9000000000000004</v>
      </c>
      <c r="B51">
        <f t="shared" si="0"/>
        <v>996.7307374369185</v>
      </c>
      <c r="C51">
        <f t="shared" si="1"/>
        <v>2.6320123342629831</v>
      </c>
      <c r="D51">
        <f t="shared" si="2"/>
        <v>1.6372502288183894</v>
      </c>
    </row>
    <row r="52" spans="1:4" x14ac:dyDescent="0.15">
      <c r="A52">
        <v>5</v>
      </c>
      <c r="B52">
        <f t="shared" si="0"/>
        <v>996.62580113312356</v>
      </c>
      <c r="C52">
        <f t="shared" si="1"/>
        <v>2.6843083913726438</v>
      </c>
      <c r="D52">
        <f t="shared" si="2"/>
        <v>1.689890475503649</v>
      </c>
    </row>
    <row r="53" spans="1:4" x14ac:dyDescent="0.15">
      <c r="A53">
        <v>5.0999999999999996</v>
      </c>
      <c r="B53">
        <f t="shared" si="0"/>
        <v>996.51879109308197</v>
      </c>
      <c r="C53">
        <f t="shared" si="1"/>
        <v>2.737632263586796</v>
      </c>
      <c r="D53">
        <f t="shared" si="2"/>
        <v>1.743576643331102</v>
      </c>
    </row>
    <row r="54" spans="1:4" x14ac:dyDescent="0.15">
      <c r="A54">
        <v>5.2</v>
      </c>
      <c r="B54">
        <f t="shared" si="0"/>
        <v>996.40966701333127</v>
      </c>
      <c r="C54">
        <f t="shared" si="1"/>
        <v>2.7920036980657374</v>
      </c>
      <c r="D54">
        <f t="shared" si="2"/>
        <v>1.7983292886028379</v>
      </c>
    </row>
    <row r="55" spans="1:4" x14ac:dyDescent="0.15">
      <c r="A55">
        <v>5.3</v>
      </c>
      <c r="B55">
        <f t="shared" si="0"/>
        <v>996.29838783432774</v>
      </c>
      <c r="C55">
        <f t="shared" si="1"/>
        <v>2.8474428031080095</v>
      </c>
      <c r="D55">
        <f t="shared" si="2"/>
        <v>1.8541693625641527</v>
      </c>
    </row>
    <row r="56" spans="1:4" x14ac:dyDescent="0.15">
      <c r="A56">
        <v>5.4</v>
      </c>
      <c r="B56">
        <f t="shared" si="0"/>
        <v>996.18491172736026</v>
      </c>
      <c r="C56">
        <f t="shared" si="1"/>
        <v>2.9039700540133282</v>
      </c>
      <c r="D56">
        <f t="shared" si="2"/>
        <v>1.9111182186263129</v>
      </c>
    </row>
    <row r="57" spans="1:4" x14ac:dyDescent="0.15">
      <c r="A57">
        <v>5.5</v>
      </c>
      <c r="B57">
        <f t="shared" si="0"/>
        <v>996.06919608128362</v>
      </c>
      <c r="C57">
        <f t="shared" si="1"/>
        <v>2.9616062990097083</v>
      </c>
      <c r="D57">
        <f t="shared" si="2"/>
        <v>1.9691976197065795</v>
      </c>
    </row>
    <row r="58" spans="1:4" x14ac:dyDescent="0.15">
      <c r="A58">
        <v>5.6</v>
      </c>
      <c r="B58">
        <f t="shared" si="0"/>
        <v>995.95119748906905</v>
      </c>
      <c r="C58">
        <f t="shared" si="1"/>
        <v>3.0203727652440686</v>
      </c>
      <c r="D58">
        <f t="shared" si="2"/>
        <v>2.0284297456867737</v>
      </c>
    </row>
    <row r="59" spans="1:4" x14ac:dyDescent="0.15">
      <c r="A59">
        <v>5.7</v>
      </c>
      <c r="B59">
        <f t="shared" si="0"/>
        <v>995.83087173417266</v>
      </c>
      <c r="C59">
        <f t="shared" si="1"/>
        <v>3.0802910648355151</v>
      </c>
      <c r="D59">
        <f t="shared" si="2"/>
        <v>2.0888372009916552</v>
      </c>
    </row>
    <row r="60" spans="1:4" x14ac:dyDescent="0.15">
      <c r="A60">
        <v>5.8</v>
      </c>
      <c r="B60">
        <f t="shared" si="0"/>
        <v>995.70817377672108</v>
      </c>
      <c r="C60">
        <f t="shared" si="1"/>
        <v>3.1413832009904104</v>
      </c>
      <c r="D60">
        <f t="shared" si="2"/>
        <v>2.1504430222883655</v>
      </c>
    </row>
    <row r="61" spans="1:4" x14ac:dyDescent="0.15">
      <c r="A61">
        <v>5.9</v>
      </c>
      <c r="B61">
        <f t="shared" si="0"/>
        <v>995.58305773951349</v>
      </c>
      <c r="C61">
        <f t="shared" si="1"/>
        <v>3.2036715741782436</v>
      </c>
      <c r="D61">
        <f t="shared" si="2"/>
        <v>2.2132706863081735</v>
      </c>
    </row>
    <row r="62" spans="1:4" x14ac:dyDescent="0.15">
      <c r="A62">
        <v>6</v>
      </c>
      <c r="B62">
        <f t="shared" si="0"/>
        <v>995.45547689384091</v>
      </c>
      <c r="C62">
        <f t="shared" si="1"/>
        <v>3.26717898836722</v>
      </c>
      <c r="D62">
        <f t="shared" si="2"/>
        <v>2.2773441177917384</v>
      </c>
    </row>
    <row r="63" spans="1:4" x14ac:dyDescent="0.15">
      <c r="A63">
        <v>6.1</v>
      </c>
      <c r="B63">
        <f t="shared" si="0"/>
        <v>995.32538364512243</v>
      </c>
      <c r="C63">
        <f t="shared" si="1"/>
        <v>3.3319286573183806</v>
      </c>
      <c r="D63">
        <f t="shared" si="2"/>
        <v>2.3426876975590827</v>
      </c>
    </row>
    <row r="64" spans="1:4" x14ac:dyDescent="0.15">
      <c r="A64">
        <v>6.2</v>
      </c>
      <c r="B64">
        <f t="shared" si="0"/>
        <v>995.19272951835751</v>
      </c>
      <c r="C64">
        <f t="shared" si="1"/>
        <v>3.3979442109369566</v>
      </c>
      <c r="D64">
        <f t="shared" si="2"/>
        <v>2.4093262707054501</v>
      </c>
    </row>
    <row r="65" spans="1:4" x14ac:dyDescent="0.15">
      <c r="A65">
        <v>6.3</v>
      </c>
      <c r="B65">
        <f t="shared" si="0"/>
        <v>995.05746514339614</v>
      </c>
      <c r="C65">
        <f t="shared" si="1"/>
        <v>3.4652497016795554</v>
      </c>
      <c r="D65">
        <f t="shared" si="2"/>
        <v>2.4772851549241892</v>
      </c>
    </row>
    <row r="66" spans="1:4" x14ac:dyDescent="0.15">
      <c r="A66">
        <v>6.4</v>
      </c>
      <c r="B66">
        <f t="shared" si="0"/>
        <v>994.91954024002644</v>
      </c>
      <c r="C66">
        <f t="shared" si="1"/>
        <v>3.5338696110156511</v>
      </c>
      <c r="D66">
        <f t="shared" si="2"/>
        <v>2.5465901489577805</v>
      </c>
    </row>
    <row r="67" spans="1:4" x14ac:dyDescent="0.15">
      <c r="A67">
        <v>6.5</v>
      </c>
      <c r="B67">
        <f t="shared" si="0"/>
        <v>994.77890360288006</v>
      </c>
      <c r="C67">
        <f t="shared" si="1"/>
        <v>3.603828855941734</v>
      </c>
      <c r="D67">
        <f t="shared" si="2"/>
        <v>2.6172675411780935</v>
      </c>
    </row>
    <row r="68" spans="1:4" x14ac:dyDescent="0.15">
      <c r="A68">
        <v>6.6</v>
      </c>
      <c r="B68">
        <f t="shared" ref="B68:B131" si="3">B67-$G$1*B67*C67*$A$3</f>
        <v>994.63550308615663</v>
      </c>
      <c r="C68">
        <f t="shared" ref="C68:C131" si="4">C67+($G$1*B67*C67-$G$2*C67)*$A$3</f>
        <v>3.675152795546345</v>
      </c>
      <c r="D68">
        <f t="shared" ref="D68:D131" si="5">D67+$G$2*C67*$A$3</f>
        <v>2.689344118296928</v>
      </c>
    </row>
    <row r="69" spans="1:4" x14ac:dyDescent="0.15">
      <c r="A69">
        <v>6.7</v>
      </c>
      <c r="B69">
        <f t="shared" si="3"/>
        <v>994.48928558816795</v>
      </c>
      <c r="C69">
        <f t="shared" si="4"/>
        <v>3.7478672376240874</v>
      </c>
      <c r="D69">
        <f t="shared" si="5"/>
        <v>2.7628471742078551</v>
      </c>
    </row>
    <row r="70" spans="1:4" x14ac:dyDescent="0.15">
      <c r="A70">
        <v>6.8</v>
      </c>
      <c r="B70">
        <f t="shared" si="3"/>
        <v>994.340197035703</v>
      </c>
      <c r="C70">
        <f t="shared" si="4"/>
        <v>3.8219984453365687</v>
      </c>
      <c r="D70">
        <f t="shared" si="5"/>
        <v>2.8378045189603367</v>
      </c>
    </row>
    <row r="71" spans="1:4" x14ac:dyDescent="0.15">
      <c r="A71">
        <v>6.9</v>
      </c>
      <c r="B71">
        <f t="shared" si="3"/>
        <v>994.18818236821471</v>
      </c>
      <c r="C71">
        <f t="shared" si="4"/>
        <v>3.8975731439180819</v>
      </c>
      <c r="D71">
        <f t="shared" si="5"/>
        <v>2.9142444878670681</v>
      </c>
    </row>
    <row r="72" spans="1:4" x14ac:dyDescent="0.15">
      <c r="A72">
        <v>7</v>
      </c>
      <c r="B72">
        <f t="shared" si="3"/>
        <v>994.03318552183077</v>
      </c>
      <c r="C72">
        <f t="shared" si="4"/>
        <v>3.9746185274236838</v>
      </c>
      <c r="D72">
        <f t="shared" si="5"/>
        <v>2.9921959507454297</v>
      </c>
    </row>
    <row r="73" spans="1:4" x14ac:dyDescent="0.15">
      <c r="A73">
        <v>7.1</v>
      </c>
      <c r="B73">
        <f t="shared" si="3"/>
        <v>993.87514941318886</v>
      </c>
      <c r="C73">
        <f t="shared" si="4"/>
        <v>4.0531622655171722</v>
      </c>
      <c r="D73">
        <f t="shared" si="5"/>
        <v>3.0716883212939035</v>
      </c>
    </row>
    <row r="74" spans="1:4" x14ac:dyDescent="0.15">
      <c r="A74">
        <v>7.2</v>
      </c>
      <c r="B74">
        <f t="shared" si="3"/>
        <v>993.7140159230994</v>
      </c>
      <c r="C74">
        <f t="shared" si="4"/>
        <v>4.1332325102962999</v>
      </c>
      <c r="D74">
        <f t="shared" si="5"/>
        <v>3.1527515666042469</v>
      </c>
    </row>
    <row r="75" spans="1:4" x14ac:dyDescent="0.15">
      <c r="A75">
        <v>7.3</v>
      </c>
      <c r="B75">
        <f t="shared" si="3"/>
        <v>993.54972588003739</v>
      </c>
      <c r="C75">
        <f t="shared" si="4"/>
        <v>4.2148579031523923</v>
      </c>
      <c r="D75">
        <f t="shared" si="5"/>
        <v>3.2354162168101728</v>
      </c>
    </row>
    <row r="76" spans="1:4" x14ac:dyDescent="0.15">
      <c r="A76">
        <v>7.4</v>
      </c>
      <c r="B76">
        <f t="shared" si="3"/>
        <v>993.3822190434654</v>
      </c>
      <c r="C76">
        <f t="shared" si="4"/>
        <v>4.2980675816613596</v>
      </c>
      <c r="D76">
        <f t="shared" si="5"/>
        <v>3.3197133748732206</v>
      </c>
    </row>
    <row r="77" spans="1:4" x14ac:dyDescent="0.15">
      <c r="A77">
        <v>7.5</v>
      </c>
      <c r="B77">
        <f t="shared" si="3"/>
        <v>993.21143408699061</v>
      </c>
      <c r="C77">
        <f t="shared" si="4"/>
        <v>4.3828911865029143</v>
      </c>
      <c r="D77">
        <f t="shared" si="5"/>
        <v>3.4056747265064478</v>
      </c>
    </row>
    <row r="78" spans="1:4" x14ac:dyDescent="0.15">
      <c r="A78">
        <v>7.6</v>
      </c>
      <c r="B78">
        <f t="shared" si="3"/>
        <v>993.03730858135884</v>
      </c>
      <c r="C78">
        <f t="shared" si="4"/>
        <v>4.4693588684046075</v>
      </c>
      <c r="D78">
        <f t="shared" si="5"/>
        <v>3.4933325502365062</v>
      </c>
    </row>
    <row r="79" spans="1:4" x14ac:dyDescent="0.15">
      <c r="A79">
        <v>7.7</v>
      </c>
      <c r="B79">
        <f t="shared" si="3"/>
        <v>992.85977897728822</v>
      </c>
      <c r="C79">
        <f t="shared" si="4"/>
        <v>4.5575012951071052</v>
      </c>
      <c r="D79">
        <f t="shared" si="5"/>
        <v>3.5827197276045983</v>
      </c>
    </row>
    <row r="80" spans="1:4" x14ac:dyDescent="0.15">
      <c r="A80">
        <v>7.8</v>
      </c>
      <c r="B80">
        <f t="shared" si="3"/>
        <v>992.67878058814631</v>
      </c>
      <c r="C80">
        <f t="shared" si="4"/>
        <v>4.6473496583469132</v>
      </c>
      <c r="D80">
        <f t="shared" si="5"/>
        <v>3.6738697535067404</v>
      </c>
    </row>
    <row r="81" spans="1:4" x14ac:dyDescent="0.15">
      <c r="A81">
        <v>7.9</v>
      </c>
      <c r="B81">
        <f t="shared" si="3"/>
        <v>992.49424757247368</v>
      </c>
      <c r="C81">
        <f t="shared" si="4"/>
        <v>4.7389356808525571</v>
      </c>
      <c r="D81">
        <f t="shared" si="5"/>
        <v>3.7668167466736788</v>
      </c>
    </row>
    <row r="82" spans="1:4" x14ac:dyDescent="0.15">
      <c r="A82">
        <v>8</v>
      </c>
      <c r="B82">
        <f t="shared" si="3"/>
        <v>992.30611291635921</v>
      </c>
      <c r="C82">
        <f t="shared" si="4"/>
        <v>4.83229162334999</v>
      </c>
      <c r="D82">
        <f t="shared" si="5"/>
        <v>3.8615954602907299</v>
      </c>
    </row>
    <row r="83" spans="1:4" x14ac:dyDescent="0.15">
      <c r="A83">
        <v>8.1</v>
      </c>
      <c r="B83">
        <f t="shared" si="3"/>
        <v>992.11430841566937</v>
      </c>
      <c r="C83">
        <f t="shared" si="4"/>
        <v>4.9274502915727787</v>
      </c>
      <c r="D83">
        <f t="shared" si="5"/>
        <v>3.9582412927577297</v>
      </c>
    </row>
    <row r="84" spans="1:4" x14ac:dyDescent="0.15">
      <c r="A84">
        <v>8.1999999999999993</v>
      </c>
      <c r="B84">
        <f t="shared" si="3"/>
        <v>991.91876465813834</v>
      </c>
      <c r="C84">
        <f t="shared" si="4"/>
        <v>5.024445043272376</v>
      </c>
      <c r="D84">
        <f t="shared" si="5"/>
        <v>4.0567902985891857</v>
      </c>
    </row>
    <row r="85" spans="1:4" x14ac:dyDescent="0.15">
      <c r="A85">
        <v>8.3000000000000007</v>
      </c>
      <c r="B85">
        <f t="shared" si="3"/>
        <v>991.71941100532172</v>
      </c>
      <c r="C85">
        <f t="shared" si="4"/>
        <v>5.1233097952235465</v>
      </c>
      <c r="D85">
        <f t="shared" si="5"/>
        <v>4.1572791994546332</v>
      </c>
    </row>
    <row r="86" spans="1:4" x14ac:dyDescent="0.15">
      <c r="A86">
        <v>8.4</v>
      </c>
      <c r="B86">
        <f t="shared" si="3"/>
        <v>991.51617557442103</v>
      </c>
      <c r="C86">
        <f t="shared" si="4"/>
        <v>5.2240790302197508</v>
      </c>
      <c r="D86">
        <f t="shared" si="5"/>
        <v>4.2597453953591042</v>
      </c>
    </row>
    <row r="87" spans="1:4" x14ac:dyDescent="0.15">
      <c r="A87">
        <v>8.5</v>
      </c>
      <c r="B87">
        <f t="shared" si="3"/>
        <v>991.30898521998336</v>
      </c>
      <c r="C87">
        <f t="shared" si="4"/>
        <v>5.3267878040530361</v>
      </c>
      <c r="D87">
        <f t="shared" si="5"/>
        <v>4.3642269759634988</v>
      </c>
    </row>
    <row r="88" spans="1:4" x14ac:dyDescent="0.15">
      <c r="A88">
        <v>8.6</v>
      </c>
      <c r="B88">
        <f t="shared" si="3"/>
        <v>991.09776551548259</v>
      </c>
      <c r="C88">
        <f t="shared" si="4"/>
        <v>5.431471752472695</v>
      </c>
      <c r="D88">
        <f t="shared" si="5"/>
        <v>4.4707627320445598</v>
      </c>
    </row>
    <row r="89" spans="1:4" x14ac:dyDescent="0.15">
      <c r="A89">
        <v>8.6999999999999993</v>
      </c>
      <c r="B89">
        <f t="shared" si="3"/>
        <v>990.88244073478916</v>
      </c>
      <c r="C89">
        <f t="shared" si="4"/>
        <v>5.5381670981166868</v>
      </c>
      <c r="D89">
        <f t="shared" si="5"/>
        <v>4.5793921670940136</v>
      </c>
    </row>
    <row r="90" spans="1:4" x14ac:dyDescent="0.15">
      <c r="A90">
        <v>8.8000000000000007</v>
      </c>
      <c r="B90">
        <f t="shared" si="3"/>
        <v>990.662933833534</v>
      </c>
      <c r="C90">
        <f t="shared" si="4"/>
        <v>5.6469106574095118</v>
      </c>
      <c r="D90">
        <f t="shared" si="5"/>
        <v>4.6901555090563471</v>
      </c>
    </row>
    <row r="91" spans="1:4" x14ac:dyDescent="0.15">
      <c r="A91">
        <v>8.9</v>
      </c>
      <c r="B91">
        <f t="shared" si="3"/>
        <v>990.43916643037539</v>
      </c>
      <c r="C91">
        <f t="shared" si="4"/>
        <v>5.7577398474199279</v>
      </c>
      <c r="D91">
        <f t="shared" si="5"/>
        <v>4.8030937222045376</v>
      </c>
    </row>
    <row r="92" spans="1:4" x14ac:dyDescent="0.15">
      <c r="A92">
        <v>9</v>
      </c>
      <c r="B92">
        <f t="shared" si="3"/>
        <v>990.21105878817536</v>
      </c>
      <c r="C92">
        <f t="shared" si="4"/>
        <v>5.8706926926715912</v>
      </c>
      <c r="D92">
        <f t="shared" si="5"/>
        <v>4.9182485191529359</v>
      </c>
    </row>
    <row r="93" spans="1:4" x14ac:dyDescent="0.15">
      <c r="A93">
        <v>9.1</v>
      </c>
      <c r="B93">
        <f t="shared" si="3"/>
        <v>989.97852979509412</v>
      </c>
      <c r="C93">
        <f t="shared" si="4"/>
        <v>5.9858078318993728</v>
      </c>
      <c r="D93">
        <f t="shared" si="5"/>
        <v>5.0356623730063674</v>
      </c>
    </row>
    <row r="94" spans="1:4" x14ac:dyDescent="0.15">
      <c r="A94">
        <v>9.1999999999999993</v>
      </c>
      <c r="B94">
        <f t="shared" si="3"/>
        <v>989.74149694561174</v>
      </c>
      <c r="C94">
        <f t="shared" si="4"/>
        <v>6.1031245247437731</v>
      </c>
      <c r="D94">
        <f t="shared" si="5"/>
        <v>5.1553785296443548</v>
      </c>
    </row>
    <row r="95" spans="1:4" x14ac:dyDescent="0.15">
      <c r="A95">
        <v>9.3000000000000007</v>
      </c>
      <c r="B95">
        <f t="shared" si="3"/>
        <v>989.49987632148509</v>
      </c>
      <c r="C95">
        <f t="shared" si="4"/>
        <v>6.222682658375513</v>
      </c>
      <c r="D95">
        <f t="shared" si="5"/>
        <v>5.2774410201392303</v>
      </c>
    </row>
    <row r="96" spans="1:4" x14ac:dyDescent="0.15">
      <c r="A96">
        <v>9.4</v>
      </c>
      <c r="B96">
        <f t="shared" si="3"/>
        <v>989.25358257265111</v>
      </c>
      <c r="C96">
        <f t="shared" si="4"/>
        <v>6.3445227540420195</v>
      </c>
      <c r="D96">
        <f t="shared" si="5"/>
        <v>5.4018946733067406</v>
      </c>
    </row>
    <row r="97" spans="1:4" x14ac:dyDescent="0.15">
      <c r="A97">
        <v>9.5</v>
      </c>
      <c r="B97">
        <f t="shared" si="3"/>
        <v>989.00252889808507</v>
      </c>
      <c r="C97">
        <f t="shared" si="4"/>
        <v>6.4686859735271698</v>
      </c>
      <c r="D97">
        <f t="shared" si="5"/>
        <v>5.5287851283875806</v>
      </c>
    </row>
    <row r="98" spans="1:4" x14ac:dyDescent="0.15">
      <c r="A98">
        <v>9.6</v>
      </c>
      <c r="B98">
        <f t="shared" si="3"/>
        <v>988.74662702662647</v>
      </c>
      <c r="C98">
        <f t="shared" si="4"/>
        <v>6.5952141255152643</v>
      </c>
      <c r="D98">
        <f t="shared" si="5"/>
        <v>5.6581588478581244</v>
      </c>
    </row>
    <row r="99" spans="1:4" x14ac:dyDescent="0.15">
      <c r="A99">
        <v>9.7000000000000011</v>
      </c>
      <c r="B99">
        <f t="shared" si="3"/>
        <v>988.48578719778163</v>
      </c>
      <c r="C99">
        <f t="shared" si="4"/>
        <v>6.7241496718498226</v>
      </c>
      <c r="D99">
        <f t="shared" si="5"/>
        <v>5.7900631303684298</v>
      </c>
    </row>
    <row r="100" spans="1:4" x14ac:dyDescent="0.15">
      <c r="A100">
        <v>9.8000000000000007</v>
      </c>
      <c r="B100">
        <f t="shared" si="3"/>
        <v>988.21991814251703</v>
      </c>
      <c r="C100">
        <f t="shared" si="4"/>
        <v>6.8555357336773932</v>
      </c>
      <c r="D100">
        <f t="shared" si="5"/>
        <v>5.9245461238054267</v>
      </c>
    </row>
    <row r="101" spans="1:4" x14ac:dyDescent="0.15">
      <c r="A101">
        <v>9.9</v>
      </c>
      <c r="B101">
        <f t="shared" si="3"/>
        <v>987.94892706405471</v>
      </c>
      <c r="C101">
        <f t="shared" si="4"/>
        <v>6.9894160974661563</v>
      </c>
      <c r="D101">
        <f t="shared" si="5"/>
        <v>6.0616568384789744</v>
      </c>
    </row>
    <row r="102" spans="1:4" x14ac:dyDescent="0.15">
      <c r="A102">
        <v>10</v>
      </c>
      <c r="B102">
        <f t="shared" si="3"/>
        <v>987.67271961868289</v>
      </c>
      <c r="C102">
        <f t="shared" si="4"/>
        <v>7.1258352208886704</v>
      </c>
      <c r="D102">
        <f t="shared" si="5"/>
        <v>6.2014451604282979</v>
      </c>
    </row>
    <row r="103" spans="1:4" x14ac:dyDescent="0.15">
      <c r="A103">
        <v>10.1</v>
      </c>
      <c r="B103">
        <f t="shared" si="3"/>
        <v>987.39119989659605</v>
      </c>
      <c r="C103">
        <f t="shared" si="4"/>
        <v>7.2648382385576857</v>
      </c>
      <c r="D103">
        <f t="shared" si="5"/>
        <v>6.3439618648460714</v>
      </c>
    </row>
    <row r="104" spans="1:4" x14ac:dyDescent="0.15">
      <c r="A104">
        <v>10.200000000000001</v>
      </c>
      <c r="B104">
        <f t="shared" si="3"/>
        <v>987.10427040277909</v>
      </c>
      <c r="C104">
        <f t="shared" si="4"/>
        <v>7.4064709676034974</v>
      </c>
      <c r="D104">
        <f t="shared" si="5"/>
        <v>6.4892586296172254</v>
      </c>
    </row>
    <row r="105" spans="1:4" x14ac:dyDescent="0.15">
      <c r="A105">
        <v>10.3</v>
      </c>
      <c r="B105">
        <f t="shared" si="3"/>
        <v>986.81183203794967</v>
      </c>
      <c r="C105">
        <f t="shared" si="4"/>
        <v>7.5507799130808522</v>
      </c>
      <c r="D105">
        <f t="shared" si="5"/>
        <v>6.6373880489692958</v>
      </c>
    </row>
    <row r="106" spans="1:4" x14ac:dyDescent="0.15">
      <c r="A106">
        <v>10.4</v>
      </c>
      <c r="B106">
        <f t="shared" si="3"/>
        <v>986.513784079576</v>
      </c>
      <c r="C106">
        <f t="shared" si="4"/>
        <v>7.6978122731929419</v>
      </c>
      <c r="D106">
        <f t="shared" si="5"/>
        <v>6.7884036472309131</v>
      </c>
    </row>
    <row r="107" spans="1:4" x14ac:dyDescent="0.15">
      <c r="A107">
        <v>10.5</v>
      </c>
      <c r="B107">
        <f t="shared" si="3"/>
        <v>986.21002416298552</v>
      </c>
      <c r="C107">
        <f t="shared" si="4"/>
        <v>7.8476159443195543</v>
      </c>
      <c r="D107">
        <f t="shared" si="5"/>
        <v>6.942359892694772</v>
      </c>
    </row>
    <row r="108" spans="1:4" x14ac:dyDescent="0.15">
      <c r="A108">
        <v>10.6</v>
      </c>
      <c r="B108">
        <f t="shared" si="3"/>
        <v>985.9004482625827</v>
      </c>
      <c r="C108">
        <f t="shared" si="4"/>
        <v>8.0002395258359318</v>
      </c>
      <c r="D108">
        <f t="shared" si="5"/>
        <v>7.0993122115811635</v>
      </c>
    </row>
    <row r="109" spans="1:4" x14ac:dyDescent="0.15">
      <c r="A109">
        <v>10.700000000000001</v>
      </c>
      <c r="B109">
        <f t="shared" si="3"/>
        <v>985.58495067319348</v>
      </c>
      <c r="C109">
        <f t="shared" si="4"/>
        <v>8.155732324708401</v>
      </c>
      <c r="D109">
        <f t="shared" si="5"/>
        <v>7.2593170020978821</v>
      </c>
    </row>
    <row r="110" spans="1:4" x14ac:dyDescent="0.15">
      <c r="A110">
        <v>10.8</v>
      </c>
      <c r="B110">
        <f t="shared" si="3"/>
        <v>985.26342399155544</v>
      </c>
      <c r="C110">
        <f t="shared" si="4"/>
        <v>8.3141443598522926</v>
      </c>
      <c r="D110">
        <f t="shared" si="5"/>
        <v>7.4224316485920498</v>
      </c>
    </row>
    <row r="111" spans="1:4" x14ac:dyDescent="0.15">
      <c r="A111">
        <v>10.9</v>
      </c>
      <c r="B111">
        <f t="shared" si="3"/>
        <v>984.93575909797346</v>
      </c>
      <c r="C111">
        <f t="shared" si="4"/>
        <v>8.4755263662371725</v>
      </c>
      <c r="D111">
        <f t="shared" si="5"/>
        <v>7.5887145357890962</v>
      </c>
    </row>
    <row r="112" spans="1:4" x14ac:dyDescent="0.15">
      <c r="A112">
        <v>11</v>
      </c>
      <c r="B112">
        <f t="shared" si="3"/>
        <v>984.60184513816205</v>
      </c>
      <c r="C112">
        <f t="shared" si="4"/>
        <v>8.6399297987238164</v>
      </c>
      <c r="D112">
        <f t="shared" si="5"/>
        <v>7.7582250631138399</v>
      </c>
    </row>
    <row r="113" spans="1:4" x14ac:dyDescent="0.15">
      <c r="A113">
        <v>11.1</v>
      </c>
      <c r="B113">
        <f t="shared" si="3"/>
        <v>984.26156950529457</v>
      </c>
      <c r="C113">
        <f t="shared" si="4"/>
        <v>8.8074068356168471</v>
      </c>
      <c r="D113">
        <f t="shared" si="5"/>
        <v>7.9310236590883161</v>
      </c>
    </row>
    <row r="114" spans="1:4" x14ac:dyDescent="0.15">
      <c r="A114">
        <v>11.200000000000001</v>
      </c>
      <c r="B114">
        <f t="shared" si="3"/>
        <v>983.91481782228277</v>
      </c>
      <c r="C114">
        <f t="shared" si="4"/>
        <v>8.9780103819163468</v>
      </c>
      <c r="D114">
        <f t="shared" si="5"/>
        <v>8.1071717958006531</v>
      </c>
    </row>
    <row r="115" spans="1:4" x14ac:dyDescent="0.15">
      <c r="A115">
        <v>11.3</v>
      </c>
      <c r="B115">
        <f t="shared" si="3"/>
        <v>983.56147392430955</v>
      </c>
      <c r="C115">
        <f t="shared" si="4"/>
        <v>9.1517940722512119</v>
      </c>
      <c r="D115">
        <f t="shared" si="5"/>
        <v>8.2867320034389795</v>
      </c>
    </row>
    <row r="116" spans="1:4" x14ac:dyDescent="0.15">
      <c r="A116">
        <v>11.4</v>
      </c>
      <c r="B116">
        <f t="shared" si="3"/>
        <v>983.20141984163934</v>
      </c>
      <c r="C116">
        <f t="shared" si="4"/>
        <v>9.3288122734763945</v>
      </c>
      <c r="D116">
        <f t="shared" si="5"/>
        <v>8.4697678848840035</v>
      </c>
    </row>
    <row r="117" spans="1:4" x14ac:dyDescent="0.15">
      <c r="A117">
        <v>11.5</v>
      </c>
      <c r="B117">
        <f t="shared" si="3"/>
        <v>982.83453578273065</v>
      </c>
      <c r="C117">
        <f t="shared" si="4"/>
        <v>9.5091200869155905</v>
      </c>
      <c r="D117">
        <f t="shared" si="5"/>
        <v>8.6563441303535313</v>
      </c>
    </row>
    <row r="118" spans="1:4" x14ac:dyDescent="0.15">
      <c r="A118">
        <v>11.6</v>
      </c>
      <c r="B118">
        <f t="shared" si="3"/>
        <v>982.46070011767756</v>
      </c>
      <c r="C118">
        <f t="shared" si="4"/>
        <v>9.6927733502303148</v>
      </c>
      <c r="D118">
        <f t="shared" si="5"/>
        <v>8.8465265320918434</v>
      </c>
    </row>
    <row r="119" spans="1:4" x14ac:dyDescent="0.15">
      <c r="A119">
        <v>11.700000000000001</v>
      </c>
      <c r="B119">
        <f t="shared" si="3"/>
        <v>982.07978936200755</v>
      </c>
      <c r="C119">
        <f t="shared" si="4"/>
        <v>9.8798286388956775</v>
      </c>
      <c r="D119">
        <f t="shared" si="5"/>
        <v>9.04038199909645</v>
      </c>
    </row>
    <row r="120" spans="1:4" x14ac:dyDescent="0.15">
      <c r="A120">
        <v>11.8</v>
      </c>
      <c r="B120">
        <f t="shared" si="3"/>
        <v>981.69167816086281</v>
      </c>
      <c r="C120">
        <f t="shared" si="4"/>
        <v>10.07034326726254</v>
      </c>
      <c r="D120">
        <f t="shared" si="5"/>
        <v>9.237978571874363</v>
      </c>
    </row>
    <row r="121" spans="1:4" x14ac:dyDescent="0.15">
      <c r="A121">
        <v>11.9</v>
      </c>
      <c r="B121">
        <f t="shared" si="3"/>
        <v>981.29623927359501</v>
      </c>
      <c r="C121">
        <f t="shared" si="4"/>
        <v>10.264375289185086</v>
      </c>
      <c r="D121">
        <f t="shared" si="5"/>
        <v>9.4393854372196131</v>
      </c>
    </row>
    <row r="122" spans="1:4" x14ac:dyDescent="0.15">
      <c r="A122">
        <v>12</v>
      </c>
      <c r="B122">
        <f t="shared" si="3"/>
        <v>980.89334355880419</v>
      </c>
      <c r="C122">
        <f t="shared" si="4"/>
        <v>10.46198349819219</v>
      </c>
      <c r="D122">
        <f t="shared" si="5"/>
        <v>9.6446729430033145</v>
      </c>
    </row>
    <row r="123" spans="1:4" x14ac:dyDescent="0.15">
      <c r="A123">
        <v>12.1</v>
      </c>
      <c r="B123">
        <f t="shared" si="3"/>
        <v>980.48285995985225</v>
      </c>
      <c r="C123">
        <f t="shared" si="4"/>
        <v>10.663227427180297</v>
      </c>
      <c r="D123">
        <f t="shared" si="5"/>
        <v>9.853912612967159</v>
      </c>
    </row>
    <row r="124" spans="1:4" x14ac:dyDescent="0.15">
      <c r="A124">
        <v>12.200000000000001</v>
      </c>
      <c r="B124">
        <f t="shared" si="3"/>
        <v>980.06465549088409</v>
      </c>
      <c r="C124">
        <f t="shared" si="4"/>
        <v>10.868167347604855</v>
      </c>
      <c r="D124">
        <f t="shared" si="5"/>
        <v>10.067177161510765</v>
      </c>
    </row>
    <row r="125" spans="1:4" x14ac:dyDescent="0.15">
      <c r="A125">
        <v>12.3</v>
      </c>
      <c r="B125">
        <f t="shared" si="3"/>
        <v>979.63859522339021</v>
      </c>
      <c r="C125">
        <f t="shared" si="4"/>
        <v>11.076864268146663</v>
      </c>
      <c r="D125">
        <f t="shared" si="5"/>
        <v>10.284540508462863</v>
      </c>
    </row>
    <row r="126" spans="1:4" x14ac:dyDescent="0.15">
      <c r="A126">
        <v>12.4</v>
      </c>
      <c r="B126">
        <f t="shared" si="3"/>
        <v>979.20454227334517</v>
      </c>
      <c r="C126">
        <f t="shared" si="4"/>
        <v>11.289379932828824</v>
      </c>
      <c r="D126">
        <f t="shared" si="5"/>
        <v>10.506077793825796</v>
      </c>
    </row>
    <row r="127" spans="1:4" x14ac:dyDescent="0.15">
      <c r="A127">
        <v>12.5</v>
      </c>
      <c r="B127">
        <f t="shared" si="3"/>
        <v>978.76235778895818</v>
      </c>
      <c r="C127">
        <f t="shared" si="4"/>
        <v>11.505776818559269</v>
      </c>
      <c r="D127">
        <f t="shared" si="5"/>
        <v>10.731865392482373</v>
      </c>
    </row>
    <row r="128" spans="1:4" x14ac:dyDescent="0.15">
      <c r="A128">
        <v>12.6</v>
      </c>
      <c r="B128">
        <f t="shared" si="3"/>
        <v>978.3119009390731</v>
      </c>
      <c r="C128">
        <f t="shared" si="4"/>
        <v>11.726118132073148</v>
      </c>
      <c r="D128">
        <f t="shared" si="5"/>
        <v>10.961980928853558</v>
      </c>
    </row>
    <row r="129" spans="1:4" x14ac:dyDescent="0.15">
      <c r="A129">
        <v>12.700000000000001</v>
      </c>
      <c r="B129">
        <f t="shared" si="3"/>
        <v>977.85302890225614</v>
      </c>
      <c r="C129">
        <f t="shared" si="4"/>
        <v>11.950467806248669</v>
      </c>
      <c r="D129">
        <f t="shared" si="5"/>
        <v>11.196503291495022</v>
      </c>
    </row>
    <row r="130" spans="1:4" x14ac:dyDescent="0.15">
      <c r="A130">
        <v>12.8</v>
      </c>
      <c r="B130">
        <f t="shared" si="3"/>
        <v>977.38559685661062</v>
      </c>
      <c r="C130">
        <f t="shared" si="4"/>
        <v>12.178890495769263</v>
      </c>
      <c r="D130">
        <f t="shared" si="5"/>
        <v>11.435512647619996</v>
      </c>
    </row>
    <row r="131" spans="1:4" x14ac:dyDescent="0.15">
      <c r="A131">
        <v>12.9</v>
      </c>
      <c r="B131">
        <f t="shared" si="3"/>
        <v>976.90945797036022</v>
      </c>
      <c r="C131">
        <f t="shared" si="4"/>
        <v>12.411451572104227</v>
      </c>
      <c r="D131">
        <f t="shared" si="5"/>
        <v>11.679090457535381</v>
      </c>
    </row>
    <row r="132" spans="1:4" x14ac:dyDescent="0.15">
      <c r="A132">
        <v>13</v>
      </c>
      <c r="B132">
        <f t="shared" ref="B132:B195" si="6">B131-$G$1*B131*C131*$A$3</f>
        <v>976.42446339324306</v>
      </c>
      <c r="C132">
        <f t="shared" ref="C132:C195" si="7">C131+($G$1*B131*C131-$G$2*C131)*$A$3</f>
        <v>12.64821711777933</v>
      </c>
      <c r="D132">
        <f t="shared" ref="D132:D195" si="8">D131+$G$2*C131*$A$3</f>
        <v>11.927319488977465</v>
      </c>
    </row>
    <row r="133" spans="1:4" x14ac:dyDescent="0.15">
      <c r="A133">
        <v>13.1</v>
      </c>
      <c r="B133">
        <f t="shared" si="6"/>
        <v>975.93046224875866</v>
      </c>
      <c r="C133">
        <f t="shared" si="7"/>
        <v>12.8892539199081</v>
      </c>
      <c r="D133">
        <f t="shared" si="8"/>
        <v>12.180283831333051</v>
      </c>
    </row>
    <row r="134" spans="1:4" x14ac:dyDescent="0.15">
      <c r="A134">
        <v>13.200000000000001</v>
      </c>
      <c r="B134">
        <f t="shared" si="6"/>
        <v>975.42730162731471</v>
      </c>
      <c r="C134">
        <f t="shared" si="7"/>
        <v>13.134629462953839</v>
      </c>
      <c r="D134">
        <f t="shared" si="8"/>
        <v>12.438068909731214</v>
      </c>
    </row>
    <row r="135" spans="1:4" x14ac:dyDescent="0.15">
      <c r="A135">
        <v>13.3</v>
      </c>
      <c r="B135">
        <f t="shared" si="6"/>
        <v>974.91482658031771</v>
      </c>
      <c r="C135">
        <f t="shared" si="7"/>
        <v>13.38441192069171</v>
      </c>
      <c r="D135">
        <f t="shared" si="8"/>
        <v>12.700761498990291</v>
      </c>
    </row>
    <row r="136" spans="1:4" x14ac:dyDescent="0.15">
      <c r="A136">
        <v>13.4</v>
      </c>
      <c r="B136">
        <f t="shared" si="6"/>
        <v>974.39288011525605</v>
      </c>
      <c r="C136">
        <f t="shared" si="7"/>
        <v>13.638670147339504</v>
      </c>
      <c r="D136">
        <f t="shared" si="8"/>
        <v>12.968449737404125</v>
      </c>
    </row>
    <row r="137" spans="1:4" x14ac:dyDescent="0.15">
      <c r="A137">
        <v>13.5</v>
      </c>
      <c r="B137">
        <f t="shared" si="6"/>
        <v>973.86130319182371</v>
      </c>
      <c r="C137">
        <f t="shared" si="7"/>
        <v>13.897473667825038</v>
      </c>
      <c r="D137">
        <f t="shared" si="8"/>
        <v>13.241223140350915</v>
      </c>
    </row>
    <row r="138" spans="1:4" x14ac:dyDescent="0.15">
      <c r="A138">
        <v>13.6</v>
      </c>
      <c r="B138">
        <f t="shared" si="6"/>
        <v>973.31993471913484</v>
      </c>
      <c r="C138">
        <f t="shared" si="7"/>
        <v>14.160892667157423</v>
      </c>
      <c r="D138">
        <f t="shared" si="8"/>
        <v>13.519172613707415</v>
      </c>
    </row>
    <row r="139" spans="1:4" x14ac:dyDescent="0.15">
      <c r="A139">
        <v>13.700000000000001</v>
      </c>
      <c r="B139">
        <f t="shared" si="6"/>
        <v>972.76861155408039</v>
      </c>
      <c r="C139">
        <f t="shared" si="7"/>
        <v>14.428997978868768</v>
      </c>
      <c r="D139">
        <f t="shared" si="8"/>
        <v>13.802390467050563</v>
      </c>
    </row>
    <row r="140" spans="1:4" x14ac:dyDescent="0.15">
      <c r="A140">
        <v>13.8</v>
      </c>
      <c r="B140">
        <f t="shared" si="6"/>
        <v>972.20716850087956</v>
      </c>
      <c r="C140">
        <f t="shared" si="7"/>
        <v>14.701861072492225</v>
      </c>
      <c r="D140">
        <f t="shared" si="8"/>
        <v>14.090970426627939</v>
      </c>
    </row>
    <row r="141" spans="1:4" x14ac:dyDescent="0.15">
      <c r="A141">
        <v>13.9</v>
      </c>
      <c r="B141">
        <f t="shared" si="6"/>
        <v>971.63543831188031</v>
      </c>
      <c r="C141">
        <f t="shared" si="7"/>
        <v>14.979554040041618</v>
      </c>
      <c r="D141">
        <f t="shared" si="8"/>
        <v>14.385007648077783</v>
      </c>
    </row>
    <row r="142" spans="1:4" x14ac:dyDescent="0.15">
      <c r="A142">
        <v>14</v>
      </c>
      <c r="B142">
        <f t="shared" si="6"/>
        <v>971.05325168966385</v>
      </c>
      <c r="C142">
        <f t="shared" si="7"/>
        <v>15.26214958145728</v>
      </c>
      <c r="D142">
        <f t="shared" si="8"/>
        <v>14.684598728878616</v>
      </c>
    </row>
    <row r="143" spans="1:4" x14ac:dyDescent="0.15">
      <c r="A143">
        <v>14.1</v>
      </c>
      <c r="B143">
        <f t="shared" si="6"/>
        <v>970.46043729050996</v>
      </c>
      <c r="C143">
        <f t="shared" si="7"/>
        <v>15.54972098898206</v>
      </c>
      <c r="D143">
        <f t="shared" si="8"/>
        <v>14.98984172050776</v>
      </c>
    </row>
    <row r="144" spans="1:4" x14ac:dyDescent="0.15">
      <c r="A144">
        <v>14.200000000000001</v>
      </c>
      <c r="B144">
        <f t="shared" si="6"/>
        <v>969.85682172928148</v>
      </c>
      <c r="C144">
        <f t="shared" si="7"/>
        <v>15.842342130430936</v>
      </c>
      <c r="D144">
        <f t="shared" si="8"/>
        <v>15.300836140287402</v>
      </c>
    </row>
    <row r="145" spans="1:4" x14ac:dyDescent="0.15">
      <c r="A145">
        <v>14.3</v>
      </c>
      <c r="B145">
        <f t="shared" si="6"/>
        <v>969.24222958578673</v>
      </c>
      <c r="C145">
        <f t="shared" si="7"/>
        <v>16.140087431317024</v>
      </c>
      <c r="D145">
        <f t="shared" si="8"/>
        <v>15.617682982896021</v>
      </c>
    </row>
    <row r="146" spans="1:4" x14ac:dyDescent="0.15">
      <c r="A146">
        <v>14.4</v>
      </c>
      <c r="B146">
        <f t="shared" si="6"/>
        <v>968.61648341268119</v>
      </c>
      <c r="C146">
        <f t="shared" si="7"/>
        <v>16.443031855796253</v>
      </c>
      <c r="D146">
        <f t="shared" si="8"/>
        <v>15.940484731522361</v>
      </c>
    </row>
    <row r="147" spans="1:4" x14ac:dyDescent="0.15">
      <c r="A147">
        <v>14.5</v>
      </c>
      <c r="B147">
        <f t="shared" si="6"/>
        <v>967.97940374496898</v>
      </c>
      <c r="C147">
        <f t="shared" si="7"/>
        <v>16.751250886392491</v>
      </c>
      <c r="D147">
        <f t="shared" si="8"/>
        <v>16.269345368638284</v>
      </c>
    </row>
    <row r="148" spans="1:4" x14ac:dyDescent="0.15">
      <c r="A148">
        <v>14.6</v>
      </c>
      <c r="B148">
        <f t="shared" si="6"/>
        <v>967.33080911116929</v>
      </c>
      <c r="C148">
        <f t="shared" si="7"/>
        <v>17.064820502464343</v>
      </c>
      <c r="D148">
        <f t="shared" si="8"/>
        <v>16.604370386366135</v>
      </c>
    </row>
    <row r="149" spans="1:4" x14ac:dyDescent="0.15">
      <c r="A149">
        <v>14.700000000000001</v>
      </c>
      <c r="B149">
        <f t="shared" si="6"/>
        <v>966.67051604620985</v>
      </c>
      <c r="C149">
        <f t="shared" si="7"/>
        <v>17.383817157374484</v>
      </c>
      <c r="D149">
        <f t="shared" si="8"/>
        <v>16.945666796415424</v>
      </c>
    </row>
    <row r="150" spans="1:4" x14ac:dyDescent="0.15">
      <c r="A150">
        <v>14.8</v>
      </c>
      <c r="B150">
        <f t="shared" si="6"/>
        <v>965.99833910611494</v>
      </c>
      <c r="C150">
        <f t="shared" si="7"/>
        <v>17.708317754321879</v>
      </c>
      <c r="D150">
        <f t="shared" si="8"/>
        <v>17.293343139562914</v>
      </c>
    </row>
    <row r="151" spans="1:4" x14ac:dyDescent="0.15">
      <c r="A151">
        <v>14.9</v>
      </c>
      <c r="B151">
        <f t="shared" si="6"/>
        <v>965.31409088455337</v>
      </c>
      <c r="C151">
        <f t="shared" si="7"/>
        <v>18.038399620796973</v>
      </c>
      <c r="D151">
        <f t="shared" si="8"/>
        <v>17.647509494649352</v>
      </c>
    </row>
    <row r="152" spans="1:4" x14ac:dyDescent="0.15">
      <c r="A152">
        <v>15</v>
      </c>
      <c r="B152">
        <f t="shared" si="6"/>
        <v>964.6175820313149</v>
      </c>
      <c r="C152">
        <f t="shared" si="7"/>
        <v>18.374140481619509</v>
      </c>
      <c r="D152">
        <f t="shared" si="8"/>
        <v>18.008277487065293</v>
      </c>
    </row>
    <row r="153" spans="1:4" x14ac:dyDescent="0.15">
      <c r="A153">
        <v>15.1</v>
      </c>
      <c r="B153">
        <f t="shared" si="6"/>
        <v>963.90862127278353</v>
      </c>
      <c r="C153">
        <f t="shared" si="7"/>
        <v>18.715618430518461</v>
      </c>
      <c r="D153">
        <f t="shared" si="8"/>
        <v>18.375760296697681</v>
      </c>
    </row>
    <row r="154" spans="1:4" x14ac:dyDescent="0.15">
      <c r="A154">
        <v>15.200000000000001</v>
      </c>
      <c r="B154">
        <f t="shared" si="6"/>
        <v>963.18701543447844</v>
      </c>
      <c r="C154">
        <f t="shared" si="7"/>
        <v>19.062911900213233</v>
      </c>
      <c r="D154">
        <f t="shared" si="8"/>
        <v>18.75007266530805</v>
      </c>
    </row>
    <row r="155" spans="1:4" x14ac:dyDescent="0.15">
      <c r="A155">
        <v>15.3</v>
      </c>
      <c r="B155">
        <f t="shared" si="6"/>
        <v>962.45256946573215</v>
      </c>
      <c r="C155">
        <f t="shared" si="7"/>
        <v>19.416099630955241</v>
      </c>
      <c r="D155">
        <f t="shared" si="8"/>
        <v>19.131330903312314</v>
      </c>
    </row>
    <row r="156" spans="1:4" x14ac:dyDescent="0.15">
      <c r="A156">
        <v>15.4</v>
      </c>
      <c r="B156">
        <f t="shared" si="6"/>
        <v>961.70508646657959</v>
      </c>
      <c r="C156">
        <f t="shared" si="7"/>
        <v>19.775260637488756</v>
      </c>
      <c r="D156">
        <f t="shared" si="8"/>
        <v>19.519652895931419</v>
      </c>
    </row>
    <row r="157" spans="1:4" x14ac:dyDescent="0.15">
      <c r="A157">
        <v>15.5</v>
      </c>
      <c r="B157">
        <f t="shared" si="6"/>
        <v>960.94436771692858</v>
      </c>
      <c r="C157">
        <f t="shared" si="7"/>
        <v>20.140474174389993</v>
      </c>
      <c r="D157">
        <f t="shared" si="8"/>
        <v>19.915158108681194</v>
      </c>
    </row>
    <row r="158" spans="1:4" x14ac:dyDescent="0.15">
      <c r="A158">
        <v>15.6</v>
      </c>
      <c r="B158">
        <f t="shared" si="6"/>
        <v>960.17021270808743</v>
      </c>
      <c r="C158">
        <f t="shared" si="7"/>
        <v>20.511819699743327</v>
      </c>
      <c r="D158">
        <f t="shared" si="8"/>
        <v>20.317967592168994</v>
      </c>
    </row>
    <row r="159" spans="1:4" x14ac:dyDescent="0.15">
      <c r="A159">
        <v>15.700000000000001</v>
      </c>
      <c r="B159">
        <f t="shared" si="6"/>
        <v>959.38241917672212</v>
      </c>
      <c r="C159">
        <f t="shared" si="7"/>
        <v>20.889376837113762</v>
      </c>
      <c r="D159">
        <f t="shared" si="8"/>
        <v>20.728203986163862</v>
      </c>
    </row>
    <row r="160" spans="1:4" x14ac:dyDescent="0.15">
      <c r="A160">
        <v>15.8</v>
      </c>
      <c r="B160">
        <f t="shared" si="6"/>
        <v>958.58078314131876</v>
      </c>
      <c r="C160">
        <f t="shared" si="7"/>
        <v>21.27322533577486</v>
      </c>
      <c r="D160">
        <f t="shared" si="8"/>
        <v>21.145991522906137</v>
      </c>
    </row>
    <row r="161" spans="1:4" x14ac:dyDescent="0.15">
      <c r="A161">
        <v>15.9</v>
      </c>
      <c r="B161">
        <f t="shared" si="6"/>
        <v>957.76509894122637</v>
      </c>
      <c r="C161">
        <f t="shared" si="7"/>
        <v>21.663445029151717</v>
      </c>
      <c r="D161">
        <f t="shared" si="8"/>
        <v>21.571456029621633</v>
      </c>
    </row>
    <row r="162" spans="1:4" x14ac:dyDescent="0.15">
      <c r="A162">
        <v>16</v>
      </c>
      <c r="B162">
        <f t="shared" si="6"/>
        <v>956.9351592783562</v>
      </c>
      <c r="C162">
        <f t="shared" si="7"/>
        <v>22.060115791438815</v>
      </c>
      <c r="D162">
        <f t="shared" si="8"/>
        <v>22.004724930204667</v>
      </c>
    </row>
    <row r="163" spans="1:4" x14ac:dyDescent="0.15">
      <c r="A163">
        <v>16.100000000000001</v>
      </c>
      <c r="B163">
        <f t="shared" si="6"/>
        <v>956.09075526161303</v>
      </c>
      <c r="C163">
        <f t="shared" si="7"/>
        <v>22.46331749235322</v>
      </c>
      <c r="D163">
        <f t="shared" si="8"/>
        <v>22.445927246033442</v>
      </c>
    </row>
    <row r="164" spans="1:4" x14ac:dyDescent="0.15">
      <c r="A164">
        <v>16.200000000000003</v>
      </c>
      <c r="B164">
        <f t="shared" si="6"/>
        <v>955.23167645413525</v>
      </c>
      <c r="C164">
        <f t="shared" si="7"/>
        <v>22.873129949983969</v>
      </c>
      <c r="D164">
        <f t="shared" si="8"/>
        <v>22.895193595880507</v>
      </c>
    </row>
    <row r="165" spans="1:4" x14ac:dyDescent="0.15">
      <c r="A165">
        <v>16.3</v>
      </c>
      <c r="B165">
        <f t="shared" si="6"/>
        <v>954.3577109234202</v>
      </c>
      <c r="C165">
        <f t="shared" si="7"/>
        <v>23.289632881699347</v>
      </c>
      <c r="D165">
        <f t="shared" si="8"/>
        <v>23.352656194880186</v>
      </c>
    </row>
    <row r="166" spans="1:4" x14ac:dyDescent="0.15">
      <c r="A166">
        <v>16.400000000000002</v>
      </c>
      <c r="B166">
        <f t="shared" si="6"/>
        <v>953.4686452944112</v>
      </c>
      <c r="C166">
        <f t="shared" si="7"/>
        <v>23.712905853074378</v>
      </c>
      <c r="D166">
        <f t="shared" si="8"/>
        <v>23.818448852514173</v>
      </c>
    </row>
    <row r="167" spans="1:4" x14ac:dyDescent="0.15">
      <c r="A167">
        <v>16.500000000000004</v>
      </c>
      <c r="B167">
        <f t="shared" si="6"/>
        <v>952.5642648056222</v>
      </c>
      <c r="C167">
        <f t="shared" si="7"/>
        <v>24.143028224801881</v>
      </c>
      <c r="D167">
        <f t="shared" si="8"/>
        <v>24.292706969575661</v>
      </c>
    </row>
    <row r="168" spans="1:4" x14ac:dyDescent="0.15">
      <c r="A168">
        <v>16.600000000000001</v>
      </c>
      <c r="B168">
        <f t="shared" si="6"/>
        <v>951.64435336837664</v>
      </c>
      <c r="C168">
        <f t="shared" si="7"/>
        <v>24.580079097551437</v>
      </c>
      <c r="D168">
        <f t="shared" si="8"/>
        <v>24.775567534071698</v>
      </c>
    </row>
    <row r="169" spans="1:4" x14ac:dyDescent="0.15">
      <c r="A169">
        <v>16.700000000000003</v>
      </c>
      <c r="B169">
        <f t="shared" si="6"/>
        <v>950.70869362923531</v>
      </c>
      <c r="C169">
        <f t="shared" si="7"/>
        <v>25.024137254741724</v>
      </c>
      <c r="D169">
        <f t="shared" si="8"/>
        <v>25.267169116022725</v>
      </c>
    </row>
    <row r="170" spans="1:4" x14ac:dyDescent="0.15">
      <c r="A170">
        <v>16.8</v>
      </c>
      <c r="B170">
        <f t="shared" si="6"/>
        <v>949.75706703568915</v>
      </c>
      <c r="C170">
        <f t="shared" si="7"/>
        <v>25.475281103193058</v>
      </c>
      <c r="D170">
        <f t="shared" si="8"/>
        <v>25.76765186111756</v>
      </c>
    </row>
    <row r="171" spans="1:4" x14ac:dyDescent="0.15">
      <c r="A171">
        <v>16.900000000000002</v>
      </c>
      <c r="B171">
        <f t="shared" si="6"/>
        <v>948.78925390518998</v>
      </c>
      <c r="C171">
        <f t="shared" si="7"/>
        <v>25.933588611628331</v>
      </c>
      <c r="D171">
        <f t="shared" si="8"/>
        <v>26.277157483181423</v>
      </c>
    </row>
    <row r="172" spans="1:4" x14ac:dyDescent="0.15">
      <c r="A172">
        <v>17.000000000000004</v>
      </c>
      <c r="B172">
        <f t="shared" si="6"/>
        <v>947.80503349759351</v>
      </c>
      <c r="C172">
        <f t="shared" si="7"/>
        <v>26.399137246992204</v>
      </c>
      <c r="D172">
        <f t="shared" si="8"/>
        <v>26.795829255413988</v>
      </c>
    </row>
    <row r="173" spans="1:4" x14ac:dyDescent="0.15">
      <c r="A173">
        <v>17.100000000000001</v>
      </c>
      <c r="B173">
        <f t="shared" si="6"/>
        <v>946.80418409108574</v>
      </c>
      <c r="C173">
        <f t="shared" si="7"/>
        <v>26.872003908560082</v>
      </c>
      <c r="D173">
        <f t="shared" si="8"/>
        <v>27.323812000353833</v>
      </c>
    </row>
    <row r="174" spans="1:4" x14ac:dyDescent="0.15">
      <c r="A174">
        <v>17.200000000000003</v>
      </c>
      <c r="B174">
        <f t="shared" si="6"/>
        <v>945.78648306166428</v>
      </c>
      <c r="C174">
        <f t="shared" si="7"/>
        <v>27.352264859810347</v>
      </c>
      <c r="D174">
        <f t="shared" si="8"/>
        <v>27.861252078525034</v>
      </c>
    </row>
    <row r="175" spans="1:4" x14ac:dyDescent="0.15">
      <c r="A175">
        <v>17.3</v>
      </c>
      <c r="B175">
        <f t="shared" si="6"/>
        <v>944.75170696624309</v>
      </c>
      <c r="C175">
        <f t="shared" si="7"/>
        <v>27.839995658035388</v>
      </c>
      <c r="D175">
        <f t="shared" si="8"/>
        <v>28.40829737572124</v>
      </c>
    </row>
    <row r="176" spans="1:4" x14ac:dyDescent="0.15">
      <c r="A176">
        <v>17.400000000000002</v>
      </c>
      <c r="B176">
        <f t="shared" si="6"/>
        <v>943.69963162944862</v>
      </c>
      <c r="C176">
        <f t="shared" si="7"/>
        <v>28.335271081669148</v>
      </c>
      <c r="D176">
        <f t="shared" si="8"/>
        <v>28.96509728888195</v>
      </c>
    </row>
    <row r="177" spans="1:4" x14ac:dyDescent="0.15">
      <c r="A177">
        <v>17.500000000000004</v>
      </c>
      <c r="B177">
        <f t="shared" si="6"/>
        <v>942.63003223417297</v>
      </c>
      <c r="C177">
        <f t="shared" si="7"/>
        <v>28.838165055311435</v>
      </c>
      <c r="D177">
        <f t="shared" si="8"/>
        <v>29.531802710515333</v>
      </c>
    </row>
    <row r="178" spans="1:4" x14ac:dyDescent="0.15">
      <c r="A178">
        <v>17.600000000000001</v>
      </c>
      <c r="B178">
        <f t="shared" si="6"/>
        <v>941.5426834159465</v>
      </c>
      <c r="C178">
        <f t="shared" si="7"/>
        <v>29.348750572431712</v>
      </c>
      <c r="D178">
        <f t="shared" si="8"/>
        <v>30.108566011621562</v>
      </c>
    </row>
    <row r="179" spans="1:4" x14ac:dyDescent="0.15">
      <c r="A179">
        <v>17.700000000000003</v>
      </c>
      <c r="B179">
        <f t="shared" si="6"/>
        <v>940.43735936119162</v>
      </c>
      <c r="C179">
        <f t="shared" si="7"/>
        <v>29.867099615737985</v>
      </c>
      <c r="D179">
        <f t="shared" si="8"/>
        <v>30.695541023070195</v>
      </c>
    </row>
    <row r="180" spans="1:4" x14ac:dyDescent="0.15">
      <c r="A180">
        <v>17.8</v>
      </c>
      <c r="B180">
        <f t="shared" si="6"/>
        <v>939.31383390941551</v>
      </c>
      <c r="C180">
        <f t="shared" si="7"/>
        <v>30.393283075199317</v>
      </c>
      <c r="D180">
        <f t="shared" si="8"/>
        <v>31.292883015384955</v>
      </c>
    </row>
    <row r="181" spans="1:4" x14ac:dyDescent="0.15">
      <c r="A181">
        <v>17.900000000000002</v>
      </c>
      <c r="B181">
        <f t="shared" si="6"/>
        <v>938.17188065939717</v>
      </c>
      <c r="C181">
        <f t="shared" si="7"/>
        <v>30.927370663713717</v>
      </c>
      <c r="D181">
        <f t="shared" si="8"/>
        <v>31.900748676888941</v>
      </c>
    </row>
    <row r="182" spans="1:4" x14ac:dyDescent="0.15">
      <c r="A182">
        <v>18.000000000000004</v>
      </c>
      <c r="B182">
        <f t="shared" si="6"/>
        <v>937.01127307942011</v>
      </c>
      <c r="C182">
        <f t="shared" si="7"/>
        <v>31.469430830416506</v>
      </c>
      <c r="D182">
        <f t="shared" si="8"/>
        <v>32.519296090163216</v>
      </c>
    </row>
    <row r="183" spans="1:4" x14ac:dyDescent="0.15">
      <c r="A183">
        <v>18.100000000000001</v>
      </c>
      <c r="B183">
        <f t="shared" si="6"/>
        <v>935.83178462160038</v>
      </c>
      <c r="C183">
        <f t="shared" si="7"/>
        <v>32.019530671627912</v>
      </c>
      <c r="D183">
        <f t="shared" si="8"/>
        <v>33.148684706771547</v>
      </c>
    </row>
    <row r="184" spans="1:4" x14ac:dyDescent="0.15">
      <c r="A184">
        <v>18.200000000000003</v>
      </c>
      <c r="B184">
        <f t="shared" si="6"/>
        <v>934.63318884035334</v>
      </c>
      <c r="C184">
        <f t="shared" si="7"/>
        <v>32.577735839442376</v>
      </c>
      <c r="D184">
        <f t="shared" si="8"/>
        <v>33.789075320204105</v>
      </c>
    </row>
    <row r="185" spans="1:4" x14ac:dyDescent="0.15">
      <c r="A185">
        <v>18.3</v>
      </c>
      <c r="B185">
        <f t="shared" si="6"/>
        <v>933.4152595150407</v>
      </c>
      <c r="C185">
        <f t="shared" si="7"/>
        <v>33.144110447966199</v>
      </c>
      <c r="D185">
        <f t="shared" si="8"/>
        <v>34.44063003699295</v>
      </c>
    </row>
    <row r="186" spans="1:4" x14ac:dyDescent="0.15">
      <c r="A186">
        <v>18.400000000000002</v>
      </c>
      <c r="B186">
        <f t="shared" si="6"/>
        <v>932.17777077683331</v>
      </c>
      <c r="C186">
        <f t="shared" si="7"/>
        <v>33.718716977214214</v>
      </c>
      <c r="D186">
        <f t="shared" si="8"/>
        <v>35.103512245952274</v>
      </c>
    </row>
    <row r="187" spans="1:4" x14ac:dyDescent="0.15">
      <c r="A187">
        <v>18.500000000000004</v>
      </c>
      <c r="B187">
        <f t="shared" si="6"/>
        <v>930.92049723982234</v>
      </c>
      <c r="C187">
        <f t="shared" si="7"/>
        <v>34.301616174680909</v>
      </c>
      <c r="D187">
        <f t="shared" si="8"/>
        <v>35.77788658549656</v>
      </c>
    </row>
    <row r="188" spans="1:4" x14ac:dyDescent="0.15">
      <c r="A188">
        <v>18.600000000000001</v>
      </c>
      <c r="B188">
        <f t="shared" si="6"/>
        <v>929.6432141364038</v>
      </c>
      <c r="C188">
        <f t="shared" si="7"/>
        <v>34.892866954605829</v>
      </c>
      <c r="D188">
        <f t="shared" si="8"/>
        <v>36.463918908990181</v>
      </c>
    </row>
    <row r="189" spans="1:4" x14ac:dyDescent="0.15">
      <c r="A189">
        <v>18.700000000000003</v>
      </c>
      <c r="B189">
        <f t="shared" si="6"/>
        <v>928.34569745695921</v>
      </c>
      <c r="C189">
        <f t="shared" si="7"/>
        <v>35.49252629495826</v>
      </c>
      <c r="D189">
        <f t="shared" si="8"/>
        <v>37.161776248082298</v>
      </c>
    </row>
    <row r="190" spans="1:4" x14ac:dyDescent="0.15">
      <c r="A190">
        <v>18.8</v>
      </c>
      <c r="B190">
        <f t="shared" si="6"/>
        <v>927.02772409384716</v>
      </c>
      <c r="C190">
        <f t="shared" si="7"/>
        <v>36.100649132171192</v>
      </c>
      <c r="D190">
        <f t="shared" si="8"/>
        <v>37.871626773981461</v>
      </c>
    </row>
    <row r="191" spans="1:4" x14ac:dyDescent="0.15">
      <c r="A191">
        <v>18.900000000000002</v>
      </c>
      <c r="B191">
        <f t="shared" si="6"/>
        <v>925.68907198971488</v>
      </c>
      <c r="C191">
        <f t="shared" si="7"/>
        <v>36.717288253660058</v>
      </c>
      <c r="D191">
        <f t="shared" si="8"/>
        <v>38.593639756624881</v>
      </c>
    </row>
    <row r="192" spans="1:4" x14ac:dyDescent="0.15">
      <c r="A192">
        <v>19.000000000000004</v>
      </c>
      <c r="B192">
        <f t="shared" si="6"/>
        <v>924.3295202901345</v>
      </c>
      <c r="C192">
        <f t="shared" si="7"/>
        <v>37.342494188167237</v>
      </c>
      <c r="D192">
        <f t="shared" si="8"/>
        <v>39.327985521698082</v>
      </c>
    </row>
    <row r="193" spans="1:4" x14ac:dyDescent="0.15">
      <c r="A193">
        <v>19.100000000000001</v>
      </c>
      <c r="B193">
        <f t="shared" si="6"/>
        <v>922.94884950055905</v>
      </c>
      <c r="C193">
        <f t="shared" si="7"/>
        <v>37.976315093979323</v>
      </c>
      <c r="D193">
        <f t="shared" si="8"/>
        <v>40.074835405461428</v>
      </c>
    </row>
    <row r="194" spans="1:4" x14ac:dyDescent="0.15">
      <c r="A194">
        <v>19.200000000000003</v>
      </c>
      <c r="B194">
        <f t="shared" si="6"/>
        <v>921.54684164758874</v>
      </c>
      <c r="C194">
        <f t="shared" si="7"/>
        <v>38.618796645070091</v>
      </c>
      <c r="D194">
        <f t="shared" si="8"/>
        <v>40.834361707341017</v>
      </c>
    </row>
    <row r="195" spans="1:4" x14ac:dyDescent="0.15">
      <c r="A195">
        <v>19.300000000000004</v>
      </c>
      <c r="B195">
        <f t="shared" si="6"/>
        <v>920.12328044452897</v>
      </c>
      <c r="C195">
        <f t="shared" si="7"/>
        <v>39.269981915228485</v>
      </c>
      <c r="D195">
        <f t="shared" si="8"/>
        <v>41.606737640242422</v>
      </c>
    </row>
    <row r="196" spans="1:4" x14ac:dyDescent="0.15">
      <c r="A196">
        <v>19.400000000000002</v>
      </c>
      <c r="B196">
        <f t="shared" ref="B196:B259" si="9">B195-$G$1*B195*C195*$A$3</f>
        <v>918.67795146121546</v>
      </c>
      <c r="C196">
        <f t="shared" ref="C196:C259" si="10">C195+($G$1*B195*C195-$G$2*C195)*$A$3</f>
        <v>39.929911260237411</v>
      </c>
      <c r="D196">
        <f t="shared" ref="D196:D259" si="11">D195+$G$2*C195*$A$3</f>
        <v>42.39213727854699</v>
      </c>
    </row>
    <row r="197" spans="1:4" x14ac:dyDescent="0.15">
      <c r="A197">
        <v>19.500000000000004</v>
      </c>
      <c r="B197">
        <f t="shared" si="9"/>
        <v>917.21064229807212</v>
      </c>
      <c r="C197">
        <f t="shared" si="10"/>
        <v>40.598622198175981</v>
      </c>
      <c r="D197">
        <f t="shared" si="11"/>
        <v>43.190735503751739</v>
      </c>
    </row>
    <row r="198" spans="1:4" x14ac:dyDescent="0.15">
      <c r="A198">
        <v>19.600000000000001</v>
      </c>
      <c r="B198">
        <f t="shared" si="9"/>
        <v>915.72114276435991</v>
      </c>
      <c r="C198">
        <f t="shared" si="10"/>
        <v>41.276149287924689</v>
      </c>
      <c r="D198">
        <f t="shared" si="11"/>
        <v>44.002707947715258</v>
      </c>
    </row>
    <row r="199" spans="1:4" x14ac:dyDescent="0.15">
      <c r="A199">
        <v>19.700000000000003</v>
      </c>
      <c r="B199">
        <f t="shared" si="9"/>
        <v>914.20924506056588</v>
      </c>
      <c r="C199">
        <f t="shared" si="10"/>
        <v>41.962524005960226</v>
      </c>
      <c r="D199">
        <f t="shared" si="11"/>
        <v>44.828230933473755</v>
      </c>
    </row>
    <row r="200" spans="1:4" x14ac:dyDescent="0.15">
      <c r="A200">
        <v>19.800000000000004</v>
      </c>
      <c r="B200">
        <f t="shared" si="9"/>
        <v>912.67474396487285</v>
      </c>
      <c r="C200">
        <f t="shared" si="10"/>
        <v>42.65777462153401</v>
      </c>
      <c r="D200">
        <f t="shared" si="11"/>
        <v>45.667481413592959</v>
      </c>
    </row>
    <row r="201" spans="1:4" x14ac:dyDescent="0.15">
      <c r="A201">
        <v>19.900000000000002</v>
      </c>
      <c r="B201">
        <f t="shared" si="9"/>
        <v>911.11743702364004</v>
      </c>
      <c r="C201">
        <f t="shared" si="10"/>
        <v>43.361926070336125</v>
      </c>
      <c r="D201">
        <f t="shared" si="11"/>
        <v>46.52063690602364</v>
      </c>
    </row>
    <row r="202" spans="1:4" x14ac:dyDescent="0.15">
      <c r="A202">
        <v>20.000000000000004</v>
      </c>
      <c r="B202">
        <f t="shared" si="9"/>
        <v>909.5371247458155</v>
      </c>
      <c r="C202">
        <f t="shared" si="10"/>
        <v>44.074999826753931</v>
      </c>
      <c r="D202">
        <f t="shared" si="11"/>
        <v>47.387875427430359</v>
      </c>
    </row>
    <row r="203" spans="1:4" x14ac:dyDescent="0.15">
      <c r="A203">
        <v>20.100000000000001</v>
      </c>
      <c r="B203">
        <f t="shared" si="9"/>
        <v>907.93361080119155</v>
      </c>
      <c r="C203">
        <f t="shared" si="10"/>
        <v>44.797013774842775</v>
      </c>
      <c r="D203">
        <f t="shared" si="11"/>
        <v>48.269375423965435</v>
      </c>
    </row>
    <row r="204" spans="1:4" x14ac:dyDescent="0.15">
      <c r="A204">
        <v>20.200000000000003</v>
      </c>
      <c r="B204">
        <f t="shared" si="9"/>
        <v>906.30670222240337</v>
      </c>
      <c r="C204">
        <f t="shared" si="10"/>
        <v>45.527982078134066</v>
      </c>
      <c r="D204">
        <f t="shared" si="11"/>
        <v>49.16531569946229</v>
      </c>
    </row>
    <row r="205" spans="1:4" x14ac:dyDescent="0.15">
      <c r="A205">
        <v>20.300000000000004</v>
      </c>
      <c r="B205">
        <f t="shared" si="9"/>
        <v>904.65620961056038</v>
      </c>
      <c r="C205">
        <f t="shared" si="10"/>
        <v>46.267915048414359</v>
      </c>
      <c r="D205">
        <f t="shared" si="11"/>
        <v>50.075875341024968</v>
      </c>
    </row>
    <row r="206" spans="1:4" x14ac:dyDescent="0.15">
      <c r="A206">
        <v>20.400000000000002</v>
      </c>
      <c r="B206">
        <f t="shared" si="9"/>
        <v>902.98194734438914</v>
      </c>
      <c r="C206">
        <f t="shared" si="10"/>
        <v>47.016819013617351</v>
      </c>
      <c r="D206">
        <f t="shared" si="11"/>
        <v>51.001233641993252</v>
      </c>
    </row>
    <row r="207" spans="1:4" x14ac:dyDescent="0.15">
      <c r="A207">
        <v>20.500000000000004</v>
      </c>
      <c r="B207">
        <f t="shared" si="9"/>
        <v>901.2837337927549</v>
      </c>
      <c r="C207">
        <f t="shared" si="10"/>
        <v>47.774696184979199</v>
      </c>
      <c r="D207">
        <f t="shared" si="11"/>
        <v>51.941570022265601</v>
      </c>
    </row>
    <row r="208" spans="1:4" x14ac:dyDescent="0.15">
      <c r="A208">
        <v>20.6</v>
      </c>
      <c r="B208">
        <f t="shared" si="9"/>
        <v>899.5613915304184</v>
      </c>
      <c r="C208">
        <f t="shared" si="10"/>
        <v>48.541544523616118</v>
      </c>
      <c r="D208">
        <f t="shared" si="11"/>
        <v>52.897063945965186</v>
      </c>
    </row>
    <row r="209" spans="1:4" x14ac:dyDescent="0.15">
      <c r="A209">
        <v>20.700000000000003</v>
      </c>
      <c r="B209">
        <f t="shared" si="9"/>
        <v>897.81474755687043</v>
      </c>
      <c r="C209">
        <f t="shared" si="10"/>
        <v>49.317357606691793</v>
      </c>
      <c r="D209">
        <f t="shared" si="11"/>
        <v>53.867894836437507</v>
      </c>
    </row>
    <row r="210" spans="1:4" x14ac:dyDescent="0.15">
      <c r="A210">
        <v>20.800000000000004</v>
      </c>
      <c r="B210">
        <f t="shared" si="9"/>
        <v>896.04363351807751</v>
      </c>
      <c r="C210">
        <f t="shared" si="10"/>
        <v>50.102124493350914</v>
      </c>
      <c r="D210">
        <f t="shared" si="11"/>
        <v>54.854241988571346</v>
      </c>
    </row>
    <row r="211" spans="1:4" x14ac:dyDescent="0.15">
      <c r="A211">
        <v>20.900000000000002</v>
      </c>
      <c r="B211">
        <f t="shared" si="9"/>
        <v>894.24788593095764</v>
      </c>
      <c r="C211">
        <f t="shared" si="10"/>
        <v>50.895829590603782</v>
      </c>
      <c r="D211">
        <f t="shared" si="11"/>
        <v>55.856284478438361</v>
      </c>
    </row>
    <row r="212" spans="1:4" x14ac:dyDescent="0.15">
      <c r="A212">
        <v>21.000000000000004</v>
      </c>
      <c r="B212">
        <f t="shared" si="9"/>
        <v>892.42734641039362</v>
      </c>
      <c r="C212">
        <f t="shared" si="10"/>
        <v>51.698452519355698</v>
      </c>
      <c r="D212">
        <f t="shared" si="11"/>
        <v>56.874201070250436</v>
      </c>
    </row>
    <row r="213" spans="1:4" x14ac:dyDescent="0.15">
      <c r="A213">
        <v>21.1</v>
      </c>
      <c r="B213">
        <f t="shared" si="9"/>
        <v>890.58186189857872</v>
      </c>
      <c r="C213">
        <f t="shared" si="10"/>
        <v>52.509967980783479</v>
      </c>
      <c r="D213">
        <f t="shared" si="11"/>
        <v>57.90817012063755</v>
      </c>
    </row>
    <row r="214" spans="1:4" x14ac:dyDescent="0.15">
      <c r="A214">
        <v>21.200000000000003</v>
      </c>
      <c r="B214">
        <f t="shared" si="9"/>
        <v>888.71128489647629</v>
      </c>
      <c r="C214">
        <f t="shared" si="10"/>
        <v>53.330345623270247</v>
      </c>
      <c r="D214">
        <f t="shared" si="11"/>
        <v>58.958369480253218</v>
      </c>
    </row>
    <row r="215" spans="1:4" x14ac:dyDescent="0.15">
      <c r="A215">
        <v>21.300000000000004</v>
      </c>
      <c r="B215">
        <f t="shared" si="9"/>
        <v>886.81547369716304</v>
      </c>
      <c r="C215">
        <f t="shared" si="10"/>
        <v>54.159549910118031</v>
      </c>
      <c r="D215">
        <f t="shared" si="11"/>
        <v>60.024976392718621</v>
      </c>
    </row>
    <row r="216" spans="1:4" x14ac:dyDescent="0.15">
      <c r="A216">
        <v>21.400000000000002</v>
      </c>
      <c r="B216">
        <f t="shared" si="9"/>
        <v>884.89429262081239</v>
      </c>
      <c r="C216">
        <f t="shared" si="10"/>
        <v>54.997539988266325</v>
      </c>
      <c r="D216">
        <f t="shared" si="11"/>
        <v>61.108167390920983</v>
      </c>
    </row>
    <row r="217" spans="1:4" x14ac:dyDescent="0.15">
      <c r="A217">
        <v>21.500000000000004</v>
      </c>
      <c r="B217">
        <f t="shared" si="9"/>
        <v>882.94761225106038</v>
      </c>
      <c r="C217">
        <f t="shared" si="10"/>
        <v>55.844269558253067</v>
      </c>
      <c r="D217">
        <f t="shared" si="11"/>
        <v>62.208118190686307</v>
      </c>
    </row>
    <row r="218" spans="1:4" x14ac:dyDescent="0.15">
      <c r="A218">
        <v>21.6</v>
      </c>
      <c r="B218">
        <f t="shared" si="9"/>
        <v>880.97530967248576</v>
      </c>
      <c r="C218">
        <f t="shared" si="10"/>
        <v>56.699686745662568</v>
      </c>
      <c r="D218">
        <f t="shared" si="11"/>
        <v>63.325003581851369</v>
      </c>
    </row>
    <row r="219" spans="1:4" x14ac:dyDescent="0.15">
      <c r="A219">
        <v>21.700000000000003</v>
      </c>
      <c r="B219">
        <f t="shared" si="9"/>
        <v>878.977268708922</v>
      </c>
      <c r="C219">
        <f t="shared" si="10"/>
        <v>57.563733974313038</v>
      </c>
      <c r="D219">
        <f t="shared" si="11"/>
        <v>64.458997316764624</v>
      </c>
    </row>
    <row r="220" spans="1:4" x14ac:dyDescent="0.15">
      <c r="A220">
        <v>21.800000000000004</v>
      </c>
      <c r="B220">
        <f t="shared" si="9"/>
        <v>876.95338016230482</v>
      </c>
      <c r="C220">
        <f t="shared" si="10"/>
        <v>58.436347841443926</v>
      </c>
      <c r="D220">
        <f t="shared" si="11"/>
        <v>65.610271996250887</v>
      </c>
    </row>
    <row r="221" spans="1:4" x14ac:dyDescent="0.15">
      <c r="A221">
        <v>21.900000000000002</v>
      </c>
      <c r="B221">
        <f t="shared" si="9"/>
        <v>874.90354205174901</v>
      </c>
      <c r="C221">
        <f t="shared" si="10"/>
        <v>59.317458995170824</v>
      </c>
      <c r="D221">
        <f t="shared" si="11"/>
        <v>66.778998953079764</v>
      </c>
    </row>
    <row r="222" spans="1:4" x14ac:dyDescent="0.15">
      <c r="A222">
        <v>22.000000000000004</v>
      </c>
      <c r="B222">
        <f t="shared" si="9"/>
        <v>872.82765985253366</v>
      </c>
      <c r="C222">
        <f t="shared" si="10"/>
        <v>60.206992014482779</v>
      </c>
      <c r="D222">
        <f t="shared" si="11"/>
        <v>67.965348132983181</v>
      </c>
    </row>
    <row r="223" spans="1:4" x14ac:dyDescent="0.15">
      <c r="A223">
        <v>22.1</v>
      </c>
      <c r="B223">
        <f t="shared" si="9"/>
        <v>870.7256467346632</v>
      </c>
      <c r="C223">
        <f t="shared" si="10"/>
        <v>61.104865292063572</v>
      </c>
      <c r="D223">
        <f t="shared" si="11"/>
        <v>69.169487973272837</v>
      </c>
    </row>
    <row r="224" spans="1:4" x14ac:dyDescent="0.15">
      <c r="A224">
        <v>22.200000000000003</v>
      </c>
      <c r="B224">
        <f t="shared" si="9"/>
        <v>868.59742380066052</v>
      </c>
      <c r="C224">
        <f t="shared" si="10"/>
        <v>62.010990920224963</v>
      </c>
      <c r="D224">
        <f t="shared" si="11"/>
        <v>70.391585279114111</v>
      </c>
    </row>
    <row r="225" spans="1:4" x14ac:dyDescent="0.15">
      <c r="A225">
        <v>22.300000000000004</v>
      </c>
      <c r="B225">
        <f t="shared" si="9"/>
        <v>866.44292032223518</v>
      </c>
      <c r="C225">
        <f t="shared" si="10"/>
        <v>62.925274580245805</v>
      </c>
      <c r="D225">
        <f t="shared" si="11"/>
        <v>71.631805097518608</v>
      </c>
    </row>
    <row r="226" spans="1:4" x14ac:dyDescent="0.15">
      <c r="A226">
        <v>22.400000000000002</v>
      </c>
      <c r="B226">
        <f t="shared" si="9"/>
        <v>864.26207397545977</v>
      </c>
      <c r="C226">
        <f t="shared" si="10"/>
        <v>63.847615435416358</v>
      </c>
      <c r="D226">
        <f t="shared" si="11"/>
        <v>72.89031058912353</v>
      </c>
    </row>
    <row r="227" spans="1:4" x14ac:dyDescent="0.15">
      <c r="A227">
        <v>22.500000000000004</v>
      </c>
      <c r="B227">
        <f t="shared" si="9"/>
        <v>862.05483107407576</v>
      </c>
      <c r="C227">
        <f t="shared" si="10"/>
        <v>64.777906028092048</v>
      </c>
      <c r="D227">
        <f t="shared" si="11"/>
        <v>74.167262897831861</v>
      </c>
    </row>
    <row r="228" spans="1:4" x14ac:dyDescent="0.15">
      <c r="A228">
        <v>22.6</v>
      </c>
      <c r="B228">
        <f t="shared" si="9"/>
        <v>859.82114680054065</v>
      </c>
      <c r="C228">
        <f t="shared" si="10"/>
        <v>65.716032181065373</v>
      </c>
      <c r="D228">
        <f t="shared" si="11"/>
        <v>75.462821018393697</v>
      </c>
    </row>
    <row r="229" spans="1:4" x14ac:dyDescent="0.15">
      <c r="A229">
        <v>22.700000000000003</v>
      </c>
      <c r="B229">
        <f t="shared" si="9"/>
        <v>857.56098543441647</v>
      </c>
      <c r="C229">
        <f t="shared" si="10"/>
        <v>66.661872903568266</v>
      </c>
      <c r="D229">
        <f t="shared" si="11"/>
        <v>76.777141662014998</v>
      </c>
    </row>
    <row r="230" spans="1:4" x14ac:dyDescent="0.15">
      <c r="A230">
        <v>22.800000000000004</v>
      </c>
      <c r="B230">
        <f t="shared" si="9"/>
        <v>855.27432057769295</v>
      </c>
      <c r="C230">
        <f t="shared" si="10"/>
        <v>67.615300302220419</v>
      </c>
      <c r="D230">
        <f t="shared" si="11"/>
        <v>78.110379120086364</v>
      </c>
    </row>
    <row r="231" spans="1:4" x14ac:dyDescent="0.15">
      <c r="A231">
        <v>22.900000000000002</v>
      </c>
      <c r="B231">
        <f t="shared" si="9"/>
        <v>852.96113537662745</v>
      </c>
      <c r="C231">
        <f t="shared" si="10"/>
        <v>68.57617949724154</v>
      </c>
      <c r="D231">
        <f t="shared" si="11"/>
        <v>79.462685126130779</v>
      </c>
    </row>
    <row r="232" spans="1:4" x14ac:dyDescent="0.15">
      <c r="A232">
        <v>23.000000000000004</v>
      </c>
      <c r="B232">
        <f t="shared" si="9"/>
        <v>850.62142273967709</v>
      </c>
      <c r="C232">
        <f t="shared" si="10"/>
        <v>69.54436854424705</v>
      </c>
      <c r="D232">
        <f t="shared" si="11"/>
        <v>80.834208716075608</v>
      </c>
    </row>
    <row r="233" spans="1:4" x14ac:dyDescent="0.15">
      <c r="A233">
        <v>23.1</v>
      </c>
      <c r="B233">
        <f t="shared" si="9"/>
        <v>848.25518555109147</v>
      </c>
      <c r="C233">
        <f t="shared" si="10"/>
        <v>70.51971836194771</v>
      </c>
      <c r="D233">
        <f t="shared" si="11"/>
        <v>82.225096086960548</v>
      </c>
    </row>
    <row r="234" spans="1:4" x14ac:dyDescent="0.15">
      <c r="A234">
        <v>23.200000000000003</v>
      </c>
      <c r="B234">
        <f t="shared" si="9"/>
        <v>845.86243687972649</v>
      </c>
      <c r="C234">
        <f t="shared" si="10"/>
        <v>71.502072666073744</v>
      </c>
      <c r="D234">
        <f t="shared" si="11"/>
        <v>83.635490454199498</v>
      </c>
    </row>
    <row r="235" spans="1:4" x14ac:dyDescent="0.15">
      <c r="A235">
        <v>23.300000000000004</v>
      </c>
      <c r="B235">
        <f t="shared" si="9"/>
        <v>843.44320018263545</v>
      </c>
      <c r="C235">
        <f t="shared" si="10"/>
        <v>72.49126790984333</v>
      </c>
      <c r="D235">
        <f t="shared" si="11"/>
        <v>85.065531907520977</v>
      </c>
    </row>
    <row r="236" spans="1:4" x14ac:dyDescent="0.15">
      <c r="A236">
        <v>23.400000000000002</v>
      </c>
      <c r="B236">
        <f t="shared" si="9"/>
        <v>840.99750950298846</v>
      </c>
      <c r="C236">
        <f t="shared" si="10"/>
        <v>73.48713323129347</v>
      </c>
      <c r="D236">
        <f t="shared" si="11"/>
        <v>86.515357265717839</v>
      </c>
    </row>
    <row r="237" spans="1:4" x14ac:dyDescent="0.15">
      <c r="A237">
        <v>23.500000000000004</v>
      </c>
      <c r="B237">
        <f t="shared" si="9"/>
        <v>838.52540966186723</v>
      </c>
      <c r="C237">
        <f t="shared" si="10"/>
        <v>74.489490407788878</v>
      </c>
      <c r="D237">
        <f t="shared" si="11"/>
        <v>87.985099930343708</v>
      </c>
    </row>
    <row r="238" spans="1:4" x14ac:dyDescent="0.15">
      <c r="A238">
        <v>23.6</v>
      </c>
      <c r="B238">
        <f t="shared" si="9"/>
        <v>836.02695644347943</v>
      </c>
      <c r="C238">
        <f t="shared" si="10"/>
        <v>75.498153818020896</v>
      </c>
      <c r="D238">
        <f t="shared" si="11"/>
        <v>89.474889738499485</v>
      </c>
    </row>
    <row r="239" spans="1:4" x14ac:dyDescent="0.15">
      <c r="A239">
        <v>23.700000000000003</v>
      </c>
      <c r="B239">
        <f t="shared" si="9"/>
        <v>833.50221677333616</v>
      </c>
      <c r="C239">
        <f t="shared" si="10"/>
        <v>76.512930411803751</v>
      </c>
      <c r="D239">
        <f t="shared" si="11"/>
        <v>90.984852814859906</v>
      </c>
    </row>
    <row r="240" spans="1:4" x14ac:dyDescent="0.15">
      <c r="A240">
        <v>23.800000000000004</v>
      </c>
      <c r="B240">
        <f t="shared" si="9"/>
        <v>830.95126888893367</v>
      </c>
      <c r="C240">
        <f t="shared" si="10"/>
        <v>77.533619687970173</v>
      </c>
      <c r="D240">
        <f t="shared" si="11"/>
        <v>92.515111423095988</v>
      </c>
    </row>
    <row r="241" spans="1:4" x14ac:dyDescent="0.15">
      <c r="A241">
        <v>23.900000000000002</v>
      </c>
      <c r="B241">
        <f t="shared" si="9"/>
        <v>828.37420250248283</v>
      </c>
      <c r="C241">
        <f t="shared" si="10"/>
        <v>78.560013680661598</v>
      </c>
      <c r="D241">
        <f t="shared" si="11"/>
        <v>94.065783816855387</v>
      </c>
    </row>
    <row r="242" spans="1:4" x14ac:dyDescent="0.15">
      <c r="A242">
        <v>24.000000000000004</v>
      </c>
      <c r="B242">
        <f t="shared" si="9"/>
        <v>825.77111895523069</v>
      </c>
      <c r="C242">
        <f t="shared" si="10"/>
        <v>79.591896954300452</v>
      </c>
      <c r="D242">
        <f t="shared" si="11"/>
        <v>95.636984090468616</v>
      </c>
    </row>
    <row r="243" spans="1:4" x14ac:dyDescent="0.15">
      <c r="A243">
        <v>24.1</v>
      </c>
      <c r="B243">
        <f t="shared" si="9"/>
        <v>823.14213136292176</v>
      </c>
      <c r="C243">
        <f t="shared" si="10"/>
        <v>80.629046607523321</v>
      </c>
      <c r="D243">
        <f t="shared" si="11"/>
        <v>97.228822029554621</v>
      </c>
    </row>
    <row r="244" spans="1:4" x14ac:dyDescent="0.15">
      <c r="A244">
        <v>24.200000000000003</v>
      </c>
      <c r="B244">
        <f t="shared" si="9"/>
        <v>820.48736475195062</v>
      </c>
      <c r="C244">
        <f t="shared" si="10"/>
        <v>81.671232286343937</v>
      </c>
      <c r="D244">
        <f t="shared" si="11"/>
        <v>98.841402961705086</v>
      </c>
    </row>
    <row r="245" spans="1:4" x14ac:dyDescent="0.15">
      <c r="A245">
        <v>24.300000000000004</v>
      </c>
      <c r="B245">
        <f t="shared" si="9"/>
        <v>817.80695618576397</v>
      </c>
      <c r="C245">
        <f t="shared" si="10"/>
        <v>82.718216206803731</v>
      </c>
      <c r="D245">
        <f t="shared" si="11"/>
        <v>100.47482760743196</v>
      </c>
    </row>
    <row r="246" spans="1:4" x14ac:dyDescent="0.15">
      <c r="A246">
        <v>24.400000000000002</v>
      </c>
      <c r="B246">
        <f t="shared" si="9"/>
        <v>815.10105488107592</v>
      </c>
      <c r="C246">
        <f t="shared" si="10"/>
        <v>83.769753187355747</v>
      </c>
      <c r="D246">
        <f t="shared" si="11"/>
        <v>102.12919193156803</v>
      </c>
    </row>
    <row r="247" spans="1:4" x14ac:dyDescent="0.15">
      <c r="A247">
        <v>24.500000000000004</v>
      </c>
      <c r="B247">
        <f t="shared" si="9"/>
        <v>812.36982231347031</v>
      </c>
      <c r="C247">
        <f t="shared" si="10"/>
        <v>84.825590691214273</v>
      </c>
      <c r="D247">
        <f t="shared" si="11"/>
        <v>103.80458699531515</v>
      </c>
    </row>
    <row r="248" spans="1:4" x14ac:dyDescent="0.15">
      <c r="A248">
        <v>24.6</v>
      </c>
      <c r="B248">
        <f t="shared" si="9"/>
        <v>809.61343231197202</v>
      </c>
      <c r="C248">
        <f t="shared" si="10"/>
        <v>85.885468878888261</v>
      </c>
      <c r="D248">
        <f t="shared" si="11"/>
        <v>105.50109880913944</v>
      </c>
    </row>
    <row r="249" spans="1:4" x14ac:dyDescent="0.15">
      <c r="A249">
        <v>24.700000000000003</v>
      </c>
      <c r="B249">
        <f t="shared" si="9"/>
        <v>806.83207114218158</v>
      </c>
      <c r="C249">
        <f t="shared" si="10"/>
        <v>86.949120671100886</v>
      </c>
      <c r="D249">
        <f t="shared" si="11"/>
        <v>107.2188081867172</v>
      </c>
    </row>
    <row r="250" spans="1:4" x14ac:dyDescent="0.15">
      <c r="A250">
        <v>24.800000000000004</v>
      </c>
      <c r="B250">
        <f t="shared" si="9"/>
        <v>804.02593757757938</v>
      </c>
      <c r="C250">
        <f t="shared" si="10"/>
        <v>88.016271822281098</v>
      </c>
      <c r="D250">
        <f t="shared" si="11"/>
        <v>108.95779060013922</v>
      </c>
    </row>
    <row r="251" spans="1:4" x14ac:dyDescent="0.15">
      <c r="A251">
        <v>24.900000000000002</v>
      </c>
      <c r="B251">
        <f t="shared" si="9"/>
        <v>801.1952429586197</v>
      </c>
      <c r="C251">
        <f t="shared" si="10"/>
        <v>89.086641004795183</v>
      </c>
      <c r="D251">
        <f t="shared" si="11"/>
        <v>110.71811603658485</v>
      </c>
    </row>
    <row r="252" spans="1:4" x14ac:dyDescent="0.15">
      <c r="A252">
        <v>25.000000000000004</v>
      </c>
      <c r="B252">
        <f t="shared" si="9"/>
        <v>798.34021123925152</v>
      </c>
      <c r="C252">
        <f t="shared" si="10"/>
        <v>90.159939904067443</v>
      </c>
      <c r="D252">
        <f t="shared" si="11"/>
        <v>112.49984885668074</v>
      </c>
    </row>
    <row r="253" spans="1:4" x14ac:dyDescent="0.15">
      <c r="A253">
        <v>25.1</v>
      </c>
      <c r="B253">
        <f t="shared" si="9"/>
        <v>795.46107902051824</v>
      </c>
      <c r="C253">
        <f t="shared" si="10"/>
        <v>91.23587332471935</v>
      </c>
      <c r="D253">
        <f t="shared" si="11"/>
        <v>114.3030476547621</v>
      </c>
    </row>
    <row r="254" spans="1:4" x14ac:dyDescent="0.15">
      <c r="A254">
        <v>25.200000000000003</v>
      </c>
      <c r="B254">
        <f t="shared" si="9"/>
        <v>792.55809557090777</v>
      </c>
      <c r="C254">
        <f t="shared" si="10"/>
        <v>92.31413930783539</v>
      </c>
      <c r="D254">
        <f t="shared" si="11"/>
        <v>116.12776512125649</v>
      </c>
    </row>
    <row r="255" spans="1:4" x14ac:dyDescent="0.15">
      <c r="A255">
        <v>25.300000000000004</v>
      </c>
      <c r="B255">
        <f t="shared" si="9"/>
        <v>789.63152283314434</v>
      </c>
      <c r="C255">
        <f t="shared" si="10"/>
        <v>93.394429259442106</v>
      </c>
      <c r="D255">
        <f t="shared" si="11"/>
        <v>117.97404790741319</v>
      </c>
    </row>
    <row r="256" spans="1:4" x14ac:dyDescent="0.15">
      <c r="A256">
        <v>25.400000000000002</v>
      </c>
      <c r="B256">
        <f t="shared" si="9"/>
        <v>786.68163541713375</v>
      </c>
      <c r="C256">
        <f t="shared" si="10"/>
        <v>94.476428090263894</v>
      </c>
      <c r="D256">
        <f t="shared" si="11"/>
        <v>119.84193649260203</v>
      </c>
    </row>
    <row r="257" spans="1:4" x14ac:dyDescent="0.15">
      <c r="A257">
        <v>25.500000000000004</v>
      </c>
      <c r="B257">
        <f t="shared" si="9"/>
        <v>783.70872057879706</v>
      </c>
      <c r="C257">
        <f t="shared" si="10"/>
        <v>95.559814366795337</v>
      </c>
      <c r="D257">
        <f t="shared" si="11"/>
        <v>121.73146505440731</v>
      </c>
    </row>
    <row r="258" spans="1:4" x14ac:dyDescent="0.15">
      <c r="A258">
        <v>25.6</v>
      </c>
      <c r="B258">
        <f t="shared" si="9"/>
        <v>780.71307818455114</v>
      </c>
      <c r="C258">
        <f t="shared" si="10"/>
        <v>96.644260473705373</v>
      </c>
      <c r="D258">
        <f t="shared" si="11"/>
        <v>123.64266134174322</v>
      </c>
    </row>
    <row r="259" spans="1:4" x14ac:dyDescent="0.15">
      <c r="A259">
        <v>25.700000000000003</v>
      </c>
      <c r="B259">
        <f t="shared" si="9"/>
        <v>777.69502066121925</v>
      </c>
      <c r="C259">
        <f t="shared" si="10"/>
        <v>97.729432787563113</v>
      </c>
      <c r="D259">
        <f t="shared" si="11"/>
        <v>125.57554655121733</v>
      </c>
    </row>
    <row r="260" spans="1:4" x14ac:dyDescent="0.15">
      <c r="A260">
        <v>25.800000000000004</v>
      </c>
      <c r="B260">
        <f t="shared" ref="B260:B323" si="12">B259-$G$1*B259*C259*$A$3</f>
        <v>774.6548729311819</v>
      </c>
      <c r="C260">
        <f t="shared" ref="C260:C323" si="13">C259+($G$1*B259*C259-$G$2*C259)*$A$3</f>
        <v>98.81499186184918</v>
      </c>
      <c r="D260">
        <f t="shared" ref="D260:D323" si="14">D259+$G$2*C259*$A$3</f>
        <v>127.53013520696859</v>
      </c>
    </row>
    <row r="261" spans="1:4" x14ac:dyDescent="0.15">
      <c r="A261">
        <v>25.900000000000002</v>
      </c>
      <c r="B261">
        <f t="shared" si="12"/>
        <v>771.5929723326044</v>
      </c>
      <c r="C261">
        <f t="shared" si="13"/>
        <v>99.900592623189652</v>
      </c>
      <c r="D261">
        <f t="shared" si="14"/>
        <v>129.50643504420557</v>
      </c>
    </row>
    <row r="262" spans="1:4" x14ac:dyDescent="0.15">
      <c r="A262">
        <v>26.000000000000004</v>
      </c>
      <c r="B262">
        <f t="shared" si="12"/>
        <v>768.50966852460783</v>
      </c>
      <c r="C262">
        <f t="shared" si="13"/>
        <v>100.98588457872248</v>
      </c>
      <c r="D262">
        <f t="shared" si="14"/>
        <v>131.50444689666938</v>
      </c>
    </row>
    <row r="263" spans="1:4" x14ac:dyDescent="0.15">
      <c r="A263">
        <v>26.1</v>
      </c>
      <c r="B263">
        <f t="shared" si="12"/>
        <v>765.40532337727745</v>
      </c>
      <c r="C263">
        <f t="shared" si="13"/>
        <v>102.07051203447836</v>
      </c>
      <c r="D263">
        <f t="shared" si="14"/>
        <v>133.52416458824382</v>
      </c>
    </row>
    <row r="264" spans="1:4" x14ac:dyDescent="0.15">
      <c r="A264">
        <v>26.200000000000003</v>
      </c>
      <c r="B264">
        <f t="shared" si="12"/>
        <v>762.28031084643612</v>
      </c>
      <c r="C264">
        <f t="shared" si="13"/>
        <v>103.15411432463016</v>
      </c>
      <c r="D264">
        <f t="shared" si="14"/>
        <v>135.56557482893339</v>
      </c>
    </row>
    <row r="265" spans="1:4" x14ac:dyDescent="0.15">
      <c r="A265">
        <v>26.300000000000004</v>
      </c>
      <c r="B265">
        <f t="shared" si="12"/>
        <v>759.13501683313746</v>
      </c>
      <c r="C265">
        <f t="shared" si="13"/>
        <v>104.23632605143627</v>
      </c>
      <c r="D265">
        <f t="shared" si="14"/>
        <v>137.62865711542599</v>
      </c>
    </row>
    <row r="266" spans="1:4" x14ac:dyDescent="0.15">
      <c r="A266">
        <v>26.400000000000002</v>
      </c>
      <c r="B266">
        <f t="shared" si="12"/>
        <v>755.96983902787019</v>
      </c>
      <c r="C266">
        <f t="shared" si="13"/>
        <v>105.3167773356748</v>
      </c>
      <c r="D266">
        <f t="shared" si="14"/>
        <v>139.71338363645472</v>
      </c>
    </row>
    <row r="267" spans="1:4" x14ac:dyDescent="0.15">
      <c r="A267">
        <v>26.500000000000004</v>
      </c>
      <c r="B267">
        <f t="shared" si="12"/>
        <v>752.78518673949486</v>
      </c>
      <c r="C267">
        <f t="shared" si="13"/>
        <v>106.39509407733667</v>
      </c>
      <c r="D267">
        <f t="shared" si="14"/>
        <v>141.81971918316822</v>
      </c>
    </row>
    <row r="268" spans="1:4" x14ac:dyDescent="0.15">
      <c r="A268">
        <v>26.6</v>
      </c>
      <c r="B268">
        <f t="shared" si="12"/>
        <v>749.58148070896789</v>
      </c>
      <c r="C268">
        <f t="shared" si="13"/>
        <v>107.47089822631689</v>
      </c>
      <c r="D268">
        <f t="shared" si="14"/>
        <v>143.94762106471495</v>
      </c>
    </row>
    <row r="269" spans="1:4" x14ac:dyDescent="0.15">
      <c r="A269">
        <v>26.700000000000003</v>
      </c>
      <c r="B269">
        <f t="shared" si="12"/>
        <v>746.35915290794367</v>
      </c>
      <c r="C269">
        <f t="shared" si="13"/>
        <v>108.54380806281478</v>
      </c>
      <c r="D269">
        <f t="shared" si="14"/>
        <v>146.0970390292413</v>
      </c>
    </row>
    <row r="270" spans="1:4" x14ac:dyDescent="0.15">
      <c r="A270">
        <v>26.800000000000004</v>
      </c>
      <c r="B270">
        <f t="shared" si="12"/>
        <v>743.11864632237712</v>
      </c>
      <c r="C270">
        <f t="shared" si="13"/>
        <v>109.61343848712508</v>
      </c>
      <c r="D270">
        <f t="shared" si="14"/>
        <v>148.2679151904976</v>
      </c>
    </row>
    <row r="271" spans="1:4" x14ac:dyDescent="0.15">
      <c r="A271">
        <v>26.900000000000002</v>
      </c>
      <c r="B271">
        <f t="shared" si="12"/>
        <v>739.86041472128534</v>
      </c>
      <c r="C271">
        <f t="shared" si="13"/>
        <v>110.67940131847432</v>
      </c>
      <c r="D271">
        <f t="shared" si="14"/>
        <v>150.4601839602401</v>
      </c>
    </row>
    <row r="272" spans="1:4" x14ac:dyDescent="0.15">
      <c r="A272">
        <v>27.000000000000004</v>
      </c>
      <c r="B272">
        <f t="shared" si="12"/>
        <v>736.58492241086174</v>
      </c>
      <c r="C272">
        <f t="shared" si="13"/>
        <v>111.74130560252843</v>
      </c>
      <c r="D272">
        <f t="shared" si="14"/>
        <v>152.67377198660958</v>
      </c>
    </row>
    <row r="273" spans="1:4" x14ac:dyDescent="0.15">
      <c r="A273">
        <v>27.1</v>
      </c>
      <c r="B273">
        <f t="shared" si="12"/>
        <v>733.29264397416864</v>
      </c>
      <c r="C273">
        <f t="shared" si="13"/>
        <v>112.79875792717093</v>
      </c>
      <c r="D273">
        <f t="shared" si="14"/>
        <v>154.90859809866015</v>
      </c>
    </row>
    <row r="274" spans="1:4" x14ac:dyDescent="0.15">
      <c r="A274">
        <v>27.200000000000003</v>
      </c>
      <c r="B274">
        <f t="shared" si="12"/>
        <v>729.98406399667192</v>
      </c>
      <c r="C274">
        <f t="shared" si="13"/>
        <v>113.85136274612421</v>
      </c>
      <c r="D274">
        <f t="shared" si="14"/>
        <v>157.16457325720356</v>
      </c>
    </row>
    <row r="275" spans="1:4" x14ac:dyDescent="0.15">
      <c r="A275">
        <v>27.300000000000004</v>
      </c>
      <c r="B275">
        <f t="shared" si="12"/>
        <v>726.65967677791286</v>
      </c>
      <c r="C275">
        <f t="shared" si="13"/>
        <v>114.89872270996072</v>
      </c>
      <c r="D275">
        <f t="shared" si="14"/>
        <v>159.44160051212603</v>
      </c>
    </row>
    <row r="276" spans="1:4" x14ac:dyDescent="0.15">
      <c r="A276">
        <v>27.400000000000002</v>
      </c>
      <c r="B276">
        <f t="shared" si="12"/>
        <v>723.31998602964825</v>
      </c>
      <c r="C276">
        <f t="shared" si="13"/>
        <v>115.94043900402612</v>
      </c>
      <c r="D276">
        <f t="shared" si="14"/>
        <v>161.73957496632525</v>
      </c>
    </row>
    <row r="277" spans="1:4" x14ac:dyDescent="0.15">
      <c r="A277">
        <v>27.500000000000004</v>
      </c>
      <c r="B277">
        <f t="shared" si="12"/>
        <v>719.96550456082173</v>
      </c>
      <c r="C277">
        <f t="shared" si="13"/>
        <v>116.97611169277214</v>
      </c>
      <c r="D277">
        <f t="shared" si="14"/>
        <v>164.05838374640578</v>
      </c>
    </row>
    <row r="278" spans="1:4" x14ac:dyDescent="0.15">
      <c r="A278">
        <v>27.6</v>
      </c>
      <c r="B278">
        <f t="shared" si="12"/>
        <v>716.59675394976375</v>
      </c>
      <c r="C278">
        <f t="shared" si="13"/>
        <v>118.00534006997468</v>
      </c>
      <c r="D278">
        <f t="shared" si="14"/>
        <v>166.39790598026121</v>
      </c>
    </row>
    <row r="279" spans="1:4" x14ac:dyDescent="0.15">
      <c r="A279">
        <v>27.700000000000003</v>
      </c>
      <c r="B279">
        <f t="shared" si="12"/>
        <v>713.2142642040485</v>
      </c>
      <c r="C279">
        <f t="shared" si="13"/>
        <v>119.02772301429046</v>
      </c>
      <c r="D279">
        <f t="shared" si="14"/>
        <v>168.75801278166071</v>
      </c>
    </row>
    <row r="280" spans="1:4" x14ac:dyDescent="0.15">
      <c r="A280">
        <v>27.800000000000004</v>
      </c>
      <c r="B280">
        <f t="shared" si="12"/>
        <v>709.81857340846773</v>
      </c>
      <c r="C280">
        <f t="shared" si="13"/>
        <v>120.04285934958547</v>
      </c>
      <c r="D280">
        <f t="shared" si="14"/>
        <v>171.13856724194653</v>
      </c>
    </row>
    <row r="281" spans="1:4" x14ac:dyDescent="0.15">
      <c r="A281">
        <v>27.900000000000002</v>
      </c>
      <c r="B281">
        <f t="shared" si="12"/>
        <v>706.41022736161187</v>
      </c>
      <c r="C281">
        <f t="shared" si="13"/>
        <v>121.05034820944961</v>
      </c>
      <c r="D281">
        <f t="shared" si="14"/>
        <v>173.53942442893825</v>
      </c>
    </row>
    <row r="282" spans="1:4" x14ac:dyDescent="0.15">
      <c r="A282">
        <v>28.000000000000004</v>
      </c>
      <c r="B282">
        <f t="shared" si="12"/>
        <v>702.98977920157824</v>
      </c>
      <c r="C282">
        <f t="shared" si="13"/>
        <v>122.04978940529421</v>
      </c>
      <c r="D282">
        <f t="shared" si="14"/>
        <v>175.96043139312724</v>
      </c>
    </row>
    <row r="283" spans="1:4" x14ac:dyDescent="0.15">
      <c r="A283">
        <v>28.1</v>
      </c>
      <c r="B283">
        <f t="shared" si="12"/>
        <v>699.55778902135319</v>
      </c>
      <c r="C283">
        <f t="shared" si="13"/>
        <v>123.0407837974134</v>
      </c>
      <c r="D283">
        <f t="shared" si="14"/>
        <v>178.40142718123312</v>
      </c>
    </row>
    <row r="284" spans="1:4" x14ac:dyDescent="0.15">
      <c r="A284">
        <v>28.200000000000003</v>
      </c>
      <c r="B284">
        <f t="shared" si="12"/>
        <v>696.11482347444223</v>
      </c>
      <c r="C284">
        <f t="shared" si="13"/>
        <v>124.02293366837604</v>
      </c>
      <c r="D284">
        <f t="shared" si="14"/>
        <v>180.8622428571814</v>
      </c>
    </row>
    <row r="285" spans="1:4" x14ac:dyDescent="0.15">
      <c r="A285">
        <v>28.300000000000004</v>
      </c>
      <c r="B285">
        <f t="shared" si="12"/>
        <v>692.66145537134844</v>
      </c>
      <c r="C285">
        <f t="shared" si="13"/>
        <v>124.99584309810228</v>
      </c>
      <c r="D285">
        <f t="shared" si="14"/>
        <v>183.34270153054891</v>
      </c>
    </row>
    <row r="286" spans="1:4" x14ac:dyDescent="0.15">
      <c r="A286">
        <v>28.400000000000002</v>
      </c>
      <c r="B286">
        <f t="shared" si="12"/>
        <v>689.19826326752047</v>
      </c>
      <c r="C286">
        <f t="shared" si="13"/>
        <v>125.95911833996824</v>
      </c>
      <c r="D286">
        <f t="shared" si="14"/>
        <v>185.84261839251096</v>
      </c>
    </row>
    <row r="287" spans="1:4" x14ac:dyDescent="0.15">
      <c r="A287">
        <v>28.500000000000004</v>
      </c>
      <c r="B287">
        <f t="shared" si="12"/>
        <v>685.72583104341595</v>
      </c>
      <c r="C287">
        <f t="shared" si="13"/>
        <v>126.91236819727345</v>
      </c>
      <c r="D287">
        <f t="shared" si="14"/>
        <v>188.36180075931031</v>
      </c>
    </row>
    <row r="288" spans="1:4" x14ac:dyDescent="0.15">
      <c r="A288">
        <v>28.6</v>
      </c>
      <c r="B288">
        <f t="shared" si="12"/>
        <v>682.24474747734541</v>
      </c>
      <c r="C288">
        <f t="shared" si="13"/>
        <v>127.85520439939852</v>
      </c>
      <c r="D288">
        <f t="shared" si="14"/>
        <v>190.90004812325577</v>
      </c>
    </row>
    <row r="289" spans="1:4" x14ac:dyDescent="0.15">
      <c r="A289">
        <v>28.700000000000003</v>
      </c>
      <c r="B289">
        <f t="shared" si="12"/>
        <v>678.75560581178013</v>
      </c>
      <c r="C289">
        <f t="shared" si="13"/>
        <v>128.78724197697582</v>
      </c>
      <c r="D289">
        <f t="shared" si="14"/>
        <v>193.45715221124374</v>
      </c>
    </row>
    <row r="290" spans="1:4" x14ac:dyDescent="0.15">
      <c r="A290">
        <v>28.800000000000004</v>
      </c>
      <c r="B290">
        <f t="shared" si="12"/>
        <v>675.25900331382365</v>
      </c>
      <c r="C290">
        <f t="shared" si="13"/>
        <v>129.70809963539273</v>
      </c>
      <c r="D290">
        <f t="shared" si="14"/>
        <v>196.03289705078325</v>
      </c>
    </row>
    <row r="291" spans="1:4" x14ac:dyDescent="0.15">
      <c r="A291">
        <v>28.900000000000002</v>
      </c>
      <c r="B291">
        <f t="shared" si="12"/>
        <v>671.75554083056261</v>
      </c>
      <c r="C291">
        <f t="shared" si="13"/>
        <v>130.61740012594589</v>
      </c>
      <c r="D291">
        <f t="shared" si="14"/>
        <v>198.6270590434911</v>
      </c>
    </row>
    <row r="292" spans="1:4" x14ac:dyDescent="0.15">
      <c r="A292">
        <v>29.000000000000004</v>
      </c>
      <c r="B292">
        <f t="shared" si="12"/>
        <v>668.2458223400231</v>
      </c>
      <c r="C292">
        <f t="shared" si="13"/>
        <v>131.51477061396645</v>
      </c>
      <c r="D292">
        <f t="shared" si="14"/>
        <v>201.23940704601003</v>
      </c>
    </row>
    <row r="293" spans="1:4" x14ac:dyDescent="0.15">
      <c r="A293">
        <v>29.1</v>
      </c>
      <c r="B293">
        <f t="shared" si="12"/>
        <v>664.73045449847154</v>
      </c>
      <c r="C293">
        <f t="shared" si="13"/>
        <v>132.39984304323869</v>
      </c>
      <c r="D293">
        <f t="shared" si="14"/>
        <v>203.86970245828937</v>
      </c>
    </row>
    <row r="294" spans="1:4" x14ac:dyDescent="0.15">
      <c r="A294">
        <v>29.200000000000003</v>
      </c>
      <c r="B294">
        <f t="shared" si="12"/>
        <v>661.21004618480526</v>
      </c>
      <c r="C294">
        <f t="shared" si="13"/>
        <v>133.27225449604026</v>
      </c>
      <c r="D294">
        <f t="shared" si="14"/>
        <v>206.51769931915413</v>
      </c>
    </row>
    <row r="295" spans="1:4" x14ac:dyDescent="0.15">
      <c r="A295">
        <v>29.300000000000004</v>
      </c>
      <c r="B295">
        <f t="shared" si="12"/>
        <v>657.68520804278603</v>
      </c>
      <c r="C295">
        <f t="shared" si="13"/>
        <v>134.13164754813866</v>
      </c>
      <c r="D295">
        <f t="shared" si="14"/>
        <v>209.18314440907494</v>
      </c>
    </row>
    <row r="296" spans="1:4" x14ac:dyDescent="0.15">
      <c r="A296">
        <v>29.400000000000002</v>
      </c>
      <c r="B296">
        <f t="shared" si="12"/>
        <v>654.15655202187327</v>
      </c>
      <c r="C296">
        <f t="shared" si="13"/>
        <v>134.97767061808867</v>
      </c>
      <c r="D296">
        <f t="shared" si="14"/>
        <v>211.86577736003773</v>
      </c>
    </row>
    <row r="297" spans="1:4" x14ac:dyDescent="0.15">
      <c r="A297">
        <v>29.500000000000004</v>
      </c>
      <c r="B297">
        <f t="shared" si="12"/>
        <v>650.62469091741434</v>
      </c>
      <c r="C297">
        <f t="shared" si="13"/>
        <v>135.80997831018581</v>
      </c>
      <c r="D297">
        <f t="shared" si="14"/>
        <v>214.56533077239951</v>
      </c>
    </row>
    <row r="298" spans="1:4" x14ac:dyDescent="0.15">
      <c r="A298">
        <v>29.6</v>
      </c>
      <c r="B298">
        <f t="shared" si="12"/>
        <v>647.09023791095171</v>
      </c>
      <c r="C298">
        <f t="shared" si="13"/>
        <v>136.62823175044471</v>
      </c>
      <c r="D298">
        <f t="shared" si="14"/>
        <v>217.28153033860323</v>
      </c>
    </row>
    <row r="299" spans="1:4" x14ac:dyDescent="0.15">
      <c r="A299">
        <v>29.700000000000003</v>
      </c>
      <c r="B299">
        <f t="shared" si="12"/>
        <v>643.55380611140174</v>
      </c>
      <c r="C299">
        <f t="shared" si="13"/>
        <v>137.43209891498574</v>
      </c>
      <c r="D299">
        <f t="shared" si="14"/>
        <v>220.01409497361212</v>
      </c>
    </row>
    <row r="300" spans="1:4" x14ac:dyDescent="0.15">
      <c r="A300">
        <v>29.800000000000004</v>
      </c>
      <c r="B300">
        <f t="shared" si="12"/>
        <v>640.01600809785702</v>
      </c>
      <c r="C300">
        <f t="shared" si="13"/>
        <v>138.22125495023073</v>
      </c>
      <c r="D300">
        <f t="shared" si="14"/>
        <v>222.76273695191182</v>
      </c>
    </row>
    <row r="301" spans="1:4" x14ac:dyDescent="0.15">
      <c r="A301">
        <v>29.900000000000002</v>
      </c>
      <c r="B301">
        <f t="shared" si="12"/>
        <v>636.47745546475608</v>
      </c>
      <c r="C301">
        <f t="shared" si="13"/>
        <v>138.99538248432702</v>
      </c>
      <c r="D301">
        <f t="shared" si="14"/>
        <v>225.52716205091644</v>
      </c>
    </row>
    <row r="302" spans="1:4" x14ac:dyDescent="0.15">
      <c r="A302">
        <v>30.000000000000004</v>
      </c>
      <c r="B302">
        <f t="shared" si="12"/>
        <v>632.93875837015707</v>
      </c>
      <c r="C302">
        <f t="shared" si="13"/>
        <v>139.75417192923948</v>
      </c>
      <c r="D302">
        <f t="shared" si="14"/>
        <v>228.30706970060299</v>
      </c>
    </row>
    <row r="303" spans="1:4" x14ac:dyDescent="0.15">
      <c r="A303">
        <v>30.1</v>
      </c>
      <c r="B303">
        <f t="shared" si="12"/>
        <v>629.40052508783936</v>
      </c>
      <c r="C303">
        <f t="shared" si="13"/>
        <v>140.49732177297238</v>
      </c>
      <c r="D303">
        <f t="shared" si="14"/>
        <v>231.10215313918778</v>
      </c>
    </row>
    <row r="304" spans="1:4" x14ac:dyDescent="0.15">
      <c r="A304">
        <v>30.200000000000003</v>
      </c>
      <c r="B304">
        <f t="shared" si="12"/>
        <v>625.86336156394555</v>
      </c>
      <c r="C304">
        <f t="shared" si="13"/>
        <v>141.2245388614067</v>
      </c>
      <c r="D304">
        <f t="shared" si="14"/>
        <v>233.91209957464721</v>
      </c>
    </row>
    <row r="305" spans="1:4" x14ac:dyDescent="0.15">
      <c r="A305">
        <v>30.300000000000004</v>
      </c>
      <c r="B305">
        <f t="shared" si="12"/>
        <v>622.3278709788608</v>
      </c>
      <c r="C305">
        <f t="shared" si="13"/>
        <v>141.93553866926328</v>
      </c>
      <c r="D305">
        <f t="shared" si="14"/>
        <v>236.73659035187535</v>
      </c>
    </row>
    <row r="306" spans="1:4" x14ac:dyDescent="0.15">
      <c r="A306">
        <v>30.400000000000002</v>
      </c>
      <c r="B306">
        <f t="shared" si="12"/>
        <v>618.79465331500955</v>
      </c>
      <c r="C306">
        <f t="shared" si="13"/>
        <v>142.63004555972924</v>
      </c>
      <c r="D306">
        <f t="shared" si="14"/>
        <v>239.57530112526061</v>
      </c>
    </row>
    <row r="307" spans="1:4" x14ac:dyDescent="0.15">
      <c r="A307">
        <v>30.500000000000004</v>
      </c>
      <c r="B307">
        <f t="shared" si="12"/>
        <v>615.26430493123212</v>
      </c>
      <c r="C307">
        <f t="shared" si="13"/>
        <v>143.30779303231213</v>
      </c>
      <c r="D307">
        <f t="shared" si="14"/>
        <v>242.42790203645518</v>
      </c>
    </row>
    <row r="308" spans="1:4" x14ac:dyDescent="0.15">
      <c r="A308">
        <v>30.6</v>
      </c>
      <c r="B308">
        <f t="shared" si="12"/>
        <v>611.73741814438199</v>
      </c>
      <c r="C308">
        <f t="shared" si="13"/>
        <v>143.96852395851607</v>
      </c>
      <c r="D308">
        <f t="shared" si="14"/>
        <v>245.29405789710142</v>
      </c>
    </row>
    <row r="309" spans="1:4" x14ac:dyDescent="0.15">
      <c r="A309">
        <v>30.700000000000003</v>
      </c>
      <c r="B309">
        <f t="shared" si="12"/>
        <v>608.21458081876438</v>
      </c>
      <c r="C309">
        <f t="shared" si="13"/>
        <v>144.61199080496337</v>
      </c>
      <c r="D309">
        <f t="shared" si="14"/>
        <v>248.17342837627174</v>
      </c>
    </row>
    <row r="310" spans="1:4" x14ac:dyDescent="0.15">
      <c r="A310">
        <v>30.800000000000004</v>
      </c>
      <c r="B310">
        <f t="shared" si="12"/>
        <v>604.69637596401208</v>
      </c>
      <c r="C310">
        <f t="shared" si="13"/>
        <v>145.23795584361642</v>
      </c>
      <c r="D310">
        <f t="shared" si="14"/>
        <v>251.06566819237102</v>
      </c>
    </row>
    <row r="311" spans="1:4" x14ac:dyDescent="0.15">
      <c r="A311">
        <v>30.900000000000002</v>
      </c>
      <c r="B311">
        <f t="shared" si="12"/>
        <v>601.18338134196983</v>
      </c>
      <c r="C311">
        <f t="shared" si="13"/>
        <v>145.84619134878633</v>
      </c>
      <c r="D311">
        <f t="shared" si="14"/>
        <v>253.97042730924335</v>
      </c>
    </row>
    <row r="312" spans="1:4" x14ac:dyDescent="0.15">
      <c r="A312">
        <v>31.000000000000004</v>
      </c>
      <c r="B312">
        <f t="shared" si="12"/>
        <v>597.67616908313335</v>
      </c>
      <c r="C312">
        <f t="shared" si="13"/>
        <v>146.43647978064706</v>
      </c>
      <c r="D312">
        <f t="shared" si="14"/>
        <v>256.88735113621908</v>
      </c>
    </row>
    <row r="313" spans="1:4" x14ac:dyDescent="0.15">
      <c r="A313">
        <v>31.1</v>
      </c>
      <c r="B313">
        <f t="shared" si="12"/>
        <v>594.17530531316072</v>
      </c>
      <c r="C313">
        <f t="shared" si="13"/>
        <v>147.00861395500681</v>
      </c>
      <c r="D313">
        <f t="shared" si="14"/>
        <v>259.81608073183202</v>
      </c>
    </row>
    <row r="314" spans="1:4" x14ac:dyDescent="0.15">
      <c r="A314">
        <v>31.200000000000003</v>
      </c>
      <c r="B314">
        <f t="shared" si="12"/>
        <v>590.68134978994544</v>
      </c>
      <c r="C314">
        <f t="shared" si="13"/>
        <v>147.5623971991219</v>
      </c>
      <c r="D314">
        <f t="shared" si="14"/>
        <v>262.75625301093214</v>
      </c>
    </row>
    <row r="315" spans="1:4" x14ac:dyDescent="0.15">
      <c r="A315">
        <v>31.300000000000004</v>
      </c>
      <c r="B315">
        <f t="shared" si="12"/>
        <v>587.19485555171275</v>
      </c>
      <c r="C315">
        <f t="shared" si="13"/>
        <v>148.09764349337217</v>
      </c>
      <c r="D315">
        <f t="shared" si="14"/>
        <v>265.70750095491456</v>
      </c>
    </row>
    <row r="316" spans="1:4" x14ac:dyDescent="0.15">
      <c r="A316">
        <v>31.400000000000002</v>
      </c>
      <c r="B316">
        <f t="shared" si="12"/>
        <v>583.71636857656711</v>
      </c>
      <c r="C316">
        <f t="shared" si="13"/>
        <v>148.61417759865031</v>
      </c>
      <c r="D316">
        <f t="shared" si="14"/>
        <v>268.66945382478201</v>
      </c>
    </row>
    <row r="317" spans="1:4" x14ac:dyDescent="0.15">
      <c r="A317">
        <v>31.500000000000004</v>
      </c>
      <c r="B317">
        <f t="shared" si="12"/>
        <v>580.24642745389201</v>
      </c>
      <c r="C317">
        <f t="shared" si="13"/>
        <v>149.11183516935239</v>
      </c>
      <c r="D317">
        <f t="shared" si="14"/>
        <v>271.64173737675503</v>
      </c>
    </row>
    <row r="318" spans="1:4" x14ac:dyDescent="0.15">
      <c r="A318">
        <v>31.6</v>
      </c>
      <c r="B318">
        <f t="shared" si="12"/>
        <v>576.78556306796759</v>
      </c>
      <c r="C318">
        <f t="shared" si="13"/>
        <v>149.59046285188975</v>
      </c>
      <c r="D318">
        <f t="shared" si="14"/>
        <v>274.62397408014209</v>
      </c>
    </row>
    <row r="319" spans="1:4" x14ac:dyDescent="0.15">
      <c r="A319">
        <v>31.700000000000003</v>
      </c>
      <c r="B319">
        <f t="shared" si="12"/>
        <v>573.33429829414263</v>
      </c>
      <c r="C319">
        <f t="shared" si="13"/>
        <v>150.04991836867697</v>
      </c>
      <c r="D319">
        <f t="shared" si="14"/>
        <v>277.61578333717989</v>
      </c>
    </row>
    <row r="320" spans="1:4" x14ac:dyDescent="0.15">
      <c r="A320">
        <v>31.800000000000004</v>
      </c>
      <c r="B320">
        <f t="shared" si="12"/>
        <v>569.89314770786268</v>
      </c>
      <c r="C320">
        <f t="shared" si="13"/>
        <v>150.49007058758338</v>
      </c>
      <c r="D320">
        <f t="shared" si="14"/>
        <v>280.61678170455343</v>
      </c>
    </row>
    <row r="321" spans="1:4" x14ac:dyDescent="0.15">
      <c r="A321">
        <v>31.900000000000002</v>
      </c>
      <c r="B321">
        <f t="shared" si="12"/>
        <v>566.46261730682522</v>
      </c>
      <c r="C321">
        <f t="shared" si="13"/>
        <v>150.91079957686915</v>
      </c>
      <c r="D321">
        <f t="shared" si="14"/>
        <v>283.62658311630508</v>
      </c>
    </row>
    <row r="322" spans="1:4" x14ac:dyDescent="0.15">
      <c r="A322">
        <v>32</v>
      </c>
      <c r="B322">
        <f t="shared" si="12"/>
        <v>563.04320424649802</v>
      </c>
      <c r="C322">
        <f t="shared" si="13"/>
        <v>151.31199664565892</v>
      </c>
      <c r="D322">
        <f t="shared" si="14"/>
        <v>286.64479910784246</v>
      </c>
    </row>
    <row r="323" spans="1:4" x14ac:dyDescent="0.15">
      <c r="A323">
        <v>32.1</v>
      </c>
      <c r="B323">
        <f t="shared" si="12"/>
        <v>559.6353965892057</v>
      </c>
      <c r="C323">
        <f t="shared" si="13"/>
        <v>151.69356437003802</v>
      </c>
      <c r="D323">
        <f t="shared" si="14"/>
        <v>289.67103904075566</v>
      </c>
    </row>
    <row r="324" spans="1:4" x14ac:dyDescent="0.15">
      <c r="A324">
        <v>32.200000000000003</v>
      </c>
      <c r="B324">
        <f t="shared" ref="B324:B387" si="15">B323-$G$1*B323*C323*$A$3</f>
        <v>556.23967306695545</v>
      </c>
      <c r="C324">
        <f t="shared" ref="C324:C387" si="16">C323+($G$1*B323*C323-$G$2*C323)*$A$3</f>
        <v>152.05541660488751</v>
      </c>
      <c r="D324">
        <f t="shared" ref="D324:D387" si="17">D323+$G$2*C323*$A$3</f>
        <v>292.70491032815642</v>
      </c>
    </row>
    <row r="325" spans="1:4" x14ac:dyDescent="0.15">
      <c r="A325">
        <v>32.300000000000004</v>
      </c>
      <c r="B325">
        <f t="shared" si="15"/>
        <v>552.85650285814097</v>
      </c>
      <c r="C325">
        <f t="shared" si="16"/>
        <v>152.39747848160425</v>
      </c>
      <c r="D325">
        <f t="shared" si="17"/>
        <v>295.74601866025415</v>
      </c>
    </row>
    <row r="326" spans="1:4" x14ac:dyDescent="0.15">
      <c r="A326">
        <v>32.400000000000006</v>
      </c>
      <c r="B326">
        <f t="shared" si="15"/>
        <v>549.48634537823148</v>
      </c>
      <c r="C326">
        <f t="shared" si="16"/>
        <v>152.71968639188171</v>
      </c>
      <c r="D326">
        <f t="shared" si="17"/>
        <v>298.79396822988622</v>
      </c>
    </row>
    <row r="327" spans="1:4" x14ac:dyDescent="0.15">
      <c r="A327">
        <v>32.5</v>
      </c>
      <c r="B327">
        <f t="shared" si="15"/>
        <v>546.12965008452011</v>
      </c>
      <c r="C327">
        <f t="shared" si="16"/>
        <v>153.02198795775547</v>
      </c>
      <c r="D327">
        <f t="shared" si="17"/>
        <v>301.84836195772385</v>
      </c>
    </row>
    <row r="328" spans="1:4" x14ac:dyDescent="0.15">
      <c r="A328">
        <v>32.6</v>
      </c>
      <c r="B328">
        <f t="shared" si="15"/>
        <v>542.78685629497579</v>
      </c>
      <c r="C328">
        <f t="shared" si="16"/>
        <v>153.30434198814461</v>
      </c>
      <c r="D328">
        <f t="shared" si="17"/>
        <v>304.90880171687894</v>
      </c>
    </row>
    <row r="329" spans="1:4" x14ac:dyDescent="0.15">
      <c r="A329">
        <v>32.700000000000003</v>
      </c>
      <c r="B329">
        <f t="shared" si="15"/>
        <v>539.45839302121124</v>
      </c>
      <c r="C329">
        <f t="shared" si="16"/>
        <v>153.56671842214632</v>
      </c>
      <c r="D329">
        <f t="shared" si="17"/>
        <v>307.97488855664182</v>
      </c>
    </row>
    <row r="330" spans="1:4" x14ac:dyDescent="0.15">
      <c r="A330">
        <v>32.800000000000004</v>
      </c>
      <c r="B330">
        <f t="shared" si="15"/>
        <v>536.14467881554913</v>
      </c>
      <c r="C330">
        <f t="shared" si="16"/>
        <v>153.80909825936547</v>
      </c>
      <c r="D330">
        <f t="shared" si="17"/>
        <v>311.04622292508475</v>
      </c>
    </row>
    <row r="331" spans="1:4" x14ac:dyDescent="0.15">
      <c r="A331">
        <v>32.900000000000006</v>
      </c>
      <c r="B331">
        <f t="shared" si="15"/>
        <v>532.84612163214206</v>
      </c>
      <c r="C331">
        <f t="shared" si="16"/>
        <v>154.03147347758522</v>
      </c>
      <c r="D331">
        <f t="shared" si="17"/>
        <v>314.12240489027204</v>
      </c>
    </row>
    <row r="332" spans="1:4" x14ac:dyDescent="0.15">
      <c r="A332">
        <v>33</v>
      </c>
      <c r="B332">
        <f t="shared" si="15"/>
        <v>529.56311870206946</v>
      </c>
      <c r="C332">
        <f t="shared" si="16"/>
        <v>154.23384693810613</v>
      </c>
      <c r="D332">
        <f t="shared" si="17"/>
        <v>317.20303435982373</v>
      </c>
    </row>
    <row r="333" spans="1:4" x14ac:dyDescent="0.15">
      <c r="A333">
        <v>33.1</v>
      </c>
      <c r="B333">
        <f t="shared" si="15"/>
        <v>526.29605642231104</v>
      </c>
      <c r="C333">
        <f t="shared" si="16"/>
        <v>154.41623227910245</v>
      </c>
      <c r="D333">
        <f t="shared" si="17"/>
        <v>320.28771129858586</v>
      </c>
    </row>
    <row r="334" spans="1:4" x14ac:dyDescent="0.15">
      <c r="A334">
        <v>33.200000000000003</v>
      </c>
      <c r="B334">
        <f t="shared" si="15"/>
        <v>523.04531025846768</v>
      </c>
      <c r="C334">
        <f t="shared" si="16"/>
        <v>154.57865379736373</v>
      </c>
      <c r="D334">
        <f t="shared" si="17"/>
        <v>323.37603594416794</v>
      </c>
    </row>
    <row r="335" spans="1:4" x14ac:dyDescent="0.15">
      <c r="A335">
        <v>33.300000000000004</v>
      </c>
      <c r="B335">
        <f t="shared" si="15"/>
        <v>519.81124466107656</v>
      </c>
      <c r="C335">
        <f t="shared" si="16"/>
        <v>154.7211463188076</v>
      </c>
      <c r="D335">
        <f t="shared" si="17"/>
        <v>326.46760902011522</v>
      </c>
    </row>
    <row r="336" spans="1:4" x14ac:dyDescent="0.15">
      <c r="A336">
        <v>33.400000000000006</v>
      </c>
      <c r="B336">
        <f t="shared" si="15"/>
        <v>516.59421299534188</v>
      </c>
      <c r="C336">
        <f t="shared" si="16"/>
        <v>154.84375505816615</v>
      </c>
      <c r="D336">
        <f t="shared" si="17"/>
        <v>329.56203194649135</v>
      </c>
    </row>
    <row r="337" spans="1:4" x14ac:dyDescent="0.15">
      <c r="A337">
        <v>33.5</v>
      </c>
      <c r="B337">
        <f t="shared" si="15"/>
        <v>513.39455748408125</v>
      </c>
      <c r="C337">
        <f t="shared" si="16"/>
        <v>154.94653546826351</v>
      </c>
      <c r="D337">
        <f t="shared" si="17"/>
        <v>332.65890704765468</v>
      </c>
    </row>
    <row r="338" spans="1:4" x14ac:dyDescent="0.15">
      <c r="A338">
        <v>33.6</v>
      </c>
      <c r="B338">
        <f t="shared" si="15"/>
        <v>510.21260916366441</v>
      </c>
      <c r="C338">
        <f t="shared" si="16"/>
        <v>155.02955307931506</v>
      </c>
      <c r="D338">
        <f t="shared" si="17"/>
        <v>335.75783775701996</v>
      </c>
    </row>
    <row r="339" spans="1:4" x14ac:dyDescent="0.15">
      <c r="A339">
        <v>33.700000000000003</v>
      </c>
      <c r="B339">
        <f t="shared" si="15"/>
        <v>507.04868785270145</v>
      </c>
      <c r="C339">
        <f t="shared" si="16"/>
        <v>155.09288332869173</v>
      </c>
      <c r="D339">
        <f t="shared" si="17"/>
        <v>338.85842881860628</v>
      </c>
    </row>
    <row r="340" spans="1:4" x14ac:dyDescent="0.15">
      <c r="A340">
        <v>33.800000000000004</v>
      </c>
      <c r="B340">
        <f t="shared" si="15"/>
        <v>503.90310213321726</v>
      </c>
      <c r="C340">
        <f t="shared" si="16"/>
        <v>155.13661138160211</v>
      </c>
      <c r="D340">
        <f t="shared" si="17"/>
        <v>341.96028648518012</v>
      </c>
    </row>
    <row r="341" spans="1:4" x14ac:dyDescent="0.15">
      <c r="A341">
        <v>33.900000000000006</v>
      </c>
      <c r="B341">
        <f t="shared" si="15"/>
        <v>500.77614934403226</v>
      </c>
      <c r="C341">
        <f t="shared" si="16"/>
        <v>155.16083194315505</v>
      </c>
      <c r="D341">
        <f t="shared" si="17"/>
        <v>345.06301871281215</v>
      </c>
    </row>
    <row r="342" spans="1:4" x14ac:dyDescent="0.15">
      <c r="A342">
        <v>34</v>
      </c>
      <c r="B342">
        <f t="shared" si="15"/>
        <v>497.6681155860519</v>
      </c>
      <c r="C342">
        <f t="shared" si="16"/>
        <v>155.16564906227234</v>
      </c>
      <c r="D342">
        <f t="shared" si="17"/>
        <v>348.16623535167525</v>
      </c>
    </row>
    <row r="343" spans="1:4" x14ac:dyDescent="0.15">
      <c r="A343">
        <v>34.1</v>
      </c>
      <c r="B343">
        <f t="shared" si="15"/>
        <v>494.57927573915157</v>
      </c>
      <c r="C343">
        <f t="shared" si="16"/>
        <v>155.1511759279272</v>
      </c>
      <c r="D343">
        <f t="shared" si="17"/>
        <v>351.26954833292069</v>
      </c>
    </row>
    <row r="344" spans="1:4" x14ac:dyDescent="0.15">
      <c r="A344">
        <v>34.200000000000003</v>
      </c>
      <c r="B344">
        <f t="shared" si="15"/>
        <v>491.50989349033108</v>
      </c>
      <c r="C344">
        <f t="shared" si="16"/>
        <v>155.11753465818913</v>
      </c>
      <c r="D344">
        <f t="shared" si="17"/>
        <v>354.37257185147922</v>
      </c>
    </row>
    <row r="345" spans="1:4" x14ac:dyDescent="0.15">
      <c r="A345">
        <v>34.300000000000004</v>
      </c>
      <c r="B345">
        <f t="shared" si="15"/>
        <v>488.46022137279789</v>
      </c>
      <c r="C345">
        <f t="shared" si="16"/>
        <v>155.06485608255852</v>
      </c>
      <c r="D345">
        <f t="shared" si="17"/>
        <v>357.47492254464299</v>
      </c>
    </row>
    <row r="346" spans="1:4" x14ac:dyDescent="0.15">
      <c r="A346">
        <v>34.400000000000006</v>
      </c>
      <c r="B346">
        <f t="shared" si="15"/>
        <v>485.43050081562876</v>
      </c>
      <c r="C346">
        <f t="shared" si="16"/>
        <v>154.99327951807646</v>
      </c>
      <c r="D346">
        <f t="shared" si="17"/>
        <v>360.57621966629415</v>
      </c>
    </row>
    <row r="347" spans="1:4" x14ac:dyDescent="0.15">
      <c r="A347">
        <v>34.5</v>
      </c>
      <c r="B347">
        <f t="shared" si="15"/>
        <v>482.42096220364812</v>
      </c>
      <c r="C347">
        <f t="shared" si="16"/>
        <v>154.9029525396956</v>
      </c>
      <c r="D347">
        <f t="shared" si="17"/>
        <v>363.67608525665565</v>
      </c>
    </row>
    <row r="348" spans="1:4" x14ac:dyDescent="0.15">
      <c r="A348">
        <v>34.6</v>
      </c>
      <c r="B348">
        <f t="shared" si="15"/>
        <v>479.43182494715268</v>
      </c>
      <c r="C348">
        <f t="shared" si="16"/>
        <v>154.79403074539712</v>
      </c>
      <c r="D348">
        <f t="shared" si="17"/>
        <v>366.77414430744955</v>
      </c>
    </row>
    <row r="349" spans="1:4" x14ac:dyDescent="0.15">
      <c r="A349">
        <v>34.700000000000003</v>
      </c>
      <c r="B349">
        <f t="shared" si="15"/>
        <v>476.46329756110504</v>
      </c>
      <c r="C349">
        <f t="shared" si="16"/>
        <v>154.66667751653685</v>
      </c>
      <c r="D349">
        <f t="shared" si="17"/>
        <v>369.87002492235752</v>
      </c>
    </row>
    <row r="350" spans="1:4" x14ac:dyDescent="0.15">
      <c r="A350">
        <v>34.800000000000004</v>
      </c>
      <c r="B350">
        <f t="shared" si="15"/>
        <v>473.51557775341109</v>
      </c>
      <c r="C350">
        <f t="shared" si="16"/>
        <v>154.52106377390007</v>
      </c>
      <c r="D350">
        <f t="shared" si="17"/>
        <v>372.96335847268824</v>
      </c>
    </row>
    <row r="351" spans="1:4" x14ac:dyDescent="0.15">
      <c r="A351">
        <v>34.900000000000006</v>
      </c>
      <c r="B351">
        <f t="shared" si="15"/>
        <v>470.58885252189231</v>
      </c>
      <c r="C351">
        <f t="shared" si="16"/>
        <v>154.35736772994088</v>
      </c>
      <c r="D351">
        <f t="shared" si="17"/>
        <v>376.05377974816622</v>
      </c>
    </row>
    <row r="352" spans="1:4" x14ac:dyDescent="0.15">
      <c r="A352">
        <v>35</v>
      </c>
      <c r="B352">
        <f t="shared" si="15"/>
        <v>467.68329825955902</v>
      </c>
      <c r="C352">
        <f t="shared" si="16"/>
        <v>154.17577463767537</v>
      </c>
      <c r="D352">
        <f t="shared" si="17"/>
        <v>379.14092710276503</v>
      </c>
    </row>
    <row r="353" spans="1:4" x14ac:dyDescent="0.15">
      <c r="A353">
        <v>35.1</v>
      </c>
      <c r="B353">
        <f t="shared" si="15"/>
        <v>464.79908086778818</v>
      </c>
      <c r="C353">
        <f t="shared" si="16"/>
        <v>153.9764765366927</v>
      </c>
      <c r="D353">
        <f t="shared" si="17"/>
        <v>382.22444259551855</v>
      </c>
    </row>
    <row r="354" spans="1:4" x14ac:dyDescent="0.15">
      <c r="A354">
        <v>35.200000000000003</v>
      </c>
      <c r="B354">
        <f t="shared" si="15"/>
        <v>461.93635587700754</v>
      </c>
      <c r="C354">
        <f t="shared" si="16"/>
        <v>153.75967199673946</v>
      </c>
      <c r="D354">
        <f t="shared" si="17"/>
        <v>385.3039721262524</v>
      </c>
    </row>
    <row r="355" spans="1:4" x14ac:dyDescent="0.15">
      <c r="A355">
        <v>35.300000000000004</v>
      </c>
      <c r="B355">
        <f t="shared" si="15"/>
        <v>459.09526857448685</v>
      </c>
      <c r="C355">
        <f t="shared" si="16"/>
        <v>153.52556585932538</v>
      </c>
      <c r="D355">
        <f t="shared" si="17"/>
        <v>388.37916556618717</v>
      </c>
    </row>
    <row r="356" spans="1:4" x14ac:dyDescent="0.15">
      <c r="A356">
        <v>35.400000000000006</v>
      </c>
      <c r="B356">
        <f t="shared" si="15"/>
        <v>456.27595413883739</v>
      </c>
      <c r="C356">
        <f t="shared" si="16"/>
        <v>153.27436897778836</v>
      </c>
      <c r="D356">
        <f t="shared" si="17"/>
        <v>391.44967688337368</v>
      </c>
    </row>
    <row r="357" spans="1:4" x14ac:dyDescent="0.15">
      <c r="A357">
        <v>35.5</v>
      </c>
      <c r="B357">
        <f t="shared" si="15"/>
        <v>453.47853778082265</v>
      </c>
      <c r="C357">
        <f t="shared" si="16"/>
        <v>153.00629795624732</v>
      </c>
      <c r="D357">
        <f t="shared" si="17"/>
        <v>394.51516426292943</v>
      </c>
    </row>
    <row r="358" spans="1:4" x14ac:dyDescent="0.15">
      <c r="A358">
        <v>35.6</v>
      </c>
      <c r="B358">
        <f t="shared" si="15"/>
        <v>450.70313489008441</v>
      </c>
      <c r="C358">
        <f t="shared" si="16"/>
        <v>152.72157488786061</v>
      </c>
      <c r="D358">
        <f t="shared" si="17"/>
        <v>397.57529022205438</v>
      </c>
    </row>
    <row r="359" spans="1:4" x14ac:dyDescent="0.15">
      <c r="A359">
        <v>35.700000000000003</v>
      </c>
      <c r="B359">
        <f t="shared" si="15"/>
        <v>447.94985118739203</v>
      </c>
      <c r="C359">
        <f t="shared" si="16"/>
        <v>152.42042709279579</v>
      </c>
      <c r="D359">
        <f t="shared" si="17"/>
        <v>400.62972171981158</v>
      </c>
    </row>
    <row r="360" spans="1:4" x14ac:dyDescent="0.15">
      <c r="A360">
        <v>35.800000000000004</v>
      </c>
      <c r="B360">
        <f t="shared" si="15"/>
        <v>445.21878288202657</v>
      </c>
      <c r="C360">
        <f t="shared" si="16"/>
        <v>152.10308685630534</v>
      </c>
      <c r="D360">
        <f t="shared" si="17"/>
        <v>403.67813026166749</v>
      </c>
    </row>
    <row r="361" spans="1:4" x14ac:dyDescent="0.15">
      <c r="A361">
        <v>35.900000000000006</v>
      </c>
      <c r="B361">
        <f t="shared" si="15"/>
        <v>442.51001683391604</v>
      </c>
      <c r="C361">
        <f t="shared" si="16"/>
        <v>151.76979116728978</v>
      </c>
      <c r="D361">
        <f t="shared" si="17"/>
        <v>406.72019199879361</v>
      </c>
    </row>
    <row r="362" spans="1:4" x14ac:dyDescent="0.15">
      <c r="A362">
        <v>36</v>
      </c>
      <c r="B362">
        <f t="shared" si="15"/>
        <v>439.82363072014334</v>
      </c>
      <c r="C362">
        <f t="shared" si="16"/>
        <v>151.42078145771669</v>
      </c>
      <c r="D362">
        <f t="shared" si="17"/>
        <v>409.75558782213943</v>
      </c>
    </row>
    <row r="363" spans="1:4" x14ac:dyDescent="0.15">
      <c r="A363">
        <v>36.1</v>
      </c>
      <c r="B363">
        <f t="shared" si="15"/>
        <v>437.15969320545474</v>
      </c>
      <c r="C363">
        <f t="shared" si="16"/>
        <v>151.05630334325093</v>
      </c>
      <c r="D363">
        <f t="shared" si="17"/>
        <v>412.78400345129376</v>
      </c>
    </row>
    <row r="364" spans="1:4" x14ac:dyDescent="0.15">
      <c r="A364">
        <v>36.200000000000003</v>
      </c>
      <c r="B364">
        <f t="shared" si="15"/>
        <v>434.51826411640332</v>
      </c>
      <c r="C364">
        <f t="shared" si="16"/>
        <v>150.67660636543735</v>
      </c>
      <c r="D364">
        <f t="shared" si="17"/>
        <v>415.80512951815876</v>
      </c>
    </row>
    <row r="365" spans="1:4" x14ac:dyDescent="0.15">
      <c r="A365">
        <v>36.300000000000004</v>
      </c>
      <c r="B365">
        <f t="shared" si="15"/>
        <v>431.89939461876889</v>
      </c>
      <c r="C365">
        <f t="shared" si="16"/>
        <v>150.28194373576301</v>
      </c>
      <c r="D365">
        <f t="shared" si="17"/>
        <v>418.8186616454675</v>
      </c>
    </row>
    <row r="366" spans="1:4" x14ac:dyDescent="0.15">
      <c r="A366">
        <v>36.400000000000006</v>
      </c>
      <c r="B366">
        <f t="shared" si="15"/>
        <v>429.30312739790457</v>
      </c>
      <c r="C366">
        <f t="shared" si="16"/>
        <v>149.87257208191207</v>
      </c>
      <c r="D366">
        <f t="shared" si="17"/>
        <v>421.82430052018276</v>
      </c>
    </row>
    <row r="367" spans="1:4" x14ac:dyDescent="0.15">
      <c r="A367">
        <v>36.5</v>
      </c>
      <c r="B367">
        <f t="shared" si="15"/>
        <v>426.72949684166724</v>
      </c>
      <c r="C367">
        <f t="shared" si="16"/>
        <v>149.44875119651113</v>
      </c>
      <c r="D367">
        <f t="shared" si="17"/>
        <v>424.82175196182101</v>
      </c>
    </row>
    <row r="368" spans="1:4" x14ac:dyDescent="0.15">
      <c r="A368">
        <v>36.6</v>
      </c>
      <c r="B368">
        <f t="shared" si="15"/>
        <v>424.17852922559911</v>
      </c>
      <c r="C368">
        <f t="shared" si="16"/>
        <v>149.01074378864902</v>
      </c>
      <c r="D368">
        <f t="shared" si="17"/>
        <v>427.81072698575122</v>
      </c>
    </row>
    <row r="369" spans="1:4" x14ac:dyDescent="0.15">
      <c r="A369">
        <v>36.700000000000003</v>
      </c>
      <c r="B369">
        <f t="shared" si="15"/>
        <v>421.65024290003583</v>
      </c>
      <c r="C369">
        <f t="shared" si="16"/>
        <v>148.55881523843931</v>
      </c>
      <c r="D369">
        <f t="shared" si="17"/>
        <v>430.79094186152417</v>
      </c>
    </row>
    <row r="370" spans="1:4" x14ac:dyDescent="0.15">
      <c r="A370">
        <v>36.800000000000004</v>
      </c>
      <c r="B370">
        <f t="shared" si="15"/>
        <v>419.14464847882664</v>
      </c>
      <c r="C370">
        <f t="shared" si="16"/>
        <v>148.09323335487971</v>
      </c>
      <c r="D370">
        <f t="shared" si="17"/>
        <v>433.76211816629296</v>
      </c>
    </row>
    <row r="371" spans="1:4" x14ac:dyDescent="0.15">
      <c r="A371">
        <v>36.900000000000006</v>
      </c>
      <c r="B371">
        <f t="shared" si="15"/>
        <v>416.66174902936166</v>
      </c>
      <c r="C371">
        <f t="shared" si="16"/>
        <v>147.61426813724708</v>
      </c>
      <c r="D371">
        <f t="shared" si="17"/>
        <v>436.72398283339055</v>
      </c>
    </row>
    <row r="372" spans="1:4" x14ac:dyDescent="0.15">
      <c r="A372">
        <v>37</v>
      </c>
      <c r="B372">
        <f t="shared" si="15"/>
        <v>414.20154026361149</v>
      </c>
      <c r="C372">
        <f t="shared" si="16"/>
        <v>147.12219154025232</v>
      </c>
      <c r="D372">
        <f t="shared" si="17"/>
        <v>439.67626819613548</v>
      </c>
    </row>
    <row r="373" spans="1:4" x14ac:dyDescent="0.15">
      <c r="A373">
        <v>37.1</v>
      </c>
      <c r="B373">
        <f t="shared" si="15"/>
        <v>411.76401072989427</v>
      </c>
      <c r="C373">
        <f t="shared" si="16"/>
        <v>146.61727724316449</v>
      </c>
      <c r="D373">
        <f t="shared" si="17"/>
        <v>442.61871202694056</v>
      </c>
    </row>
    <row r="374" spans="1:4" x14ac:dyDescent="0.15">
      <c r="A374">
        <v>37.200000000000003</v>
      </c>
      <c r="B374">
        <f t="shared" si="15"/>
        <v>409.34914200509655</v>
      </c>
      <c r="C374">
        <f t="shared" si="16"/>
        <v>146.09980042309888</v>
      </c>
      <c r="D374">
        <f t="shared" si="17"/>
        <v>445.55105757180382</v>
      </c>
    </row>
    <row r="375" spans="1:4" x14ac:dyDescent="0.15">
      <c r="A375">
        <v>37.300000000000004</v>
      </c>
      <c r="B375">
        <f t="shared" si="15"/>
        <v>406.95690888708413</v>
      </c>
      <c r="C375">
        <f t="shared" si="16"/>
        <v>145.57003753264937</v>
      </c>
      <c r="D375">
        <f t="shared" si="17"/>
        <v>448.4730535802658</v>
      </c>
    </row>
    <row r="376" spans="1:4" x14ac:dyDescent="0.15">
      <c r="A376">
        <v>37.400000000000006</v>
      </c>
      <c r="B376">
        <f t="shared" si="15"/>
        <v>404.58727958704958</v>
      </c>
      <c r="C376">
        <f t="shared" si="16"/>
        <v>145.02826608203094</v>
      </c>
      <c r="D376">
        <f t="shared" si="17"/>
        <v>451.3844543309188</v>
      </c>
    </row>
    <row r="377" spans="1:4" x14ac:dyDescent="0.15">
      <c r="A377">
        <v>37.5</v>
      </c>
      <c r="B377">
        <f t="shared" si="15"/>
        <v>402.24021592155538</v>
      </c>
      <c r="C377">
        <f t="shared" si="16"/>
        <v>144.47476442588456</v>
      </c>
      <c r="D377">
        <f t="shared" si="17"/>
        <v>454.28501965255941</v>
      </c>
    </row>
    <row r="378" spans="1:4" x14ac:dyDescent="0.15">
      <c r="A378">
        <v>37.6</v>
      </c>
      <c r="B378">
        <f t="shared" si="15"/>
        <v>399.91567350404</v>
      </c>
      <c r="C378">
        <f t="shared" si="16"/>
        <v>143.90981155488222</v>
      </c>
      <c r="D378">
        <f t="shared" si="17"/>
        <v>457.17451494107712</v>
      </c>
    </row>
    <row r="379" spans="1:4" x14ac:dyDescent="0.15">
      <c r="A379">
        <v>37.700000000000003</v>
      </c>
      <c r="B379">
        <f t="shared" si="15"/>
        <v>397.6136019355676</v>
      </c>
      <c r="C379">
        <f t="shared" si="16"/>
        <v>143.33368689225699</v>
      </c>
      <c r="D379">
        <f t="shared" si="17"/>
        <v>460.05271117217478</v>
      </c>
    </row>
    <row r="380" spans="1:4" x14ac:dyDescent="0.15">
      <c r="A380">
        <v>37.800000000000004</v>
      </c>
      <c r="B380">
        <f t="shared" si="15"/>
        <v>395.33394499461019</v>
      </c>
      <c r="C380">
        <f t="shared" si="16"/>
        <v>142.74667009536927</v>
      </c>
      <c r="D380">
        <f t="shared" si="17"/>
        <v>462.91938491001991</v>
      </c>
    </row>
    <row r="381" spans="1:4" x14ac:dyDescent="0.15">
      <c r="A381">
        <v>37.900000000000006</v>
      </c>
      <c r="B381">
        <f t="shared" si="15"/>
        <v>393.07664082566436</v>
      </c>
      <c r="C381">
        <f t="shared" si="16"/>
        <v>142.14904086240773</v>
      </c>
      <c r="D381">
        <f t="shared" si="17"/>
        <v>465.77431831192729</v>
      </c>
    </row>
    <row r="382" spans="1:4" x14ac:dyDescent="0.15">
      <c r="A382">
        <v>38</v>
      </c>
      <c r="B382">
        <f t="shared" si="15"/>
        <v>390.84162212651296</v>
      </c>
      <c r="C382">
        <f t="shared" si="16"/>
        <v>141.54107874431099</v>
      </c>
      <c r="D382">
        <f t="shared" si="17"/>
        <v>468.61729912917542</v>
      </c>
    </row>
    <row r="383" spans="1:4" x14ac:dyDescent="0.15">
      <c r="A383">
        <v>38.1</v>
      </c>
      <c r="B383">
        <f t="shared" si="15"/>
        <v>388.62881633395443</v>
      </c>
      <c r="C383">
        <f t="shared" si="16"/>
        <v>140.92306296198331</v>
      </c>
      <c r="D383">
        <f t="shared" si="17"/>
        <v>471.44812070406164</v>
      </c>
    </row>
    <row r="384" spans="1:4" x14ac:dyDescent="0.15">
      <c r="A384">
        <v>38.200000000000003</v>
      </c>
      <c r="B384">
        <f t="shared" si="15"/>
        <v>386.43814580783157</v>
      </c>
      <c r="C384">
        <f t="shared" si="16"/>
        <v>140.29527222886648</v>
      </c>
      <c r="D384">
        <f t="shared" si="17"/>
        <v>474.26658196330129</v>
      </c>
    </row>
    <row r="385" spans="1:4" x14ac:dyDescent="0.15">
      <c r="A385">
        <v>38.300000000000004</v>
      </c>
      <c r="B385">
        <f t="shared" si="15"/>
        <v>384.26952801320243</v>
      </c>
      <c r="C385">
        <f t="shared" si="16"/>
        <v>139.65798457891827</v>
      </c>
      <c r="D385">
        <f t="shared" si="17"/>
        <v>477.07248740787861</v>
      </c>
    </row>
    <row r="386" spans="1:4" x14ac:dyDescent="0.15">
      <c r="A386">
        <v>38.400000000000006</v>
      </c>
      <c r="B386">
        <f t="shared" si="15"/>
        <v>382.1228757005058</v>
      </c>
      <c r="C386">
        <f t="shared" si="16"/>
        <v>139.01147720003655</v>
      </c>
      <c r="D386">
        <f t="shared" si="17"/>
        <v>479.86564709945696</v>
      </c>
    </row>
    <row r="387" spans="1:4" x14ac:dyDescent="0.15">
      <c r="A387">
        <v>38.500000000000007</v>
      </c>
      <c r="B387">
        <f t="shared" si="15"/>
        <v>379.99809708358367</v>
      </c>
      <c r="C387">
        <f t="shared" si="16"/>
        <v>138.35602627295796</v>
      </c>
      <c r="D387">
        <f t="shared" si="17"/>
        <v>482.64587664345771</v>
      </c>
    </row>
    <row r="388" spans="1:4" x14ac:dyDescent="0.15">
      <c r="A388">
        <v>38.6</v>
      </c>
      <c r="B388">
        <f t="shared" ref="B388:B451" si="18">B387-$G$1*B387*C387*$A$3</f>
        <v>377.89509601543284</v>
      </c>
      <c r="C388">
        <f t="shared" ref="C388:C451" si="19">C387+($G$1*B387*C387-$G$2*C387)*$A$3</f>
        <v>137.69190681564962</v>
      </c>
      <c r="D388">
        <f t="shared" ref="D388:D451" si="20">D387+$G$2*C387*$A$3</f>
        <v>485.41299716891689</v>
      </c>
    </row>
    <row r="389" spans="1:4" x14ac:dyDescent="0.15">
      <c r="A389">
        <v>38.700000000000003</v>
      </c>
      <c r="B389">
        <f t="shared" si="18"/>
        <v>375.81377216156693</v>
      </c>
      <c r="C389">
        <f t="shared" si="19"/>
        <v>137.01939253320253</v>
      </c>
      <c r="D389">
        <f t="shared" si="20"/>
        <v>488.16683530522988</v>
      </c>
    </row>
    <row r="390" spans="1:4" x14ac:dyDescent="0.15">
      <c r="A390">
        <v>38.800000000000004</v>
      </c>
      <c r="B390">
        <f t="shared" si="18"/>
        <v>373.75402117087935</v>
      </c>
      <c r="C390">
        <f t="shared" si="19"/>
        <v>136.33875567322605</v>
      </c>
      <c r="D390">
        <f t="shared" si="20"/>
        <v>490.90722315589392</v>
      </c>
    </row>
    <row r="391" spans="1:4" x14ac:dyDescent="0.15">
      <c r="A391">
        <v>38.900000000000006</v>
      </c>
      <c r="B391">
        <f t="shared" si="18"/>
        <v>371.71573484390728</v>
      </c>
      <c r="C391">
        <f t="shared" si="19"/>
        <v>135.65026688673362</v>
      </c>
      <c r="D391">
        <f t="shared" si="20"/>
        <v>493.63399826935841</v>
      </c>
    </row>
    <row r="392" spans="1:4" x14ac:dyDescent="0.15">
      <c r="A392">
        <v>39.000000000000007</v>
      </c>
      <c r="B392">
        <f t="shared" si="18"/>
        <v>369.69880129840431</v>
      </c>
      <c r="C392">
        <f t="shared" si="19"/>
        <v>134.95419509450193</v>
      </c>
      <c r="D392">
        <f t="shared" si="20"/>
        <v>496.34700360709309</v>
      </c>
    </row>
    <row r="393" spans="1:4" x14ac:dyDescent="0.15">
      <c r="A393">
        <v>39.1</v>
      </c>
      <c r="B393">
        <f t="shared" si="18"/>
        <v>367.70310513213917</v>
      </c>
      <c r="C393">
        <f t="shared" si="19"/>
        <v>134.25080735887701</v>
      </c>
      <c r="D393">
        <f t="shared" si="20"/>
        <v>499.04608750898313</v>
      </c>
    </row>
    <row r="394" spans="1:4" x14ac:dyDescent="0.15">
      <c r="A394">
        <v>39.200000000000003</v>
      </c>
      <c r="B394">
        <f t="shared" si="18"/>
        <v>365.72852758284495</v>
      </c>
      <c r="C394">
        <f t="shared" si="19"/>
        <v>133.54036876099369</v>
      </c>
      <c r="D394">
        <f t="shared" si="20"/>
        <v>501.73110365616066</v>
      </c>
    </row>
    <row r="395" spans="1:4" x14ac:dyDescent="0.15">
      <c r="A395">
        <v>39.300000000000004</v>
      </c>
      <c r="B395">
        <f t="shared" si="18"/>
        <v>363.77494668525179</v>
      </c>
      <c r="C395">
        <f t="shared" si="19"/>
        <v>132.82314228336693</v>
      </c>
      <c r="D395">
        <f t="shared" si="20"/>
        <v>504.40191103138051</v>
      </c>
    </row>
    <row r="396" spans="1:4" x14ac:dyDescent="0.15">
      <c r="A396">
        <v>39.400000000000006</v>
      </c>
      <c r="B396">
        <f t="shared" si="18"/>
        <v>361.84223742514382</v>
      </c>
      <c r="C396">
        <f t="shared" si="19"/>
        <v>132.09938869780757</v>
      </c>
      <c r="D396">
        <f t="shared" si="20"/>
        <v>507.05837387704787</v>
      </c>
    </row>
    <row r="397" spans="1:4" x14ac:dyDescent="0.15">
      <c r="A397">
        <v>39.500000000000007</v>
      </c>
      <c r="B397">
        <f t="shared" si="18"/>
        <v>359.93027189038747</v>
      </c>
      <c r="C397">
        <f t="shared" si="19"/>
        <v>131.36936645860774</v>
      </c>
      <c r="D397">
        <f t="shared" si="20"/>
        <v>509.70036165100402</v>
      </c>
    </row>
    <row r="398" spans="1:4" x14ac:dyDescent="0.15">
      <c r="A398">
        <v>39.6</v>
      </c>
      <c r="B398">
        <f t="shared" si="18"/>
        <v>358.03891941888691</v>
      </c>
      <c r="C398">
        <f t="shared" si="19"/>
        <v>130.63333160093617</v>
      </c>
      <c r="D398">
        <f t="shared" si="20"/>
        <v>512.32774898017612</v>
      </c>
    </row>
    <row r="399" spans="1:4" x14ac:dyDescent="0.15">
      <c r="A399">
        <v>39.700000000000003</v>
      </c>
      <c r="B399">
        <f t="shared" si="18"/>
        <v>356.1680467434274</v>
      </c>
      <c r="C399">
        <f t="shared" si="19"/>
        <v>129.891537644377</v>
      </c>
      <c r="D399">
        <f t="shared" si="20"/>
        <v>514.9404156121949</v>
      </c>
    </row>
    <row r="400" spans="1:4" x14ac:dyDescent="0.15">
      <c r="A400">
        <v>39.800000000000004</v>
      </c>
      <c r="B400">
        <f t="shared" si="18"/>
        <v>354.31751813337547</v>
      </c>
      <c r="C400">
        <f t="shared" si="19"/>
        <v>129.14423550154137</v>
      </c>
      <c r="D400">
        <f t="shared" si="20"/>
        <v>517.53824636508239</v>
      </c>
    </row>
    <row r="401" spans="1:4" x14ac:dyDescent="0.15">
      <c r="A401">
        <v>39.900000000000006</v>
      </c>
      <c r="B401">
        <f t="shared" si="18"/>
        <v>352.48719553320996</v>
      </c>
      <c r="C401">
        <f t="shared" si="19"/>
        <v>128.39167339167608</v>
      </c>
      <c r="D401">
        <f t="shared" si="20"/>
        <v>520.12113107511323</v>
      </c>
    </row>
    <row r="402" spans="1:4" x14ac:dyDescent="0.15">
      <c r="A402">
        <v>40.000000000000007</v>
      </c>
      <c r="B402">
        <f t="shared" si="18"/>
        <v>350.67693869786405</v>
      </c>
      <c r="C402">
        <f t="shared" si="19"/>
        <v>127.63409675918847</v>
      </c>
      <c r="D402">
        <f t="shared" si="20"/>
        <v>522.68896454294679</v>
      </c>
    </row>
    <row r="403" spans="1:4" x14ac:dyDescent="0.15">
      <c r="A403">
        <v>40.1</v>
      </c>
      <c r="B403">
        <f t="shared" si="18"/>
        <v>348.88660532486489</v>
      </c>
      <c r="C403">
        <f t="shared" si="19"/>
        <v>126.87174819700387</v>
      </c>
      <c r="D403">
        <f t="shared" si="20"/>
        <v>525.24164647813052</v>
      </c>
    </row>
    <row r="404" spans="1:4" x14ac:dyDescent="0.15">
      <c r="A404">
        <v>40.200000000000003</v>
      </c>
      <c r="B404">
        <f t="shared" si="18"/>
        <v>347.11605118326156</v>
      </c>
      <c r="C404">
        <f t="shared" si="19"/>
        <v>126.10486737466714</v>
      </c>
      <c r="D404">
        <f t="shared" si="20"/>
        <v>527.77908144207061</v>
      </c>
    </row>
    <row r="405" spans="1:4" x14ac:dyDescent="0.15">
      <c r="A405">
        <v>40.300000000000004</v>
      </c>
      <c r="B405">
        <f t="shared" si="18"/>
        <v>345.36513023933821</v>
      </c>
      <c r="C405">
        <f t="shared" si="19"/>
        <v>125.33369097109713</v>
      </c>
      <c r="D405">
        <f t="shared" si="20"/>
        <v>530.30117878956389</v>
      </c>
    </row>
    <row r="406" spans="1:4" x14ac:dyDescent="0.15">
      <c r="A406">
        <v>40.400000000000006</v>
      </c>
      <c r="B406">
        <f t="shared" si="18"/>
        <v>343.6336947791138</v>
      </c>
      <c r="C406">
        <f t="shared" si="19"/>
        <v>124.55845261189958</v>
      </c>
      <c r="D406">
        <f t="shared" si="20"/>
        <v>532.80785260898585</v>
      </c>
    </row>
    <row r="407" spans="1:4" x14ac:dyDescent="0.15">
      <c r="A407">
        <v>40.500000000000007</v>
      </c>
      <c r="B407">
        <f t="shared" si="18"/>
        <v>341.92159552763394</v>
      </c>
      <c r="C407">
        <f t="shared" si="19"/>
        <v>123.77938281114145</v>
      </c>
      <c r="D407">
        <f t="shared" si="20"/>
        <v>535.29902166122383</v>
      </c>
    </row>
    <row r="408" spans="1:4" x14ac:dyDescent="0.15">
      <c r="A408">
        <v>40.6</v>
      </c>
      <c r="B408">
        <f t="shared" si="18"/>
        <v>340.22868176506552</v>
      </c>
      <c r="C408">
        <f t="shared" si="19"/>
        <v>122.99670891748707</v>
      </c>
      <c r="D408">
        <f t="shared" si="20"/>
        <v>537.77460931744668</v>
      </c>
    </row>
    <row r="409" spans="1:4" x14ac:dyDescent="0.15">
      <c r="A409">
        <v>40.700000000000003</v>
      </c>
      <c r="B409">
        <f t="shared" si="18"/>
        <v>338.55480143960801</v>
      </c>
      <c r="C409">
        <f t="shared" si="19"/>
        <v>122.21065506459485</v>
      </c>
      <c r="D409">
        <f t="shared" si="20"/>
        <v>540.2345434957964</v>
      </c>
    </row>
    <row r="410" spans="1:4" x14ac:dyDescent="0.15">
      <c r="A410">
        <v>40.800000000000004</v>
      </c>
      <c r="B410">
        <f t="shared" si="18"/>
        <v>336.8998012772401</v>
      </c>
      <c r="C410">
        <f t="shared" si="19"/>
        <v>121.42144212567088</v>
      </c>
      <c r="D410">
        <f t="shared" si="20"/>
        <v>542.6787565970883</v>
      </c>
    </row>
    <row r="411" spans="1:4" x14ac:dyDescent="0.15">
      <c r="A411">
        <v>40.900000000000006</v>
      </c>
      <c r="B411">
        <f t="shared" si="18"/>
        <v>335.2635268883227</v>
      </c>
      <c r="C411">
        <f t="shared" si="19"/>
        <v>120.62928767207484</v>
      </c>
      <c r="D411">
        <f t="shared" si="20"/>
        <v>545.10718543960172</v>
      </c>
    </row>
    <row r="412" spans="1:4" x14ac:dyDescent="0.15">
      <c r="A412">
        <v>41.000000000000007</v>
      </c>
      <c r="B412">
        <f t="shared" si="18"/>
        <v>333.64582287108408</v>
      </c>
      <c r="C412">
        <f t="shared" si="19"/>
        <v>119.83440593587197</v>
      </c>
      <c r="D412">
        <f t="shared" si="20"/>
        <v>547.5197711930432</v>
      </c>
    </row>
    <row r="413" spans="1:4" x14ac:dyDescent="0.15">
      <c r="A413">
        <v>41.1</v>
      </c>
      <c r="B413">
        <f t="shared" si="18"/>
        <v>332.04653291201441</v>
      </c>
      <c r="C413">
        <f t="shared" si="19"/>
        <v>119.03700777622419</v>
      </c>
      <c r="D413">
        <f t="shared" si="20"/>
        <v>549.9164593117606</v>
      </c>
    </row>
    <row r="414" spans="1:4" x14ac:dyDescent="0.15">
      <c r="A414">
        <v>41.2</v>
      </c>
      <c r="B414">
        <f t="shared" si="18"/>
        <v>330.4654998832018</v>
      </c>
      <c r="C414">
        <f t="shared" si="19"/>
        <v>118.23730064951233</v>
      </c>
      <c r="D414">
        <f t="shared" si="20"/>
        <v>552.29719946728505</v>
      </c>
    </row>
    <row r="415" spans="1:4" x14ac:dyDescent="0.15">
      <c r="A415">
        <v>41.300000000000004</v>
      </c>
      <c r="B415">
        <f t="shared" si="18"/>
        <v>328.90256593664253</v>
      </c>
      <c r="C415">
        <f t="shared" si="19"/>
        <v>117.43548858308135</v>
      </c>
      <c r="D415">
        <f t="shared" si="20"/>
        <v>554.66194548027534</v>
      </c>
    </row>
    <row r="416" spans="1:4" x14ac:dyDescent="0.15">
      <c r="A416">
        <v>41.400000000000006</v>
      </c>
      <c r="B416">
        <f t="shared" si="18"/>
        <v>327.3575725955626</v>
      </c>
      <c r="C416">
        <f t="shared" si="19"/>
        <v>116.63177215249968</v>
      </c>
      <c r="D416">
        <f t="shared" si="20"/>
        <v>557.01065525193701</v>
      </c>
    </row>
    <row r="417" spans="1:4" x14ac:dyDescent="0.15">
      <c r="A417">
        <v>41.500000000000007</v>
      </c>
      <c r="B417">
        <f t="shared" si="18"/>
        <v>325.83036084278814</v>
      </c>
      <c r="C417">
        <f t="shared" si="19"/>
        <v>115.82634846222413</v>
      </c>
      <c r="D417">
        <f t="shared" si="20"/>
        <v>559.34329069498699</v>
      </c>
    </row>
    <row r="418" spans="1:4" x14ac:dyDescent="0.15">
      <c r="A418">
        <v>41.6</v>
      </c>
      <c r="B418">
        <f t="shared" si="18"/>
        <v>324.32077120620619</v>
      </c>
      <c r="C418">
        <f t="shared" si="19"/>
        <v>115.0194111295616</v>
      </c>
      <c r="D418">
        <f t="shared" si="20"/>
        <v>561.65981766423147</v>
      </c>
    </row>
    <row r="419" spans="1:4" x14ac:dyDescent="0.15">
      <c r="A419">
        <v>41.7</v>
      </c>
      <c r="B419">
        <f t="shared" si="18"/>
        <v>322.82864384135729</v>
      </c>
      <c r="C419">
        <f t="shared" si="19"/>
        <v>114.21115027181929</v>
      </c>
      <c r="D419">
        <f t="shared" si="20"/>
        <v>563.96020588682268</v>
      </c>
    </row>
    <row r="420" spans="1:4" x14ac:dyDescent="0.15">
      <c r="A420">
        <v>41.800000000000004</v>
      </c>
      <c r="B420">
        <f t="shared" si="18"/>
        <v>321.35381861120476</v>
      </c>
      <c r="C420">
        <f t="shared" si="19"/>
        <v>113.40175249653542</v>
      </c>
      <c r="D420">
        <f t="shared" si="20"/>
        <v>566.24442889225907</v>
      </c>
    </row>
    <row r="421" spans="1:4" x14ac:dyDescent="0.15">
      <c r="A421">
        <v>41.900000000000006</v>
      </c>
      <c r="B421">
        <f t="shared" si="18"/>
        <v>319.89613516312619</v>
      </c>
      <c r="C421">
        <f t="shared" si="19"/>
        <v>112.59140089468329</v>
      </c>
      <c r="D421">
        <f t="shared" si="20"/>
        <v>568.51246394218981</v>
      </c>
    </row>
    <row r="422" spans="1:4" x14ac:dyDescent="0.15">
      <c r="A422">
        <v>42.000000000000007</v>
      </c>
      <c r="B422">
        <f t="shared" si="18"/>
        <v>318.45543300317371</v>
      </c>
      <c r="C422">
        <f t="shared" si="19"/>
        <v>111.78027503674208</v>
      </c>
      <c r="D422">
        <f t="shared" si="20"/>
        <v>570.76429196008348</v>
      </c>
    </row>
    <row r="423" spans="1:4" x14ac:dyDescent="0.15">
      <c r="A423">
        <v>42.1</v>
      </c>
      <c r="B423">
        <f t="shared" si="18"/>
        <v>317.03155156765212</v>
      </c>
      <c r="C423">
        <f t="shared" si="19"/>
        <v>110.96855097152883</v>
      </c>
      <c r="D423">
        <f t="shared" si="20"/>
        <v>572.99989746081837</v>
      </c>
    </row>
    <row r="424" spans="1:4" x14ac:dyDescent="0.15">
      <c r="A424">
        <v>42.2</v>
      </c>
      <c r="B424">
        <f t="shared" si="18"/>
        <v>315.62433029206341</v>
      </c>
      <c r="C424">
        <f t="shared" si="19"/>
        <v>110.15640122768697</v>
      </c>
      <c r="D424">
        <f t="shared" si="20"/>
        <v>575.21926848024896</v>
      </c>
    </row>
    <row r="425" spans="1:4" x14ac:dyDescent="0.15">
      <c r="A425">
        <v>42.300000000000004</v>
      </c>
      <c r="B425">
        <f t="shared" si="18"/>
        <v>314.23360867746851</v>
      </c>
      <c r="C425">
        <f t="shared" si="19"/>
        <v>109.34399481772813</v>
      </c>
      <c r="D425">
        <f t="shared" si="20"/>
        <v>577.42239650480269</v>
      </c>
    </row>
    <row r="426" spans="1:4" x14ac:dyDescent="0.15">
      <c r="A426">
        <v>42.400000000000006</v>
      </c>
      <c r="B426">
        <f t="shared" si="18"/>
        <v>312.85922635431712</v>
      </c>
      <c r="C426">
        <f t="shared" si="19"/>
        <v>108.53149724452497</v>
      </c>
      <c r="D426">
        <f t="shared" si="20"/>
        <v>579.60927640115722</v>
      </c>
    </row>
    <row r="427" spans="1:4" x14ac:dyDescent="0.15">
      <c r="A427">
        <v>42.500000000000007</v>
      </c>
      <c r="B427">
        <f t="shared" si="18"/>
        <v>311.50102314379723</v>
      </c>
      <c r="C427">
        <f t="shared" si="19"/>
        <v>107.71907051015438</v>
      </c>
      <c r="D427">
        <f t="shared" si="20"/>
        <v>581.77990634604771</v>
      </c>
    </row>
    <row r="428" spans="1:4" x14ac:dyDescent="0.15">
      <c r="A428">
        <v>42.6</v>
      </c>
      <c r="B428">
        <f t="shared" si="18"/>
        <v>310.15883911675672</v>
      </c>
      <c r="C428">
        <f t="shared" si="19"/>
        <v>106.90687312699177</v>
      </c>
      <c r="D428">
        <f t="shared" si="20"/>
        <v>583.9342877562508</v>
      </c>
    </row>
    <row r="429" spans="1:4" x14ac:dyDescent="0.15">
      <c r="A429">
        <v>42.7</v>
      </c>
      <c r="B429">
        <f t="shared" si="18"/>
        <v>308.83251465024989</v>
      </c>
      <c r="C429">
        <f t="shared" si="19"/>
        <v>106.09506013095874</v>
      </c>
      <c r="D429">
        <f t="shared" si="20"/>
        <v>586.07242521879061</v>
      </c>
    </row>
    <row r="430" spans="1:4" x14ac:dyDescent="0.15">
      <c r="A430">
        <v>42.800000000000004</v>
      </c>
      <c r="B430">
        <f t="shared" si="18"/>
        <v>307.52189048176137</v>
      </c>
      <c r="C430">
        <f t="shared" si="19"/>
        <v>105.2837830968281</v>
      </c>
      <c r="D430">
        <f t="shared" si="20"/>
        <v>588.19432642140976</v>
      </c>
    </row>
    <row r="431" spans="1:4" x14ac:dyDescent="0.15">
      <c r="A431">
        <v>42.900000000000006</v>
      </c>
      <c r="B431">
        <f t="shared" si="18"/>
        <v>306.22680776116107</v>
      </c>
      <c r="C431">
        <f t="shared" si="19"/>
        <v>104.47319015549188</v>
      </c>
      <c r="D431">
        <f t="shared" si="20"/>
        <v>590.30000208334627</v>
      </c>
    </row>
    <row r="432" spans="1:4" x14ac:dyDescent="0.15">
      <c r="A432">
        <v>43.000000000000007</v>
      </c>
      <c r="B432">
        <f t="shared" si="18"/>
        <v>304.94710810044342</v>
      </c>
      <c r="C432">
        <f t="shared" si="19"/>
        <v>103.66342601309968</v>
      </c>
      <c r="D432">
        <f t="shared" si="20"/>
        <v>592.38946588645615</v>
      </c>
    </row>
    <row r="433" spans="1:4" x14ac:dyDescent="0.15">
      <c r="A433">
        <v>43.1</v>
      </c>
      <c r="B433">
        <f t="shared" si="18"/>
        <v>303.68263362130426</v>
      </c>
      <c r="C433">
        <f t="shared" si="19"/>
        <v>102.85463197197684</v>
      </c>
      <c r="D433">
        <f t="shared" si="20"/>
        <v>594.46273440671814</v>
      </c>
    </row>
    <row r="434" spans="1:4" x14ac:dyDescent="0.15">
      <c r="A434">
        <v>43.2</v>
      </c>
      <c r="B434">
        <f t="shared" si="18"/>
        <v>302.43322700060827</v>
      </c>
      <c r="C434">
        <f t="shared" si="19"/>
        <v>102.0469459532333</v>
      </c>
      <c r="D434">
        <f t="shared" si="20"/>
        <v>596.51982704615773</v>
      </c>
    </row>
    <row r="435" spans="1:4" x14ac:dyDescent="0.15">
      <c r="A435">
        <v>43.300000000000004</v>
      </c>
      <c r="B435">
        <f t="shared" si="18"/>
        <v>301.19873151380057</v>
      </c>
      <c r="C435">
        <f t="shared" si="19"/>
        <v>101.24050252097636</v>
      </c>
      <c r="D435">
        <f t="shared" si="20"/>
        <v>598.56076596522234</v>
      </c>
    </row>
    <row r="436" spans="1:4" x14ac:dyDescent="0.15">
      <c r="A436">
        <v>43.400000000000006</v>
      </c>
      <c r="B436">
        <f t="shared" si="18"/>
        <v>299.97899107631508</v>
      </c>
      <c r="C436">
        <f t="shared" si="19"/>
        <v>100.43543290804234</v>
      </c>
      <c r="D436">
        <f t="shared" si="20"/>
        <v>600.58557601564189</v>
      </c>
    </row>
    <row r="437" spans="1:4" x14ac:dyDescent="0.15">
      <c r="A437">
        <v>43.500000000000007</v>
      </c>
      <c r="B437">
        <f t="shared" si="18"/>
        <v>298.7738502830324</v>
      </c>
      <c r="C437">
        <f t="shared" si="19"/>
        <v>99.631865043164197</v>
      </c>
      <c r="D437">
        <f t="shared" si="20"/>
        <v>602.59428467380269</v>
      </c>
    </row>
    <row r="438" spans="1:4" x14ac:dyDescent="0.15">
      <c r="A438">
        <v>43.6</v>
      </c>
      <c r="B438">
        <f t="shared" si="18"/>
        <v>297.5831544458394</v>
      </c>
      <c r="C438">
        <f t="shared" si="19"/>
        <v>98.829923579493936</v>
      </c>
      <c r="D438">
        <f t="shared" si="20"/>
        <v>604.58692197466598</v>
      </c>
    </row>
    <row r="439" spans="1:4" x14ac:dyDescent="0.15">
      <c r="A439">
        <v>43.7</v>
      </c>
      <c r="B439">
        <f t="shared" si="18"/>
        <v>296.4067496293423</v>
      </c>
      <c r="C439">
        <f t="shared" si="19"/>
        <v>98.029729924401138</v>
      </c>
      <c r="D439">
        <f t="shared" si="20"/>
        <v>606.56352044625589</v>
      </c>
    </row>
    <row r="440" spans="1:4" x14ac:dyDescent="0.15">
      <c r="A440">
        <v>43.800000000000004</v>
      </c>
      <c r="B440">
        <f t="shared" si="18"/>
        <v>295.24448268478494</v>
      </c>
      <c r="C440">
        <f t="shared" si="19"/>
        <v>97.231402270470483</v>
      </c>
      <c r="D440">
        <f t="shared" si="20"/>
        <v>608.52411504474389</v>
      </c>
    </row>
    <row r="441" spans="1:4" x14ac:dyDescent="0.15">
      <c r="A441">
        <v>43.900000000000006</v>
      </c>
      <c r="B441">
        <f t="shared" si="18"/>
        <v>294.09620128222247</v>
      </c>
      <c r="C441">
        <f t="shared" si="19"/>
        <v>96.435055627623527</v>
      </c>
      <c r="D441">
        <f t="shared" si="20"/>
        <v>610.46874309015334</v>
      </c>
    </row>
    <row r="442" spans="1:4" x14ac:dyDescent="0.15">
      <c r="A442">
        <v>44.000000000000007</v>
      </c>
      <c r="B442">
        <f t="shared" si="18"/>
        <v>292.96175394100152</v>
      </c>
      <c r="C442">
        <f t="shared" si="19"/>
        <v>95.640801856292015</v>
      </c>
      <c r="D442">
        <f t="shared" si="20"/>
        <v>612.39744420270586</v>
      </c>
    </row>
    <row r="443" spans="1:4" x14ac:dyDescent="0.15">
      <c r="A443">
        <v>44.1</v>
      </c>
      <c r="B443">
        <f t="shared" si="18"/>
        <v>291.84099005859582</v>
      </c>
      <c r="C443">
        <f t="shared" si="19"/>
        <v>94.848749701571904</v>
      </c>
      <c r="D443">
        <f t="shared" si="20"/>
        <v>614.31026023983168</v>
      </c>
    </row>
    <row r="444" spans="1:4" x14ac:dyDescent="0.15">
      <c r="A444">
        <v>44.2</v>
      </c>
      <c r="B444">
        <f t="shared" si="18"/>
        <v>290.73375993784674</v>
      </c>
      <c r="C444">
        <f t="shared" si="19"/>
        <v>94.059004828289531</v>
      </c>
      <c r="D444">
        <f t="shared" si="20"/>
        <v>616.20723523386312</v>
      </c>
    </row>
    <row r="445" spans="1:4" x14ac:dyDescent="0.15">
      <c r="A445">
        <v>44.300000000000004</v>
      </c>
      <c r="B445">
        <f t="shared" si="18"/>
        <v>289.63991481265714</v>
      </c>
      <c r="C445">
        <f t="shared" si="19"/>
        <v>93.271669856913363</v>
      </c>
      <c r="D445">
        <f t="shared" si="20"/>
        <v>618.08841533042892</v>
      </c>
    </row>
    <row r="446" spans="1:4" x14ac:dyDescent="0.15">
      <c r="A446">
        <v>44.400000000000006</v>
      </c>
      <c r="B446">
        <f t="shared" si="18"/>
        <v>288.55930687218552</v>
      </c>
      <c r="C446">
        <f t="shared" si="19"/>
        <v>92.486844400246724</v>
      </c>
      <c r="D446">
        <f t="shared" si="20"/>
        <v>619.95384872756722</v>
      </c>
    </row>
    <row r="447" spans="1:4" x14ac:dyDescent="0.15">
      <c r="A447">
        <v>44.500000000000007</v>
      </c>
      <c r="B447">
        <f t="shared" si="18"/>
        <v>287.49178928358828</v>
      </c>
      <c r="C447">
        <f t="shared" si="19"/>
        <v>91.704625100839024</v>
      </c>
      <c r="D447">
        <f t="shared" si="20"/>
        <v>621.80358561557216</v>
      </c>
    </row>
    <row r="448" spans="1:4" x14ac:dyDescent="0.15">
      <c r="A448">
        <v>44.6</v>
      </c>
      <c r="B448">
        <f t="shared" si="18"/>
        <v>286.43721621335544</v>
      </c>
      <c r="C448">
        <f t="shared" si="19"/>
        <v>90.925105669055085</v>
      </c>
      <c r="D448">
        <f t="shared" si="20"/>
        <v>623.63767811758896</v>
      </c>
    </row>
    <row r="449" spans="1:4" x14ac:dyDescent="0.15">
      <c r="A449">
        <v>44.7</v>
      </c>
      <c r="B449">
        <f t="shared" si="18"/>
        <v>285.39544284728549</v>
      </c>
      <c r="C449">
        <f t="shared" si="19"/>
        <v>90.14837692174396</v>
      </c>
      <c r="D449">
        <f t="shared" si="20"/>
        <v>625.45618023097006</v>
      </c>
    </row>
    <row r="450" spans="1:4" x14ac:dyDescent="0.15">
      <c r="A450">
        <v>44.800000000000004</v>
      </c>
      <c r="B450">
        <f t="shared" si="18"/>
        <v>284.36632540914371</v>
      </c>
      <c r="C450">
        <f t="shared" si="19"/>
        <v>89.374526821450885</v>
      </c>
      <c r="D450">
        <f t="shared" si="20"/>
        <v>627.25914776940499</v>
      </c>
    </row>
    <row r="451" spans="1:4" x14ac:dyDescent="0.15">
      <c r="A451">
        <v>44.900000000000006</v>
      </c>
      <c r="B451">
        <f t="shared" si="18"/>
        <v>283.34972117804784</v>
      </c>
      <c r="C451">
        <f t="shared" si="19"/>
        <v>88.60364051611775</v>
      </c>
      <c r="D451">
        <f t="shared" si="20"/>
        <v>629.04663830583399</v>
      </c>
    </row>
    <row r="452" spans="1:4" x14ac:dyDescent="0.15">
      <c r="A452">
        <v>45.000000000000007</v>
      </c>
      <c r="B452">
        <f t="shared" ref="B452:B515" si="21">B451-$G$1*B451*C451*$A$3</f>
        <v>282.34548850462375</v>
      </c>
      <c r="C452">
        <f t="shared" ref="C452:C515" si="22">C451+($G$1*B451*C451-$G$2*C451)*$A$3</f>
        <v>87.835800379219478</v>
      </c>
      <c r="D452">
        <f t="shared" ref="D452:D515" si="23">D451+$G$2*C451*$A$3</f>
        <v>630.81871111615635</v>
      </c>
    </row>
    <row r="453" spans="1:4" x14ac:dyDescent="0.15">
      <c r="A453">
        <v>45.1</v>
      </c>
      <c r="B453">
        <f t="shared" si="21"/>
        <v>281.35348682597311</v>
      </c>
      <c r="C453">
        <f t="shared" si="22"/>
        <v>87.0710860502857</v>
      </c>
      <c r="D453">
        <f t="shared" si="23"/>
        <v>632.57542712374072</v>
      </c>
    </row>
    <row r="454" spans="1:4" x14ac:dyDescent="0.15">
      <c r="A454">
        <v>45.2</v>
      </c>
      <c r="B454">
        <f t="shared" si="21"/>
        <v>280.37357667949419</v>
      </c>
      <c r="C454">
        <f t="shared" si="22"/>
        <v>86.309574475758879</v>
      </c>
      <c r="D454">
        <f t="shared" si="23"/>
        <v>634.31684884474646</v>
      </c>
    </row>
    <row r="455" spans="1:4" x14ac:dyDescent="0.15">
      <c r="A455">
        <v>45.300000000000004</v>
      </c>
      <c r="B455">
        <f t="shared" si="21"/>
        <v>279.40561971559606</v>
      </c>
      <c r="C455">
        <f t="shared" si="22"/>
        <v>85.551339950141852</v>
      </c>
      <c r="D455">
        <f t="shared" si="23"/>
        <v>636.0430403342616</v>
      </c>
    </row>
    <row r="456" spans="1:4" x14ac:dyDescent="0.15">
      <c r="A456">
        <v>45.400000000000006</v>
      </c>
      <c r="B456">
        <f t="shared" si="21"/>
        <v>278.44947870934527</v>
      </c>
      <c r="C456">
        <f t="shared" si="22"/>
        <v>84.796454157389775</v>
      </c>
      <c r="D456">
        <f t="shared" si="23"/>
        <v>637.75406713326447</v>
      </c>
    </row>
    <row r="457" spans="1:4" x14ac:dyDescent="0.15">
      <c r="A457">
        <v>45.500000000000007</v>
      </c>
      <c r="B457">
        <f t="shared" si="21"/>
        <v>277.50501757108424</v>
      </c>
      <c r="C457">
        <f t="shared" si="22"/>
        <v>84.044986212503019</v>
      </c>
      <c r="D457">
        <f t="shared" si="23"/>
        <v>639.44999621641227</v>
      </c>
    </row>
    <row r="458" spans="1:4" x14ac:dyDescent="0.15">
      <c r="A458">
        <v>45.6</v>
      </c>
      <c r="B458">
        <f t="shared" si="21"/>
        <v>276.57210135605777</v>
      </c>
      <c r="C458">
        <f t="shared" si="22"/>
        <v>83.297002703279446</v>
      </c>
      <c r="D458">
        <f t="shared" si="23"/>
        <v>641.1308959406623</v>
      </c>
    </row>
    <row r="459" spans="1:4" x14ac:dyDescent="0.15">
      <c r="A459">
        <v>45.7</v>
      </c>
      <c r="B459">
        <f t="shared" si="21"/>
        <v>275.65059627308545</v>
      </c>
      <c r="C459">
        <f t="shared" si="22"/>
        <v>82.552567732186148</v>
      </c>
      <c r="D459">
        <f t="shared" si="23"/>
        <v>642.79683599472787</v>
      </c>
    </row>
    <row r="460" spans="1:4" x14ac:dyDescent="0.15">
      <c r="A460">
        <v>45.800000000000004</v>
      </c>
      <c r="B460">
        <f t="shared" si="21"/>
        <v>274.74036969231543</v>
      </c>
      <c r="C460">
        <f t="shared" si="22"/>
        <v>81.811742958312479</v>
      </c>
      <c r="D460">
        <f t="shared" si="23"/>
        <v>644.44788734937163</v>
      </c>
    </row>
    <row r="461" spans="1:4" x14ac:dyDescent="0.15">
      <c r="A461">
        <v>45.900000000000006</v>
      </c>
      <c r="B461">
        <f t="shared" si="21"/>
        <v>273.84129015209385</v>
      </c>
      <c r="C461">
        <f t="shared" si="22"/>
        <v>81.074587639367806</v>
      </c>
      <c r="D461">
        <f t="shared" si="23"/>
        <v>646.08412220853791</v>
      </c>
    </row>
    <row r="462" spans="1:4" x14ac:dyDescent="0.15">
      <c r="A462">
        <v>46.000000000000007</v>
      </c>
      <c r="B462">
        <f t="shared" si="21"/>
        <v>272.95322736498531</v>
      </c>
      <c r="C462">
        <f t="shared" si="22"/>
        <v>80.341158673688994</v>
      </c>
      <c r="D462">
        <f t="shared" si="23"/>
        <v>647.7056139613253</v>
      </c>
    </row>
    <row r="463" spans="1:4" x14ac:dyDescent="0.15">
      <c r="A463">
        <v>46.1</v>
      </c>
      <c r="B463">
        <f t="shared" si="21"/>
        <v>272.07605222297627</v>
      </c>
      <c r="C463">
        <f t="shared" si="22"/>
        <v>79.611510642224246</v>
      </c>
      <c r="D463">
        <f t="shared" si="23"/>
        <v>649.3124371347991</v>
      </c>
    </row>
    <row r="464" spans="1:4" x14ac:dyDescent="0.15">
      <c r="A464">
        <v>46.2</v>
      </c>
      <c r="B464">
        <f t="shared" si="21"/>
        <v>271.20963680189453</v>
      </c>
      <c r="C464">
        <f t="shared" si="22"/>
        <v>78.885695850461516</v>
      </c>
      <c r="D464">
        <f t="shared" si="23"/>
        <v>650.90466734764357</v>
      </c>
    </row>
    <row r="465" spans="1:4" x14ac:dyDescent="0.15">
      <c r="A465">
        <v>46.300000000000004</v>
      </c>
      <c r="B465">
        <f t="shared" si="21"/>
        <v>270.35385436507579</v>
      </c>
      <c r="C465">
        <f t="shared" si="22"/>
        <v>78.163764370271025</v>
      </c>
      <c r="D465">
        <f t="shared" si="23"/>
        <v>652.48238126465276</v>
      </c>
    </row>
    <row r="466" spans="1:4" x14ac:dyDescent="0.15">
      <c r="A466">
        <v>46.400000000000006</v>
      </c>
      <c r="B466">
        <f t="shared" si="21"/>
        <v>269.50857936630831</v>
      </c>
      <c r="C466">
        <f t="shared" si="22"/>
        <v>77.445764081633058</v>
      </c>
      <c r="D466">
        <f t="shared" si="23"/>
        <v>654.04565655205818</v>
      </c>
    </row>
    <row r="467" spans="1:4" x14ac:dyDescent="0.15">
      <c r="A467">
        <v>46.500000000000007</v>
      </c>
      <c r="B467">
        <f t="shared" si="21"/>
        <v>268.67368745208512</v>
      </c>
      <c r="C467">
        <f t="shared" si="22"/>
        <v>76.731740714223562</v>
      </c>
      <c r="D467">
        <f t="shared" si="23"/>
        <v>655.59457183369079</v>
      </c>
    </row>
    <row r="468" spans="1:4" x14ac:dyDescent="0.15">
      <c r="A468">
        <v>46.6</v>
      </c>
      <c r="B468">
        <f t="shared" si="21"/>
        <v>267.84905546319283</v>
      </c>
      <c r="C468">
        <f t="shared" si="22"/>
        <v>76.021737888831396</v>
      </c>
      <c r="D468">
        <f t="shared" si="23"/>
        <v>657.12920664797525</v>
      </c>
    </row>
    <row r="469" spans="1:4" x14ac:dyDescent="0.15">
      <c r="A469">
        <v>46.7</v>
      </c>
      <c r="B469">
        <f t="shared" si="21"/>
        <v>267.03456143566507</v>
      </c>
      <c r="C469">
        <f t="shared" si="22"/>
        <v>75.315797158582527</v>
      </c>
      <c r="D469">
        <f t="shared" si="23"/>
        <v>658.64964140575194</v>
      </c>
    </row>
    <row r="470" spans="1:4" x14ac:dyDescent="0.15">
      <c r="A470">
        <v>46.800000000000004</v>
      </c>
      <c r="B470">
        <f t="shared" si="21"/>
        <v>266.23008460112828</v>
      </c>
      <c r="C470">
        <f t="shared" si="22"/>
        <v>74.613958049947655</v>
      </c>
      <c r="D470">
        <f t="shared" si="23"/>
        <v>660.15595734892361</v>
      </c>
    </row>
    <row r="471" spans="1:4" x14ac:dyDescent="0.15">
      <c r="A471">
        <v>46.900000000000006</v>
      </c>
      <c r="B471">
        <f t="shared" si="21"/>
        <v>265.43550538656575</v>
      </c>
      <c r="C471">
        <f t="shared" si="22"/>
        <v>73.916258103511211</v>
      </c>
      <c r="D471">
        <f t="shared" si="23"/>
        <v>661.64823650992253</v>
      </c>
    </row>
    <row r="472" spans="1:4" x14ac:dyDescent="0.15">
      <c r="A472">
        <v>47.000000000000007</v>
      </c>
      <c r="B472">
        <f t="shared" si="21"/>
        <v>264.65070541352617</v>
      </c>
      <c r="C472">
        <f t="shared" si="22"/>
        <v>73.222732914480559</v>
      </c>
      <c r="D472">
        <f t="shared" si="23"/>
        <v>663.1265616719927</v>
      </c>
    </row>
    <row r="473" spans="1:4" x14ac:dyDescent="0.15">
      <c r="A473">
        <v>47.1</v>
      </c>
      <c r="B473">
        <f t="shared" si="21"/>
        <v>263.87556749680124</v>
      </c>
      <c r="C473">
        <f t="shared" si="22"/>
        <v>72.533416172915892</v>
      </c>
      <c r="D473">
        <f t="shared" si="23"/>
        <v>664.59101633028229</v>
      </c>
    </row>
    <row r="474" spans="1:4" x14ac:dyDescent="0.15">
      <c r="A474">
        <v>47.2</v>
      </c>
      <c r="B474">
        <f t="shared" si="21"/>
        <v>263.10997564259685</v>
      </c>
      <c r="C474">
        <f t="shared" si="22"/>
        <v>71.848339703661964</v>
      </c>
      <c r="D474">
        <f t="shared" si="23"/>
        <v>666.04168465374062</v>
      </c>
    </row>
    <row r="475" spans="1:4" x14ac:dyDescent="0.15">
      <c r="A475">
        <v>47.300000000000004</v>
      </c>
      <c r="B475">
        <f t="shared" si="21"/>
        <v>262.3538150462212</v>
      </c>
      <c r="C475">
        <f t="shared" si="22"/>
        <v>71.167533505964386</v>
      </c>
      <c r="D475">
        <f t="shared" si="23"/>
        <v>667.47865144781383</v>
      </c>
    </row>
    <row r="476" spans="1:4" x14ac:dyDescent="0.15">
      <c r="A476">
        <v>47.400000000000006</v>
      </c>
      <c r="B476">
        <f t="shared" si="21"/>
        <v>261.60697208931242</v>
      </c>
      <c r="C476">
        <f t="shared" si="22"/>
        <v>70.491025792753874</v>
      </c>
      <c r="D476">
        <f t="shared" si="23"/>
        <v>668.90200211793308</v>
      </c>
    </row>
    <row r="477" spans="1:4" x14ac:dyDescent="0.15">
      <c r="A477">
        <v>47.500000000000007</v>
      </c>
      <c r="B477">
        <f t="shared" si="21"/>
        <v>260.86933433662796</v>
      </c>
      <c r="C477">
        <f t="shared" si="22"/>
        <v>69.818843029583277</v>
      </c>
      <c r="D477">
        <f t="shared" si="23"/>
        <v>670.31182263378821</v>
      </c>
    </row>
    <row r="478" spans="1:4" x14ac:dyDescent="0.15">
      <c r="A478">
        <v>47.6</v>
      </c>
      <c r="B478">
        <f t="shared" si="21"/>
        <v>260.1407905324167</v>
      </c>
      <c r="C478">
        <f t="shared" si="22"/>
        <v>69.151009973202846</v>
      </c>
      <c r="D478">
        <f t="shared" si="23"/>
        <v>671.70819949437987</v>
      </c>
    </row>
    <row r="479" spans="1:4" x14ac:dyDescent="0.15">
      <c r="A479">
        <v>47.7</v>
      </c>
      <c r="B479">
        <f t="shared" si="21"/>
        <v>259.42123059639493</v>
      </c>
      <c r="C479">
        <f t="shared" si="22"/>
        <v>68.487549709760543</v>
      </c>
      <c r="D479">
        <f t="shared" si="23"/>
        <v>673.09121969384398</v>
      </c>
    </row>
    <row r="480" spans="1:4" x14ac:dyDescent="0.15">
      <c r="A480">
        <v>47.800000000000004</v>
      </c>
      <c r="B480">
        <f t="shared" si="21"/>
        <v>258.7105456193454</v>
      </c>
      <c r="C480">
        <f t="shared" si="22"/>
        <v>67.828483692614853</v>
      </c>
      <c r="D480">
        <f t="shared" si="23"/>
        <v>674.4609706880392</v>
      </c>
    </row>
    <row r="481" spans="1:4" x14ac:dyDescent="0.15">
      <c r="A481">
        <v>47.900000000000006</v>
      </c>
      <c r="B481">
        <f t="shared" si="21"/>
        <v>258.00862785835943</v>
      </c>
      <c r="C481">
        <f t="shared" si="22"/>
        <v>67.173831779748525</v>
      </c>
      <c r="D481">
        <f t="shared" si="23"/>
        <v>675.81754036189147</v>
      </c>
    </row>
    <row r="482" spans="1:4" x14ac:dyDescent="0.15">
      <c r="A482">
        <v>48.000000000000007</v>
      </c>
      <c r="B482">
        <f t="shared" si="21"/>
        <v>257.31537073174019</v>
      </c>
      <c r="C482">
        <f t="shared" si="22"/>
        <v>66.523612270772801</v>
      </c>
      <c r="D482">
        <f t="shared" si="23"/>
        <v>677.1610169974864</v>
      </c>
    </row>
    <row r="483" spans="1:4" x14ac:dyDescent="0.15">
      <c r="A483">
        <v>48.1</v>
      </c>
      <c r="B483">
        <f t="shared" si="21"/>
        <v>256.63066881358543</v>
      </c>
      <c r="C483">
        <f t="shared" si="22"/>
        <v>65.877841943512081</v>
      </c>
      <c r="D483">
        <f t="shared" si="23"/>
        <v>678.49148924290182</v>
      </c>
    </row>
    <row r="484" spans="1:4" x14ac:dyDescent="0.15">
      <c r="A484">
        <v>48.2</v>
      </c>
      <c r="B484">
        <f t="shared" si="21"/>
        <v>255.95441782806705</v>
      </c>
      <c r="C484">
        <f t="shared" si="22"/>
        <v>65.2365360901602</v>
      </c>
      <c r="D484">
        <f t="shared" si="23"/>
        <v>679.80904608177207</v>
      </c>
    </row>
    <row r="485" spans="1:4" x14ac:dyDescent="0.15">
      <c r="A485">
        <v>48.300000000000004</v>
      </c>
      <c r="B485">
        <f t="shared" si="21"/>
        <v>255.286514643424</v>
      </c>
      <c r="C485">
        <f t="shared" si="22"/>
        <v>64.599708553000056</v>
      </c>
      <c r="D485">
        <f t="shared" si="23"/>
        <v>681.11377680357532</v>
      </c>
    </row>
    <row r="486" spans="1:4" x14ac:dyDescent="0.15">
      <c r="A486">
        <v>48.400000000000006</v>
      </c>
      <c r="B486">
        <f t="shared" si="21"/>
        <v>254.62685726568495</v>
      </c>
      <c r="C486">
        <f t="shared" si="22"/>
        <v>63.967371759679111</v>
      </c>
      <c r="D486">
        <f t="shared" si="23"/>
        <v>682.40577097463529</v>
      </c>
    </row>
    <row r="487" spans="1:4" x14ac:dyDescent="0.15">
      <c r="A487">
        <v>48.500000000000007</v>
      </c>
      <c r="B487">
        <f t="shared" si="21"/>
        <v>253.97534483213644</v>
      </c>
      <c r="C487">
        <f t="shared" si="22"/>
        <v>63.339536758034043</v>
      </c>
      <c r="D487">
        <f t="shared" si="23"/>
        <v>683.68511840982887</v>
      </c>
    </row>
    <row r="488" spans="1:4" x14ac:dyDescent="0.15">
      <c r="A488">
        <v>48.6</v>
      </c>
      <c r="B488">
        <f t="shared" si="21"/>
        <v>253.33187760455127</v>
      </c>
      <c r="C488">
        <f t="shared" si="22"/>
        <v>62.716213250458544</v>
      </c>
      <c r="D488">
        <f t="shared" si="23"/>
        <v>684.9519091449896</v>
      </c>
    </row>
    <row r="489" spans="1:4" x14ac:dyDescent="0.15">
      <c r="A489">
        <v>48.7</v>
      </c>
      <c r="B489">
        <f t="shared" si="21"/>
        <v>252.69635696219183</v>
      </c>
      <c r="C489">
        <f t="shared" si="22"/>
        <v>62.097409627808815</v>
      </c>
      <c r="D489">
        <f t="shared" si="23"/>
        <v>686.20623340999873</v>
      </c>
    </row>
    <row r="490" spans="1:4" x14ac:dyDescent="0.15">
      <c r="A490">
        <v>48.800000000000004</v>
      </c>
      <c r="B490">
        <f t="shared" si="21"/>
        <v>252.06868539460237</v>
      </c>
      <c r="C490">
        <f t="shared" si="22"/>
        <v>61.483133002842088</v>
      </c>
      <c r="D490">
        <f t="shared" si="23"/>
        <v>687.44818160255488</v>
      </c>
    </row>
    <row r="491" spans="1:4" x14ac:dyDescent="0.15">
      <c r="A491">
        <v>48.900000000000006</v>
      </c>
      <c r="B491">
        <f t="shared" si="21"/>
        <v>251.44876649420365</v>
      </c>
      <c r="C491">
        <f t="shared" si="22"/>
        <v>60.873389243183965</v>
      </c>
      <c r="D491">
        <f t="shared" si="23"/>
        <v>688.67784426261176</v>
      </c>
    </row>
    <row r="492" spans="1:4" x14ac:dyDescent="0.15">
      <c r="A492">
        <v>49.000000000000007</v>
      </c>
      <c r="B492">
        <f t="shared" si="21"/>
        <v>250.83650494870284</v>
      </c>
      <c r="C492">
        <f t="shared" si="22"/>
        <v>60.268183003821093</v>
      </c>
      <c r="D492">
        <f t="shared" si="23"/>
        <v>689.89531204747539</v>
      </c>
    </row>
    <row r="493" spans="1:4" x14ac:dyDescent="0.15">
      <c r="A493">
        <v>49.1</v>
      </c>
      <c r="B493">
        <f t="shared" si="21"/>
        <v>250.23180653333134</v>
      </c>
      <c r="C493">
        <f t="shared" si="22"/>
        <v>59.667517759116166</v>
      </c>
      <c r="D493">
        <f t="shared" si="23"/>
        <v>691.10067570755177</v>
      </c>
    </row>
    <row r="494" spans="1:4" x14ac:dyDescent="0.15">
      <c r="A494">
        <v>49.2</v>
      </c>
      <c r="B494">
        <f t="shared" si="21"/>
        <v>249.6345781029224</v>
      </c>
      <c r="C494">
        <f t="shared" si="22"/>
        <v>59.071395834342773</v>
      </c>
      <c r="D494">
        <f t="shared" si="23"/>
        <v>692.29402606273413</v>
      </c>
    </row>
    <row r="495" spans="1:4" x14ac:dyDescent="0.15">
      <c r="A495">
        <v>49.300000000000004</v>
      </c>
      <c r="B495">
        <f t="shared" si="21"/>
        <v>249.04472758384014</v>
      </c>
      <c r="C495">
        <f t="shared" si="22"/>
        <v>58.479818436738192</v>
      </c>
      <c r="D495">
        <f t="shared" si="23"/>
        <v>693.47545397942099</v>
      </c>
    </row>
    <row r="496" spans="1:4" x14ac:dyDescent="0.15">
      <c r="A496">
        <v>49.400000000000006</v>
      </c>
      <c r="B496">
        <f t="shared" si="21"/>
        <v>248.46216396577094</v>
      </c>
      <c r="C496">
        <f t="shared" si="22"/>
        <v>57.892785686072621</v>
      </c>
      <c r="D496">
        <f t="shared" si="23"/>
        <v>694.64505034815579</v>
      </c>
    </row>
    <row r="497" spans="1:4" x14ac:dyDescent="0.15">
      <c r="A497">
        <v>49.500000000000007</v>
      </c>
      <c r="B497">
        <f t="shared" si="21"/>
        <v>247.88679729338821</v>
      </c>
      <c r="C497">
        <f t="shared" si="22"/>
        <v>57.310296644733896</v>
      </c>
      <c r="D497">
        <f t="shared" si="23"/>
        <v>695.80290606187725</v>
      </c>
    </row>
    <row r="498" spans="1:4" x14ac:dyDescent="0.15">
      <c r="A498">
        <v>49.6</v>
      </c>
      <c r="B498">
        <f t="shared" si="21"/>
        <v>247.31853865790032</v>
      </c>
      <c r="C498">
        <f t="shared" si="22"/>
        <v>56.732349347327101</v>
      </c>
      <c r="D498">
        <f t="shared" si="23"/>
        <v>696.9491119947719</v>
      </c>
    </row>
    <row r="499" spans="1:4" x14ac:dyDescent="0.15">
      <c r="A499">
        <v>49.7</v>
      </c>
      <c r="B499">
        <f t="shared" si="21"/>
        <v>246.75730018849191</v>
      </c>
      <c r="C499">
        <f t="shared" si="22"/>
        <v>56.158940829788975</v>
      </c>
      <c r="D499">
        <f t="shared" si="23"/>
        <v>698.08375898171846</v>
      </c>
    </row>
    <row r="500" spans="1:4" x14ac:dyDescent="0.15">
      <c r="A500">
        <v>49.800000000000004</v>
      </c>
      <c r="B500">
        <f t="shared" si="21"/>
        <v>246.20299504366776</v>
      </c>
      <c r="C500">
        <f t="shared" si="22"/>
        <v>55.590067158017355</v>
      </c>
      <c r="D500">
        <f t="shared" si="23"/>
        <v>699.20693779831424</v>
      </c>
    </row>
    <row r="501" spans="1:4" x14ac:dyDescent="0.15">
      <c r="A501">
        <v>49.900000000000006</v>
      </c>
      <c r="B501">
        <f t="shared" si="21"/>
        <v>245.65553740250846</v>
      </c>
      <c r="C501">
        <f t="shared" si="22"/>
        <v>55.025723456016308</v>
      </c>
      <c r="D501">
        <f t="shared" si="23"/>
        <v>700.31873914147457</v>
      </c>
    </row>
    <row r="502" spans="1:4" x14ac:dyDescent="0.15">
      <c r="A502">
        <v>50.000000000000007</v>
      </c>
      <c r="B502">
        <f t="shared" si="21"/>
        <v>245.11484245584649</v>
      </c>
      <c r="C502">
        <f t="shared" si="22"/>
        <v>54.465903933557961</v>
      </c>
      <c r="D502">
        <f t="shared" si="23"/>
        <v>701.41925361059486</v>
      </c>
    </row>
    <row r="503" spans="1:4" x14ac:dyDescent="0.15">
      <c r="A503">
        <v>50.1</v>
      </c>
      <c r="B503">
        <f t="shared" si="21"/>
        <v>244.58082639737091</v>
      </c>
      <c r="C503">
        <f t="shared" si="22"/>
        <v>53.910601913362378</v>
      </c>
      <c r="D503">
        <f t="shared" si="23"/>
        <v>702.50857168926598</v>
      </c>
    </row>
    <row r="504" spans="1:4" x14ac:dyDescent="0.15">
      <c r="A504">
        <v>50.2</v>
      </c>
      <c r="B504">
        <f t="shared" si="21"/>
        <v>244.05340641466893</v>
      </c>
      <c r="C504">
        <f t="shared" si="22"/>
        <v>53.359809857797124</v>
      </c>
      <c r="D504">
        <f t="shared" si="23"/>
        <v>703.5867837275332</v>
      </c>
    </row>
    <row r="505" spans="1:4" x14ac:dyDescent="0.15">
      <c r="A505">
        <v>50.300000000000004</v>
      </c>
      <c r="B505">
        <f t="shared" si="21"/>
        <v>243.53250068021154</v>
      </c>
      <c r="C505">
        <f t="shared" si="22"/>
        <v>52.81351939509856</v>
      </c>
      <c r="D505">
        <f t="shared" si="23"/>
        <v>704.65397992468911</v>
      </c>
    </row>
    <row r="506" spans="1:4" x14ac:dyDescent="0.15">
      <c r="A506">
        <v>50.400000000000006</v>
      </c>
      <c r="B506">
        <f t="shared" si="21"/>
        <v>243.0180283422911</v>
      </c>
      <c r="C506">
        <f t="shared" si="22"/>
        <v>52.271721345117037</v>
      </c>
      <c r="D506">
        <f t="shared" si="23"/>
        <v>705.71025031259103</v>
      </c>
    </row>
    <row r="507" spans="1:4" x14ac:dyDescent="0.15">
      <c r="A507">
        <v>50.500000000000007</v>
      </c>
      <c r="B507">
        <f t="shared" si="21"/>
        <v>242.50990951591717</v>
      </c>
      <c r="C507">
        <f t="shared" si="22"/>
        <v>51.734405744588614</v>
      </c>
      <c r="D507">
        <f t="shared" si="23"/>
        <v>706.7556847394934</v>
      </c>
    </row>
    <row r="508" spans="1:4" x14ac:dyDescent="0.15">
      <c r="A508">
        <v>50.6</v>
      </c>
      <c r="B508">
        <f t="shared" si="21"/>
        <v>242.00806527367797</v>
      </c>
      <c r="C508">
        <f t="shared" si="22"/>
        <v>51.201561871936036</v>
      </c>
      <c r="D508">
        <f t="shared" si="23"/>
        <v>707.79037285438517</v>
      </c>
    </row>
    <row r="509" spans="1:4" x14ac:dyDescent="0.15">
      <c r="A509">
        <v>50.7</v>
      </c>
      <c r="B509">
        <f t="shared" si="21"/>
        <v>241.51241763657328</v>
      </c>
      <c r="C509">
        <f t="shared" si="22"/>
        <v>50.673178271602026</v>
      </c>
      <c r="D509">
        <f t="shared" si="23"/>
        <v>708.81440409182392</v>
      </c>
    </row>
    <row r="510" spans="1:4" x14ac:dyDescent="0.15">
      <c r="A510">
        <v>50.800000000000004</v>
      </c>
      <c r="B510">
        <f t="shared" si="21"/>
        <v>241.02288956482514</v>
      </c>
      <c r="C510">
        <f t="shared" si="22"/>
        <v>50.149242777918133</v>
      </c>
      <c r="D510">
        <f t="shared" si="23"/>
        <v>709.82786765725598</v>
      </c>
    </row>
    <row r="511" spans="1:4" x14ac:dyDescent="0.15">
      <c r="A511">
        <v>50.900000000000006</v>
      </c>
      <c r="B511">
        <f t="shared" si="21"/>
        <v>240.53940494867226</v>
      </c>
      <c r="C511">
        <f t="shared" si="22"/>
        <v>49.629742538512637</v>
      </c>
      <c r="D511">
        <f t="shared" si="23"/>
        <v>710.83085251281432</v>
      </c>
    </row>
    <row r="512" spans="1:4" x14ac:dyDescent="0.15">
      <c r="A512">
        <v>51.000000000000007</v>
      </c>
      <c r="B512">
        <f t="shared" si="21"/>
        <v>240.06188859915346</v>
      </c>
      <c r="C512">
        <f t="shared" si="22"/>
        <v>49.114664037261171</v>
      </c>
      <c r="D512">
        <f t="shared" si="23"/>
        <v>711.82344736358459</v>
      </c>
    </row>
    <row r="513" spans="1:4" x14ac:dyDescent="0.15">
      <c r="A513">
        <v>51.1</v>
      </c>
      <c r="B513">
        <f t="shared" si="21"/>
        <v>239.59026623888556</v>
      </c>
      <c r="C513">
        <f t="shared" si="22"/>
        <v>48.603993116783862</v>
      </c>
      <c r="D513">
        <f t="shared" si="23"/>
        <v>712.80574064432983</v>
      </c>
    </row>
    <row r="514" spans="1:4" x14ac:dyDescent="0.15">
      <c r="A514">
        <v>51.2</v>
      </c>
      <c r="B514">
        <f t="shared" si="21"/>
        <v>239.12446449284064</v>
      </c>
      <c r="C514">
        <f t="shared" si="22"/>
        <v>48.09771500049311</v>
      </c>
      <c r="D514">
        <f t="shared" si="23"/>
        <v>713.77782050666553</v>
      </c>
    </row>
    <row r="515" spans="1:4" x14ac:dyDescent="0.15">
      <c r="A515">
        <v>51.300000000000004</v>
      </c>
      <c r="B515">
        <f t="shared" si="21"/>
        <v>238.66441087912776</v>
      </c>
      <c r="C515">
        <f t="shared" si="22"/>
        <v>47.595814314196133</v>
      </c>
      <c r="D515">
        <f t="shared" si="23"/>
        <v>714.73977480667543</v>
      </c>
    </row>
    <row r="516" spans="1:4" x14ac:dyDescent="0.15">
      <c r="A516">
        <v>51.400000000000006</v>
      </c>
      <c r="B516">
        <f t="shared" ref="B516:B579" si="24">B515-$G$1*B515*C515*$A$3</f>
        <v>238.21003379978336</v>
      </c>
      <c r="C516">
        <f t="shared" ref="C516:C579" si="25">C515+($G$1*B515*C515-$G$2*C515)*$A$3</f>
        <v>47.098275107256612</v>
      </c>
      <c r="D516">
        <f t="shared" ref="D516:D579" si="26">D515+$G$2*C515*$A$3</f>
        <v>715.69169109295933</v>
      </c>
    </row>
    <row r="517" spans="1:4" x14ac:dyDescent="0.15">
      <c r="A517">
        <v>51.500000000000007</v>
      </c>
      <c r="B517">
        <f t="shared" si="24"/>
        <v>237.76126253157491</v>
      </c>
      <c r="C517">
        <f t="shared" si="25"/>
        <v>46.60508087331992</v>
      </c>
      <c r="D517">
        <f t="shared" si="26"/>
        <v>716.63365659510441</v>
      </c>
    </row>
    <row r="518" spans="1:4" x14ac:dyDescent="0.15">
      <c r="A518">
        <v>51.6</v>
      </c>
      <c r="B518">
        <f t="shared" si="24"/>
        <v>237.31802721682183</v>
      </c>
      <c r="C518">
        <f t="shared" si="25"/>
        <v>46.116214570606587</v>
      </c>
      <c r="D518">
        <f t="shared" si="26"/>
        <v>717.56575821257081</v>
      </c>
    </row>
    <row r="519" spans="1:4" x14ac:dyDescent="0.15">
      <c r="A519">
        <v>51.7</v>
      </c>
      <c r="B519">
        <f t="shared" si="24"/>
        <v>236.88025885423767</v>
      </c>
      <c r="C519">
        <f t="shared" si="25"/>
        <v>45.631658641778614</v>
      </c>
      <c r="D519">
        <f t="shared" si="26"/>
        <v>718.48808250398292</v>
      </c>
    </row>
    <row r="520" spans="1:4" x14ac:dyDescent="0.15">
      <c r="A520">
        <v>51.800000000000004</v>
      </c>
      <c r="B520">
        <f t="shared" si="24"/>
        <v>236.44788928979716</v>
      </c>
      <c r="C520">
        <f t="shared" si="25"/>
        <v>45.151395033383551</v>
      </c>
      <c r="D520">
        <f t="shared" si="26"/>
        <v>719.40071567681855</v>
      </c>
    </row>
    <row r="521" spans="1:4" x14ac:dyDescent="0.15">
      <c r="A521">
        <v>51.900000000000006</v>
      </c>
      <c r="B521">
        <f t="shared" si="24"/>
        <v>236.02085120763184</v>
      </c>
      <c r="C521">
        <f t="shared" si="25"/>
        <v>44.675405214881216</v>
      </c>
      <c r="D521">
        <f t="shared" si="26"/>
        <v>720.30374357748622</v>
      </c>
    </row>
    <row r="522" spans="1:4" x14ac:dyDescent="0.15">
      <c r="A522">
        <v>52.000000000000007</v>
      </c>
      <c r="B522">
        <f t="shared" si="24"/>
        <v>235.59907812095736</v>
      </c>
      <c r="C522">
        <f t="shared" si="25"/>
        <v>44.203670197258077</v>
      </c>
      <c r="D522">
        <f t="shared" si="26"/>
        <v>721.19725168178388</v>
      </c>
    </row>
    <row r="523" spans="1:4" x14ac:dyDescent="0.15">
      <c r="A523">
        <v>52.1</v>
      </c>
      <c r="B523">
        <f t="shared" si="24"/>
        <v>235.18250436303589</v>
      </c>
      <c r="C523">
        <f t="shared" si="25"/>
        <v>43.736170551234387</v>
      </c>
      <c r="D523">
        <f t="shared" si="26"/>
        <v>722.08132508572908</v>
      </c>
    </row>
    <row r="524" spans="1:4" x14ac:dyDescent="0.15">
      <c r="A524">
        <v>52.2</v>
      </c>
      <c r="B524">
        <f t="shared" si="24"/>
        <v>234.77106507817635</v>
      </c>
      <c r="C524">
        <f t="shared" si="25"/>
        <v>43.272886425069224</v>
      </c>
      <c r="D524">
        <f t="shared" si="26"/>
        <v>722.95604849675374</v>
      </c>
    </row>
    <row r="525" spans="1:4" x14ac:dyDescent="0.15">
      <c r="A525">
        <v>52.300000000000004</v>
      </c>
      <c r="B525">
        <f t="shared" si="24"/>
        <v>234.36469621277553</v>
      </c>
      <c r="C525">
        <f t="shared" si="25"/>
        <v>42.813797561968656</v>
      </c>
      <c r="D525">
        <f t="shared" si="26"/>
        <v>723.82150622525512</v>
      </c>
    </row>
    <row r="526" spans="1:4" x14ac:dyDescent="0.15">
      <c r="A526">
        <v>52.400000000000006</v>
      </c>
      <c r="B526">
        <f t="shared" si="24"/>
        <v>233.96333450640248</v>
      </c>
      <c r="C526">
        <f t="shared" si="25"/>
        <v>42.358883317102325</v>
      </c>
      <c r="D526">
        <f t="shared" si="26"/>
        <v>724.67778217649447</v>
      </c>
    </row>
    <row r="527" spans="1:4" x14ac:dyDescent="0.15">
      <c r="A527">
        <v>52.500000000000007</v>
      </c>
      <c r="B527">
        <f t="shared" si="24"/>
        <v>233.566917482929</v>
      </c>
      <c r="C527">
        <f t="shared" si="25"/>
        <v>41.908122674233752</v>
      </c>
      <c r="D527">
        <f t="shared" si="26"/>
        <v>725.52495984283655</v>
      </c>
    </row>
    <row r="528" spans="1:4" x14ac:dyDescent="0.15">
      <c r="A528">
        <v>52.6</v>
      </c>
      <c r="B528">
        <f t="shared" si="24"/>
        <v>233.17538344170831</v>
      </c>
      <c r="C528">
        <f t="shared" si="25"/>
        <v>41.461494261969769</v>
      </c>
      <c r="D528">
        <f t="shared" si="26"/>
        <v>726.36312229632119</v>
      </c>
    </row>
    <row r="529" spans="1:4" x14ac:dyDescent="0.15">
      <c r="A529">
        <v>52.7</v>
      </c>
      <c r="B529">
        <f t="shared" si="24"/>
        <v>232.78867144880428</v>
      </c>
      <c r="C529">
        <f t="shared" si="25"/>
        <v>41.018976369634416</v>
      </c>
      <c r="D529">
        <f t="shared" si="26"/>
        <v>727.19235218156064</v>
      </c>
    </row>
    <row r="530" spans="1:4" x14ac:dyDescent="0.15">
      <c r="A530">
        <v>52.800000000000004</v>
      </c>
      <c r="B530">
        <f t="shared" si="24"/>
        <v>232.40672132827319</v>
      </c>
      <c r="C530">
        <f t="shared" si="25"/>
        <v>40.580546962772814</v>
      </c>
      <c r="D530">
        <f t="shared" si="26"/>
        <v>728.01273170895331</v>
      </c>
    </row>
    <row r="531" spans="1:4" x14ac:dyDescent="0.15">
      <c r="A531">
        <v>52.900000000000006</v>
      </c>
      <c r="B531">
        <f t="shared" si="24"/>
        <v>232.02947365350016</v>
      </c>
      <c r="C531">
        <f t="shared" si="25"/>
        <v>40.1461836982904</v>
      </c>
      <c r="D531">
        <f t="shared" si="26"/>
        <v>728.82434264820881</v>
      </c>
    </row>
    <row r="532" spans="1:4" x14ac:dyDescent="0.15">
      <c r="A532">
        <v>53.000000000000007</v>
      </c>
      <c r="B532">
        <f t="shared" si="24"/>
        <v>231.65686973859172</v>
      </c>
      <c r="C532">
        <f t="shared" si="25"/>
        <v>39.715863939233031</v>
      </c>
      <c r="D532">
        <f t="shared" si="26"/>
        <v>729.62726632217459</v>
      </c>
    </row>
    <row r="533" spans="1:4" x14ac:dyDescent="0.15">
      <c r="A533">
        <v>53.1</v>
      </c>
      <c r="B533">
        <f t="shared" si="24"/>
        <v>231.28885162982667</v>
      </c>
      <c r="C533">
        <f t="shared" si="25"/>
        <v>39.289564769213435</v>
      </c>
      <c r="D533">
        <f t="shared" si="26"/>
        <v>730.42158360095925</v>
      </c>
    </row>
    <row r="534" spans="1:4" x14ac:dyDescent="0.15">
      <c r="A534">
        <v>53.2</v>
      </c>
      <c r="B534">
        <f t="shared" si="24"/>
        <v>230.92536209716638</v>
      </c>
      <c r="C534">
        <f t="shared" si="25"/>
        <v>38.867263006489452</v>
      </c>
      <c r="D534">
        <f t="shared" si="26"/>
        <v>731.20737489634348</v>
      </c>
    </row>
    <row r="535" spans="1:4" x14ac:dyDescent="0.15">
      <c r="A535">
        <v>53.300000000000004</v>
      </c>
      <c r="B535">
        <f t="shared" si="24"/>
        <v>230.56634462582642</v>
      </c>
      <c r="C535">
        <f t="shared" si="25"/>
        <v>38.448935217699635</v>
      </c>
      <c r="D535">
        <f t="shared" si="26"/>
        <v>731.98472015647326</v>
      </c>
    </row>
    <row r="536" spans="1:4" x14ac:dyDescent="0.15">
      <c r="A536">
        <v>53.400000000000006</v>
      </c>
      <c r="B536">
        <f t="shared" si="24"/>
        <v>230.2117434079104</v>
      </c>
      <c r="C536">
        <f t="shared" si="25"/>
        <v>38.03455773126165</v>
      </c>
      <c r="D536">
        <f t="shared" si="26"/>
        <v>732.75369886082728</v>
      </c>
    </row>
    <row r="537" spans="1:4" x14ac:dyDescent="0.15">
      <c r="A537">
        <v>53.500000000000007</v>
      </c>
      <c r="B537">
        <f t="shared" si="24"/>
        <v>229.86150333410791</v>
      </c>
      <c r="C537">
        <f t="shared" si="25"/>
        <v>37.624106650438918</v>
      </c>
      <c r="D537">
        <f t="shared" si="26"/>
        <v>733.51439001545248</v>
      </c>
    </row>
    <row r="538" spans="1:4" x14ac:dyDescent="0.15">
      <c r="A538">
        <v>53.6</v>
      </c>
      <c r="B538">
        <f t="shared" si="24"/>
        <v>229.51556998545701</v>
      </c>
      <c r="C538">
        <f t="shared" si="25"/>
        <v>37.217557866081044</v>
      </c>
      <c r="D538">
        <f t="shared" si="26"/>
        <v>734.26687214846129</v>
      </c>
    </row>
    <row r="539" spans="1:4" x14ac:dyDescent="0.15">
      <c r="A539">
        <v>53.7</v>
      </c>
      <c r="B539">
        <f t="shared" si="24"/>
        <v>229.17388962517299</v>
      </c>
      <c r="C539">
        <f t="shared" si="25"/>
        <v>36.814887069043436</v>
      </c>
      <c r="D539">
        <f t="shared" si="26"/>
        <v>735.01122330578289</v>
      </c>
    </row>
    <row r="540" spans="1:4" x14ac:dyDescent="0.15">
      <c r="A540">
        <v>53.800000000000004</v>
      </c>
      <c r="B540">
        <f t="shared" si="24"/>
        <v>228.83640919054403</v>
      </c>
      <c r="C540">
        <f t="shared" si="25"/>
        <v>36.416069762291535</v>
      </c>
      <c r="D540">
        <f t="shared" si="26"/>
        <v>735.74752104716379</v>
      </c>
    </row>
    <row r="541" spans="1:4" x14ac:dyDescent="0.15">
      <c r="A541">
        <v>53.900000000000006</v>
      </c>
      <c r="B541">
        <f t="shared" si="24"/>
        <v>228.50307628489463</v>
      </c>
      <c r="C541">
        <f t="shared" si="25"/>
        <v>36.021081272695113</v>
      </c>
      <c r="D541">
        <f t="shared" si="26"/>
        <v>736.47584244240966</v>
      </c>
    </row>
    <row r="542" spans="1:4" x14ac:dyDescent="0.15">
      <c r="A542">
        <v>54.000000000000007</v>
      </c>
      <c r="B542">
        <f t="shared" si="24"/>
        <v>228.17383916961788</v>
      </c>
      <c r="C542">
        <f t="shared" si="25"/>
        <v>35.629896762517973</v>
      </c>
      <c r="D542">
        <f t="shared" si="26"/>
        <v>737.19626406786358</v>
      </c>
    </row>
    <row r="543" spans="1:4" x14ac:dyDescent="0.15">
      <c r="A543">
        <v>54.1</v>
      </c>
      <c r="B543">
        <f t="shared" si="24"/>
        <v>227.84864675627705</v>
      </c>
      <c r="C543">
        <f t="shared" si="25"/>
        <v>35.242491240608445</v>
      </c>
      <c r="D543">
        <f t="shared" si="26"/>
        <v>737.908862003114</v>
      </c>
    </row>
    <row r="544" spans="1:4" x14ac:dyDescent="0.15">
      <c r="A544">
        <v>54.2</v>
      </c>
      <c r="B544">
        <f t="shared" si="24"/>
        <v>227.52744859877734</v>
      </c>
      <c r="C544">
        <f t="shared" si="25"/>
        <v>34.858839573295981</v>
      </c>
      <c r="D544">
        <f t="shared" si="26"/>
        <v>738.61371182792618</v>
      </c>
    </row>
    <row r="545" spans="1:4" x14ac:dyDescent="0.15">
      <c r="A545">
        <v>54.300000000000004</v>
      </c>
      <c r="B545">
        <f t="shared" si="24"/>
        <v>227.2101948856083</v>
      </c>
      <c r="C545">
        <f t="shared" si="25"/>
        <v>34.478916494999105</v>
      </c>
      <c r="D545">
        <f t="shared" si="26"/>
        <v>739.31088861939213</v>
      </c>
    </row>
    <row r="546" spans="1:4" x14ac:dyDescent="0.15">
      <c r="A546">
        <v>54.400000000000006</v>
      </c>
      <c r="B546">
        <f t="shared" si="24"/>
        <v>226.89683643215736</v>
      </c>
      <c r="C546">
        <f t="shared" si="25"/>
        <v>34.102696618550056</v>
      </c>
      <c r="D546">
        <f t="shared" si="26"/>
        <v>740.0004669492921</v>
      </c>
    </row>
    <row r="547" spans="1:4" x14ac:dyDescent="0.15">
      <c r="A547">
        <v>54.500000000000007</v>
      </c>
      <c r="B547">
        <f t="shared" si="24"/>
        <v>226.58732467309517</v>
      </c>
      <c r="C547">
        <f t="shared" si="25"/>
        <v>33.73015444524124</v>
      </c>
      <c r="D547">
        <f t="shared" si="26"/>
        <v>740.68252088166309</v>
      </c>
    </row>
    <row r="548" spans="1:4" x14ac:dyDescent="0.15">
      <c r="A548">
        <v>54.6</v>
      </c>
      <c r="B548">
        <f t="shared" si="24"/>
        <v>226.28161165483286</v>
      </c>
      <c r="C548">
        <f t="shared" si="25"/>
        <v>33.361264374598719</v>
      </c>
      <c r="D548">
        <f t="shared" si="26"/>
        <v>741.35712397056795</v>
      </c>
    </row>
    <row r="549" spans="1:4" x14ac:dyDescent="0.15">
      <c r="A549">
        <v>54.7</v>
      </c>
      <c r="B549">
        <f t="shared" si="24"/>
        <v>225.97965002805176</v>
      </c>
      <c r="C549">
        <f t="shared" si="25"/>
        <v>32.996000713887831</v>
      </c>
      <c r="D549">
        <f t="shared" si="26"/>
        <v>742.02434925805994</v>
      </c>
    </row>
    <row r="550" spans="1:4" x14ac:dyDescent="0.15">
      <c r="A550">
        <v>54.800000000000004</v>
      </c>
      <c r="B550">
        <f t="shared" si="24"/>
        <v>225.68139304030578</v>
      </c>
      <c r="C550">
        <f t="shared" si="25"/>
        <v>32.634337687356066</v>
      </c>
      <c r="D550">
        <f t="shared" si="26"/>
        <v>742.6842692723377</v>
      </c>
    </row>
    <row r="551" spans="1:4" x14ac:dyDescent="0.15">
      <c r="A551">
        <v>54.900000000000006</v>
      </c>
      <c r="B551">
        <f t="shared" si="24"/>
        <v>225.38679452869656</v>
      </c>
      <c r="C551">
        <f t="shared" si="25"/>
        <v>32.276249445218156</v>
      </c>
      <c r="D551">
        <f t="shared" si="26"/>
        <v>743.33695602608486</v>
      </c>
    </row>
    <row r="552" spans="1:4" x14ac:dyDescent="0.15">
      <c r="A552">
        <v>55.000000000000007</v>
      </c>
      <c r="B552">
        <f t="shared" si="24"/>
        <v>225.09580891262189</v>
      </c>
      <c r="C552">
        <f t="shared" si="25"/>
        <v>31.921710072388446</v>
      </c>
      <c r="D552">
        <f t="shared" si="26"/>
        <v>743.98248101498928</v>
      </c>
    </row>
    <row r="553" spans="1:4" x14ac:dyDescent="0.15">
      <c r="A553">
        <v>55.1</v>
      </c>
      <c r="B553">
        <f t="shared" si="24"/>
        <v>224.80839118659716</v>
      </c>
      <c r="C553">
        <f t="shared" si="25"/>
        <v>31.570693596965416</v>
      </c>
      <c r="D553">
        <f t="shared" si="26"/>
        <v>744.62091521643708</v>
      </c>
    </row>
    <row r="554" spans="1:4" x14ac:dyDescent="0.15">
      <c r="A554">
        <v>55.2</v>
      </c>
      <c r="B554">
        <f t="shared" si="24"/>
        <v>224.52449691315002</v>
      </c>
      <c r="C554">
        <f t="shared" si="25"/>
        <v>31.223173998473261</v>
      </c>
      <c r="D554">
        <f t="shared" si="26"/>
        <v>745.25232908837643</v>
      </c>
    </row>
    <row r="555" spans="1:4" x14ac:dyDescent="0.15">
      <c r="A555">
        <v>55.300000000000004</v>
      </c>
      <c r="B555">
        <f t="shared" si="24"/>
        <v>224.24408221578847</v>
      </c>
      <c r="C555">
        <f t="shared" si="25"/>
        <v>30.879125215865354</v>
      </c>
      <c r="D555">
        <f t="shared" si="26"/>
        <v>745.87679256834588</v>
      </c>
    </row>
    <row r="556" spans="1:4" x14ac:dyDescent="0.15">
      <c r="A556">
        <v>55.400000000000006</v>
      </c>
      <c r="B556">
        <f t="shared" si="24"/>
        <v>223.96710377204215</v>
      </c>
      <c r="C556">
        <f t="shared" si="25"/>
        <v>30.538521155294372</v>
      </c>
      <c r="D556">
        <f t="shared" si="26"/>
        <v>746.49437507266316</v>
      </c>
    </row>
    <row r="557" spans="1:4" x14ac:dyDescent="0.15">
      <c r="A557">
        <v>55.500000000000007</v>
      </c>
      <c r="B557">
        <f t="shared" si="24"/>
        <v>223.69351880657686</v>
      </c>
      <c r="C557">
        <f t="shared" si="25"/>
        <v>30.201335697653786</v>
      </c>
      <c r="D557">
        <f t="shared" si="26"/>
        <v>747.10514549576908</v>
      </c>
    </row>
    <row r="558" spans="1:4" x14ac:dyDescent="0.15">
      <c r="A558">
        <v>55.6</v>
      </c>
      <c r="B558">
        <f t="shared" si="24"/>
        <v>223.4232850843822</v>
      </c>
      <c r="C558">
        <f t="shared" si="25"/>
        <v>29.867542705895385</v>
      </c>
      <c r="D558">
        <f t="shared" si="26"/>
        <v>747.70917220972217</v>
      </c>
    </row>
    <row r="559" spans="1:4" x14ac:dyDescent="0.15">
      <c r="A559">
        <v>55.7</v>
      </c>
      <c r="B559">
        <f t="shared" si="24"/>
        <v>223.15636090403223</v>
      </c>
      <c r="C559">
        <f t="shared" si="25"/>
        <v>29.537116032127447</v>
      </c>
      <c r="D559">
        <f t="shared" si="26"/>
        <v>748.30652306384013</v>
      </c>
    </row>
    <row r="560" spans="1:4" x14ac:dyDescent="0.15">
      <c r="A560">
        <v>55.800000000000004</v>
      </c>
      <c r="B560">
        <f t="shared" si="24"/>
        <v>222.89270509101902</v>
      </c>
      <c r="C560">
        <f t="shared" si="25"/>
        <v>29.210029524498086</v>
      </c>
      <c r="D560">
        <f t="shared" si="26"/>
        <v>748.89726538448269</v>
      </c>
    </row>
    <row r="561" spans="1:4" x14ac:dyDescent="0.15">
      <c r="A561">
        <v>55.900000000000006</v>
      </c>
      <c r="B561">
        <f t="shared" si="24"/>
        <v>222.63227699115888</v>
      </c>
      <c r="C561">
        <f t="shared" si="25"/>
        <v>28.886257033868279</v>
      </c>
      <c r="D561">
        <f t="shared" si="26"/>
        <v>749.48146597497271</v>
      </c>
    </row>
    <row r="562" spans="1:4" x14ac:dyDescent="0.15">
      <c r="A562">
        <v>56.000000000000007</v>
      </c>
      <c r="B562">
        <f t="shared" si="24"/>
        <v>222.3750364640708</v>
      </c>
      <c r="C562">
        <f t="shared" si="25"/>
        <v>28.565772420278993</v>
      </c>
      <c r="D562">
        <f t="shared" si="26"/>
        <v>750.05919111565004</v>
      </c>
    </row>
    <row r="563" spans="1:4" x14ac:dyDescent="0.15">
      <c r="A563">
        <v>56.1</v>
      </c>
      <c r="B563">
        <f t="shared" si="24"/>
        <v>222.12094387672744</v>
      </c>
      <c r="C563">
        <f t="shared" si="25"/>
        <v>28.248549559216769</v>
      </c>
      <c r="D563">
        <f t="shared" si="26"/>
        <v>750.63050656405562</v>
      </c>
    </row>
    <row r="564" spans="1:4" x14ac:dyDescent="0.15">
      <c r="A564">
        <v>56.2</v>
      </c>
      <c r="B564">
        <f t="shared" si="24"/>
        <v>221.86996009707778</v>
      </c>
      <c r="C564">
        <f t="shared" si="25"/>
        <v>27.934562347682103</v>
      </c>
      <c r="D564">
        <f t="shared" si="26"/>
        <v>751.1954775552399</v>
      </c>
    </row>
    <row r="565" spans="1:4" x14ac:dyDescent="0.15">
      <c r="A565">
        <v>56.300000000000004</v>
      </c>
      <c r="B565">
        <f t="shared" si="24"/>
        <v>221.62204648774139</v>
      </c>
      <c r="C565">
        <f t="shared" si="25"/>
        <v>27.623784710064843</v>
      </c>
      <c r="D565">
        <f t="shared" si="26"/>
        <v>751.75416880219359</v>
      </c>
    </row>
    <row r="566" spans="1:4" x14ac:dyDescent="0.15">
      <c r="A566">
        <v>56.400000000000006</v>
      </c>
      <c r="B566">
        <f t="shared" si="24"/>
        <v>221.37716489977413</v>
      </c>
      <c r="C566">
        <f t="shared" si="25"/>
        <v>27.316190603830801</v>
      </c>
      <c r="D566">
        <f t="shared" si="26"/>
        <v>752.30664449639494</v>
      </c>
    </row>
    <row r="567" spans="1:4" x14ac:dyDescent="0.15">
      <c r="A567">
        <v>56.500000000000007</v>
      </c>
      <c r="B567">
        <f t="shared" si="24"/>
        <v>221.13527766650461</v>
      </c>
      <c r="C567">
        <f t="shared" si="25"/>
        <v>27.011754025023702</v>
      </c>
      <c r="D567">
        <f t="shared" si="26"/>
        <v>752.85296830847153</v>
      </c>
    </row>
    <row r="568" spans="1:4" x14ac:dyDescent="0.15">
      <c r="A568">
        <v>56.6</v>
      </c>
      <c r="B568">
        <f t="shared" si="24"/>
        <v>220.89634759744129</v>
      </c>
      <c r="C568">
        <f t="shared" si="25"/>
        <v>26.710449013586544</v>
      </c>
      <c r="D568">
        <f t="shared" si="26"/>
        <v>753.39320338897198</v>
      </c>
    </row>
    <row r="569" spans="1:4" x14ac:dyDescent="0.15">
      <c r="A569">
        <v>56.7</v>
      </c>
      <c r="B569">
        <f t="shared" si="24"/>
        <v>220.66033797224972</v>
      </c>
      <c r="C569">
        <f t="shared" si="25"/>
        <v>26.412249658506372</v>
      </c>
      <c r="D569">
        <f t="shared" si="26"/>
        <v>753.92741236924371</v>
      </c>
    </row>
    <row r="570" spans="1:4" x14ac:dyDescent="0.15">
      <c r="A570">
        <v>56.800000000000004</v>
      </c>
      <c r="B570">
        <f t="shared" si="24"/>
        <v>220.42721253479959</v>
      </c>
      <c r="C570">
        <f t="shared" si="25"/>
        <v>26.117130102786383</v>
      </c>
      <c r="D570">
        <f t="shared" si="26"/>
        <v>754.45565736241383</v>
      </c>
    </row>
    <row r="571" spans="1:4" x14ac:dyDescent="0.15">
      <c r="A571">
        <v>56.900000000000006</v>
      </c>
      <c r="B571">
        <f t="shared" si="24"/>
        <v>220.19693548728097</v>
      </c>
      <c r="C571">
        <f t="shared" si="25"/>
        <v>25.825064548249291</v>
      </c>
      <c r="D571">
        <f t="shared" si="26"/>
        <v>754.97799996446952</v>
      </c>
    </row>
    <row r="572" spans="1:4" x14ac:dyDescent="0.15">
      <c r="A572">
        <v>57.000000000000007</v>
      </c>
      <c r="B572">
        <f t="shared" si="24"/>
        <v>219.96947148438954</v>
      </c>
      <c r="C572">
        <f t="shared" si="25"/>
        <v>25.536027260175732</v>
      </c>
      <c r="D572">
        <f t="shared" si="26"/>
        <v>755.49450125543456</v>
      </c>
    </row>
    <row r="573" spans="1:4" x14ac:dyDescent="0.15">
      <c r="A573">
        <v>57.1</v>
      </c>
      <c r="B573">
        <f t="shared" si="24"/>
        <v>219.74478562758028</v>
      </c>
      <c r="C573">
        <f t="shared" si="25"/>
        <v>25.24999257178149</v>
      </c>
      <c r="D573">
        <f t="shared" si="26"/>
        <v>756.00522180063808</v>
      </c>
    </row>
    <row r="574" spans="1:4" x14ac:dyDescent="0.15">
      <c r="A574">
        <v>57.2</v>
      </c>
      <c r="B574">
        <f t="shared" si="24"/>
        <v>219.52284345938892</v>
      </c>
      <c r="C574">
        <f t="shared" si="25"/>
        <v>24.966934888537224</v>
      </c>
      <c r="D574">
        <f t="shared" si="26"/>
        <v>756.51022165207371</v>
      </c>
    </row>
    <row r="575" spans="1:4" x14ac:dyDescent="0.15">
      <c r="A575">
        <v>57.300000000000004</v>
      </c>
      <c r="B575">
        <f t="shared" si="24"/>
        <v>219.30361095782104</v>
      </c>
      <c r="C575">
        <f t="shared" si="25"/>
        <v>24.686828692334366</v>
      </c>
      <c r="D575">
        <f t="shared" si="26"/>
        <v>757.00956034984449</v>
      </c>
    </row>
    <row r="576" spans="1:4" x14ac:dyDescent="0.15">
      <c r="A576">
        <v>57.400000000000006</v>
      </c>
      <c r="B576">
        <f t="shared" si="24"/>
        <v>219.08705453080799</v>
      </c>
      <c r="C576">
        <f t="shared" si="25"/>
        <v>24.409648545500723</v>
      </c>
      <c r="D576">
        <f t="shared" si="26"/>
        <v>757.50329692369121</v>
      </c>
    </row>
    <row r="577" spans="1:4" x14ac:dyDescent="0.15">
      <c r="A577">
        <v>57.500000000000007</v>
      </c>
      <c r="B577">
        <f t="shared" si="24"/>
        <v>218.87314101072934</v>
      </c>
      <c r="C577">
        <f t="shared" si="25"/>
        <v>24.135369094669347</v>
      </c>
      <c r="D577">
        <f t="shared" si="26"/>
        <v>757.99148989460127</v>
      </c>
    </row>
    <row r="578" spans="1:4" x14ac:dyDescent="0.15">
      <c r="A578">
        <v>57.6</v>
      </c>
      <c r="B578">
        <f t="shared" si="24"/>
        <v>218.6618376490012</v>
      </c>
      <c r="C578">
        <f t="shared" si="25"/>
        <v>23.863965074504101</v>
      </c>
      <c r="D578">
        <f t="shared" si="26"/>
        <v>758.47419727649469</v>
      </c>
    </row>
    <row r="579" spans="1:4" x14ac:dyDescent="0.15">
      <c r="A579">
        <v>57.7</v>
      </c>
      <c r="B579">
        <f t="shared" si="24"/>
        <v>218.4531121107299</v>
      </c>
      <c r="C579">
        <f t="shared" si="25"/>
        <v>23.595411311285325</v>
      </c>
      <c r="D579">
        <f t="shared" si="26"/>
        <v>758.95147657798475</v>
      </c>
    </row>
    <row r="580" spans="1:4" x14ac:dyDescent="0.15">
      <c r="A580">
        <v>57.800000000000004</v>
      </c>
      <c r="B580">
        <f t="shared" ref="B580:B643" si="27">B579-$G$1*B579*C579*$A$3</f>
        <v>218.24693246943059</v>
      </c>
      <c r="C580">
        <f t="shared" ref="C580:C643" si="28">C579+($G$1*B579*C579-$G$2*C579)*$A$3</f>
        <v>23.329682726358939</v>
      </c>
      <c r="D580">
        <f t="shared" ref="D580:D643" si="29">D579+$G$2*C579*$A$3</f>
        <v>759.4233848042104</v>
      </c>
    </row>
    <row r="581" spans="1:4" x14ac:dyDescent="0.15">
      <c r="A581">
        <v>57.900000000000006</v>
      </c>
      <c r="B581">
        <f t="shared" si="27"/>
        <v>218.04326720181007</v>
      </c>
      <c r="C581">
        <f t="shared" si="28"/>
        <v>23.066754339452277</v>
      </c>
      <c r="D581">
        <f t="shared" si="29"/>
        <v>759.88997845873757</v>
      </c>
    </row>
    <row r="582" spans="1:4" x14ac:dyDescent="0.15">
      <c r="A582">
        <v>58.000000000000007</v>
      </c>
      <c r="B582">
        <f t="shared" si="27"/>
        <v>217.84208518261343</v>
      </c>
      <c r="C582">
        <f t="shared" si="28"/>
        <v>22.806601271859861</v>
      </c>
      <c r="D582">
        <f t="shared" si="29"/>
        <v>760.35131354552664</v>
      </c>
    </row>
    <row r="583" spans="1:4" x14ac:dyDescent="0.15">
      <c r="A583">
        <v>58.1</v>
      </c>
      <c r="B583">
        <f t="shared" si="27"/>
        <v>217.64335567953381</v>
      </c>
      <c r="C583">
        <f t="shared" si="28"/>
        <v>22.549198749502281</v>
      </c>
      <c r="D583">
        <f t="shared" si="29"/>
        <v>760.80744557096386</v>
      </c>
    </row>
    <row r="584" spans="1:4" x14ac:dyDescent="0.15">
      <c r="A584">
        <v>58.2</v>
      </c>
      <c r="B584">
        <f t="shared" si="27"/>
        <v>217.44704834818475</v>
      </c>
      <c r="C584">
        <f t="shared" si="28"/>
        <v>22.294522105861294</v>
      </c>
      <c r="D584">
        <f t="shared" si="29"/>
        <v>761.25842954595396</v>
      </c>
    </row>
    <row r="585" spans="1:4" x14ac:dyDescent="0.15">
      <c r="A585">
        <v>58.300000000000004</v>
      </c>
      <c r="B585">
        <f t="shared" si="27"/>
        <v>217.25313322713464</v>
      </c>
      <c r="C585">
        <f t="shared" si="28"/>
        <v>22.042546784794183</v>
      </c>
      <c r="D585">
        <f t="shared" si="29"/>
        <v>761.70431998807123</v>
      </c>
    </row>
    <row r="586" spans="1:4" x14ac:dyDescent="0.15">
      <c r="A586">
        <v>58.400000000000006</v>
      </c>
      <c r="B586">
        <f t="shared" si="27"/>
        <v>217.06158073300256</v>
      </c>
      <c r="C586">
        <f t="shared" si="28"/>
        <v>21.793248343230388</v>
      </c>
      <c r="D586">
        <f t="shared" si="29"/>
        <v>762.14517092376707</v>
      </c>
    </row>
    <row r="587" spans="1:4" x14ac:dyDescent="0.15">
      <c r="A587">
        <v>58.500000000000007</v>
      </c>
      <c r="B587">
        <f t="shared" si="27"/>
        <v>216.87236165561501</v>
      </c>
      <c r="C587">
        <f t="shared" si="28"/>
        <v>21.546602453753319</v>
      </c>
      <c r="D587">
        <f t="shared" si="29"/>
        <v>762.58103589063171</v>
      </c>
    </row>
    <row r="588" spans="1:4" x14ac:dyDescent="0.15">
      <c r="A588">
        <v>58.6</v>
      </c>
      <c r="B588">
        <f t="shared" si="27"/>
        <v>216.68544715322301</v>
      </c>
      <c r="C588">
        <f t="shared" si="28"/>
        <v>21.302584907070258</v>
      </c>
      <c r="D588">
        <f t="shared" si="29"/>
        <v>763.01196793970678</v>
      </c>
    </row>
    <row r="589" spans="1:4" x14ac:dyDescent="0.15">
      <c r="A589">
        <v>58.7</v>
      </c>
      <c r="B589">
        <f t="shared" si="27"/>
        <v>216.50080874777868</v>
      </c>
      <c r="C589">
        <f t="shared" si="28"/>
        <v>21.061171614373173</v>
      </c>
      <c r="D589">
        <f t="shared" si="29"/>
        <v>763.43801963784813</v>
      </c>
    </row>
    <row r="590" spans="1:4" x14ac:dyDescent="0.15">
      <c r="A590">
        <v>58.800000000000004</v>
      </c>
      <c r="B590">
        <f t="shared" si="27"/>
        <v>216.31841832027118</v>
      </c>
      <c r="C590">
        <f t="shared" si="28"/>
        <v>20.82233860959321</v>
      </c>
      <c r="D590">
        <f t="shared" si="29"/>
        <v>763.85924307013556</v>
      </c>
    </row>
    <row r="591" spans="1:4" x14ac:dyDescent="0.15">
      <c r="A591">
        <v>58.900000000000006</v>
      </c>
      <c r="B591">
        <f t="shared" si="27"/>
        <v>216.13824810612093</v>
      </c>
      <c r="C591">
        <f t="shared" si="28"/>
        <v>20.586062051551597</v>
      </c>
      <c r="D591">
        <f t="shared" si="29"/>
        <v>764.27568984232744</v>
      </c>
    </row>
    <row r="592" spans="1:4" x14ac:dyDescent="0.15">
      <c r="A592">
        <v>59.000000000000007</v>
      </c>
      <c r="B592">
        <f t="shared" si="27"/>
        <v>215.96027069063189</v>
      </c>
      <c r="C592">
        <f t="shared" si="28"/>
        <v>20.352318226009615</v>
      </c>
      <c r="D592">
        <f t="shared" si="29"/>
        <v>764.68741108335848</v>
      </c>
    </row>
    <row r="593" spans="1:4" x14ac:dyDescent="0.15">
      <c r="A593">
        <v>59.1</v>
      </c>
      <c r="B593">
        <f t="shared" si="27"/>
        <v>215.78445900450106</v>
      </c>
      <c r="C593">
        <f t="shared" si="28"/>
        <v>20.121083547620259</v>
      </c>
      <c r="D593">
        <f t="shared" si="29"/>
        <v>765.09445744787865</v>
      </c>
    </row>
    <row r="594" spans="1:4" x14ac:dyDescent="0.15">
      <c r="A594">
        <v>59.2</v>
      </c>
      <c r="B594">
        <f t="shared" si="27"/>
        <v>215.61078631938474</v>
      </c>
      <c r="C594">
        <f t="shared" si="28"/>
        <v>19.892334561784157</v>
      </c>
      <c r="D594">
        <f t="shared" si="29"/>
        <v>765.49687911883109</v>
      </c>
    </row>
    <row r="595" spans="1:4" x14ac:dyDescent="0.15">
      <c r="A595">
        <v>59.300000000000004</v>
      </c>
      <c r="B595">
        <f t="shared" si="27"/>
        <v>215.43922624352095</v>
      </c>
      <c r="C595">
        <f t="shared" si="28"/>
        <v>19.666047946412256</v>
      </c>
      <c r="D595">
        <f t="shared" si="29"/>
        <v>765.8947258100668</v>
      </c>
    </row>
    <row r="596" spans="1:4" x14ac:dyDescent="0.15">
      <c r="A596">
        <v>59.400000000000006</v>
      </c>
      <c r="B596">
        <f t="shared" si="27"/>
        <v>215.26975271740721</v>
      </c>
      <c r="C596">
        <f t="shared" si="28"/>
        <v>19.442200513597733</v>
      </c>
      <c r="D596">
        <f t="shared" si="29"/>
        <v>766.28804676899506</v>
      </c>
    </row>
    <row r="597" spans="1:4" x14ac:dyDescent="0.15">
      <c r="A597">
        <v>59.500000000000007</v>
      </c>
      <c r="B597">
        <f t="shared" si="27"/>
        <v>215.10234000953344</v>
      </c>
      <c r="C597">
        <f t="shared" si="28"/>
        <v>19.220769211199556</v>
      </c>
      <c r="D597">
        <f t="shared" si="29"/>
        <v>766.67689077926707</v>
      </c>
    </row>
    <row r="598" spans="1:4" x14ac:dyDescent="0.15">
      <c r="A598">
        <v>59.6</v>
      </c>
      <c r="B598">
        <f t="shared" si="27"/>
        <v>214.93696271216893</v>
      </c>
      <c r="C598">
        <f t="shared" si="28"/>
        <v>19.001731124340054</v>
      </c>
      <c r="D598">
        <f t="shared" si="29"/>
        <v>767.06130616349105</v>
      </c>
    </row>
    <row r="599" spans="1:4" x14ac:dyDescent="0.15">
      <c r="A599">
        <v>59.7</v>
      </c>
      <c r="B599">
        <f t="shared" si="27"/>
        <v>214.77359573720338</v>
      </c>
      <c r="C599">
        <f t="shared" si="28"/>
        <v>18.785063476818809</v>
      </c>
      <c r="D599">
        <f t="shared" si="29"/>
        <v>767.4413407859779</v>
      </c>
    </row>
    <row r="600" spans="1:4" x14ac:dyDescent="0.15">
      <c r="A600">
        <v>59.800000000000004</v>
      </c>
      <c r="B600">
        <f t="shared" si="27"/>
        <v>214.61221431204066</v>
      </c>
      <c r="C600">
        <f t="shared" si="28"/>
        <v>18.570743632445154</v>
      </c>
      <c r="D600">
        <f t="shared" si="29"/>
        <v>767.81704205551432</v>
      </c>
    </row>
    <row r="601" spans="1:4" x14ac:dyDescent="0.15">
      <c r="A601">
        <v>59.900000000000006</v>
      </c>
      <c r="B601">
        <f t="shared" si="27"/>
        <v>214.45279397554546</v>
      </c>
      <c r="C601">
        <f t="shared" si="28"/>
        <v>18.358749096291461</v>
      </c>
      <c r="D601">
        <f t="shared" si="29"/>
        <v>768.18845692816319</v>
      </c>
    </row>
    <row r="602" spans="1:4" x14ac:dyDescent="0.15">
      <c r="A602">
        <v>60.000000000000007</v>
      </c>
      <c r="B602">
        <f t="shared" si="27"/>
        <v>214.29531057404162</v>
      </c>
      <c r="C602">
        <f t="shared" si="28"/>
        <v>18.149057515869462</v>
      </c>
      <c r="D602">
        <f t="shared" si="29"/>
        <v>768.55563191008901</v>
      </c>
    </row>
    <row r="603" spans="1:4" x14ac:dyDescent="0.15">
      <c r="A603">
        <v>60.1</v>
      </c>
      <c r="B603">
        <f t="shared" si="27"/>
        <v>214.13974025736204</v>
      </c>
      <c r="C603">
        <f t="shared" si="28"/>
        <v>17.941646682231649</v>
      </c>
      <c r="D603">
        <f t="shared" si="29"/>
        <v>768.91861306040641</v>
      </c>
    </row>
    <row r="604" spans="1:4" x14ac:dyDescent="0.15">
      <c r="A604">
        <v>60.2</v>
      </c>
      <c r="B604">
        <f t="shared" si="27"/>
        <v>213.98605947494914</v>
      </c>
      <c r="C604">
        <f t="shared" si="28"/>
        <v>17.736494530999913</v>
      </c>
      <c r="D604">
        <f t="shared" si="29"/>
        <v>769.27744599405105</v>
      </c>
    </row>
    <row r="605" spans="1:4" x14ac:dyDescent="0.15">
      <c r="A605">
        <v>60.300000000000004</v>
      </c>
      <c r="B605">
        <f t="shared" si="27"/>
        <v>213.83424497200565</v>
      </c>
      <c r="C605">
        <f t="shared" si="28"/>
        <v>17.533579143323422</v>
      </c>
      <c r="D605">
        <f t="shared" si="29"/>
        <v>769.63217588467103</v>
      </c>
    </row>
    <row r="606" spans="1:4" x14ac:dyDescent="0.15">
      <c r="A606">
        <v>60.400000000000006</v>
      </c>
      <c r="B606">
        <f t="shared" si="27"/>
        <v>213.68427378569487</v>
      </c>
      <c r="C606">
        <f t="shared" si="28"/>
        <v>17.332878746767733</v>
      </c>
      <c r="D606">
        <f t="shared" si="29"/>
        <v>769.98284746753745</v>
      </c>
    </row>
    <row r="607" spans="1:4" x14ac:dyDescent="0.15">
      <c r="A607">
        <v>60.500000000000007</v>
      </c>
      <c r="B607">
        <f t="shared" si="27"/>
        <v>213.53612324139013</v>
      </c>
      <c r="C607">
        <f t="shared" si="28"/>
        <v>17.134371716137121</v>
      </c>
      <c r="D607">
        <f t="shared" si="29"/>
        <v>770.32950504247276</v>
      </c>
    </row>
    <row r="608" spans="1:4" x14ac:dyDescent="0.15">
      <c r="A608">
        <v>60.6</v>
      </c>
      <c r="B608">
        <f t="shared" si="27"/>
        <v>213.38977094897248</v>
      </c>
      <c r="C608">
        <f t="shared" si="28"/>
        <v>16.938036574232012</v>
      </c>
      <c r="D608">
        <f t="shared" si="29"/>
        <v>770.67219247679554</v>
      </c>
    </row>
    <row r="609" spans="1:4" x14ac:dyDescent="0.15">
      <c r="A609">
        <v>60.7</v>
      </c>
      <c r="B609">
        <f t="shared" si="27"/>
        <v>213.24519479917646</v>
      </c>
      <c r="C609">
        <f t="shared" si="28"/>
        <v>16.743851992543398</v>
      </c>
      <c r="D609">
        <f t="shared" si="29"/>
        <v>771.01095320828017</v>
      </c>
    </row>
    <row r="610" spans="1:4" x14ac:dyDescent="0.15">
      <c r="A610">
        <v>60.800000000000004</v>
      </c>
      <c r="B610">
        <f t="shared" si="27"/>
        <v>213.10237295998292</v>
      </c>
      <c r="C610">
        <f t="shared" si="28"/>
        <v>16.551796791886069</v>
      </c>
      <c r="D610">
        <f t="shared" si="29"/>
        <v>771.34583024813105</v>
      </c>
    </row>
    <row r="611" spans="1:4" x14ac:dyDescent="0.15">
      <c r="A611">
        <v>60.900000000000006</v>
      </c>
      <c r="B611">
        <f t="shared" si="27"/>
        <v>212.96128387305882</v>
      </c>
      <c r="C611">
        <f t="shared" si="28"/>
        <v>16.361849942972441</v>
      </c>
      <c r="D611">
        <f t="shared" si="29"/>
        <v>771.67686618396874</v>
      </c>
    </row>
    <row r="612" spans="1:4" x14ac:dyDescent="0.15">
      <c r="A612">
        <v>61.000000000000007</v>
      </c>
      <c r="B612">
        <f t="shared" si="27"/>
        <v>212.82190625024307</v>
      </c>
      <c r="C612">
        <f t="shared" si="28"/>
        <v>16.17399056692874</v>
      </c>
      <c r="D612">
        <f t="shared" si="29"/>
        <v>772.0041031828282</v>
      </c>
    </row>
    <row r="613" spans="1:4" x14ac:dyDescent="0.15">
      <c r="A613">
        <v>61.1</v>
      </c>
      <c r="B613">
        <f t="shared" si="27"/>
        <v>212.68421907007797</v>
      </c>
      <c r="C613">
        <f t="shared" si="28"/>
        <v>15.988197935755254</v>
      </c>
      <c r="D613">
        <f t="shared" si="29"/>
        <v>772.32758299416673</v>
      </c>
    </row>
    <row r="614" spans="1:4" x14ac:dyDescent="0.15">
      <c r="A614">
        <v>61.2</v>
      </c>
      <c r="B614">
        <f t="shared" si="27"/>
        <v>212.54820157438581</v>
      </c>
      <c r="C614">
        <f t="shared" si="28"/>
        <v>15.804451472732307</v>
      </c>
      <c r="D614">
        <f t="shared" si="29"/>
        <v>772.64734695288189</v>
      </c>
    </row>
    <row r="615" spans="1:4" x14ac:dyDescent="0.15">
      <c r="A615">
        <v>61.300000000000004</v>
      </c>
      <c r="B615">
        <f t="shared" si="27"/>
        <v>212.41383326488986</v>
      </c>
      <c r="C615">
        <f t="shared" si="28"/>
        <v>15.622730752773617</v>
      </c>
      <c r="D615">
        <f t="shared" si="29"/>
        <v>772.96343598233659</v>
      </c>
    </row>
    <row r="616" spans="1:4" x14ac:dyDescent="0.15">
      <c r="A616">
        <v>61.400000000000006</v>
      </c>
      <c r="B616">
        <f t="shared" si="27"/>
        <v>212.28109389987938</v>
      </c>
      <c r="C616">
        <f t="shared" si="28"/>
        <v>15.44301550272862</v>
      </c>
      <c r="D616">
        <f t="shared" si="29"/>
        <v>773.27589059739205</v>
      </c>
    </row>
    <row r="617" spans="1:4" x14ac:dyDescent="0.15">
      <c r="A617">
        <v>61.500000000000007</v>
      </c>
      <c r="B617">
        <f t="shared" si="27"/>
        <v>212.14996349091811</v>
      </c>
      <c r="C617">
        <f t="shared" si="28"/>
        <v>15.265285601635329</v>
      </c>
      <c r="D617">
        <f t="shared" si="29"/>
        <v>773.58475090744662</v>
      </c>
    </row>
    <row r="618" spans="1:4" x14ac:dyDescent="0.15">
      <c r="A618">
        <v>61.6</v>
      </c>
      <c r="B618">
        <f t="shared" si="27"/>
        <v>212.02042229959551</v>
      </c>
      <c r="C618">
        <f t="shared" si="28"/>
        <v>15.089521080925238</v>
      </c>
      <c r="D618">
        <f t="shared" si="29"/>
        <v>773.89005661947931</v>
      </c>
    </row>
    <row r="619" spans="1:4" x14ac:dyDescent="0.15">
      <c r="A619">
        <v>61.7</v>
      </c>
      <c r="B619">
        <f t="shared" si="27"/>
        <v>211.89245083432044</v>
      </c>
      <c r="C619">
        <f t="shared" si="28"/>
        <v>14.91570212458179</v>
      </c>
      <c r="D619">
        <f t="shared" si="29"/>
        <v>774.19184704109784</v>
      </c>
    </row>
    <row r="620" spans="1:4" x14ac:dyDescent="0.15">
      <c r="A620">
        <v>61.800000000000004</v>
      </c>
      <c r="B620">
        <f t="shared" si="27"/>
        <v>211.76602984715674</v>
      </c>
      <c r="C620">
        <f t="shared" si="28"/>
        <v>14.743809069253846</v>
      </c>
      <c r="D620">
        <f t="shared" si="29"/>
        <v>774.49016108358944</v>
      </c>
    </row>
    <row r="621" spans="1:4" x14ac:dyDescent="0.15">
      <c r="A621">
        <v>61.900000000000006</v>
      </c>
      <c r="B621">
        <f t="shared" si="27"/>
        <v>211.64114033069993</v>
      </c>
      <c r="C621">
        <f t="shared" si="28"/>
        <v>14.573822404325584</v>
      </c>
      <c r="D621">
        <f t="shared" si="29"/>
        <v>774.78503726497456</v>
      </c>
    </row>
    <row r="622" spans="1:4" x14ac:dyDescent="0.15">
      <c r="A622">
        <v>62.000000000000007</v>
      </c>
      <c r="B622">
        <f t="shared" si="27"/>
        <v>211.51776351499478</v>
      </c>
      <c r="C622">
        <f t="shared" si="28"/>
        <v>14.405722771944216</v>
      </c>
      <c r="D622">
        <f t="shared" si="29"/>
        <v>775.0765137130611</v>
      </c>
    </row>
    <row r="623" spans="1:4" x14ac:dyDescent="0.15">
      <c r="A623">
        <v>62.1</v>
      </c>
      <c r="B623">
        <f t="shared" si="27"/>
        <v>211.39588086449325</v>
      </c>
      <c r="C623">
        <f t="shared" si="28"/>
        <v>14.239490967006878</v>
      </c>
      <c r="D623">
        <f t="shared" si="29"/>
        <v>775.36462816849996</v>
      </c>
    </row>
    <row r="624" spans="1:4" x14ac:dyDescent="0.15">
      <c r="A624">
        <v>62.2</v>
      </c>
      <c r="B624">
        <f t="shared" si="27"/>
        <v>211.27547407505196</v>
      </c>
      <c r="C624">
        <f t="shared" si="28"/>
        <v>14.075107937108037</v>
      </c>
      <c r="D624">
        <f t="shared" si="29"/>
        <v>775.64941798784014</v>
      </c>
    </row>
    <row r="625" spans="1:4" x14ac:dyDescent="0.15">
      <c r="A625">
        <v>62.300000000000004</v>
      </c>
      <c r="B625">
        <f t="shared" si="27"/>
        <v>211.15652507096917</v>
      </c>
      <c r="C625">
        <f t="shared" si="28"/>
        <v>13.912554782448677</v>
      </c>
      <c r="D625">
        <f t="shared" si="29"/>
        <v>775.93092014658225</v>
      </c>
    </row>
    <row r="626" spans="1:4" x14ac:dyDescent="0.15">
      <c r="A626">
        <v>62.400000000000006</v>
      </c>
      <c r="B626">
        <f t="shared" si="27"/>
        <v>211.03901600206032</v>
      </c>
      <c r="C626">
        <f t="shared" si="28"/>
        <v>13.751812755708558</v>
      </c>
      <c r="D626">
        <f t="shared" si="29"/>
        <v>776.20917124223126</v>
      </c>
    </row>
    <row r="627" spans="1:4" x14ac:dyDescent="0.15">
      <c r="A627">
        <v>62.500000000000007</v>
      </c>
      <c r="B627">
        <f t="shared" si="27"/>
        <v>210.92292924077194</v>
      </c>
      <c r="C627">
        <f t="shared" si="28"/>
        <v>13.59286326188276</v>
      </c>
      <c r="D627">
        <f t="shared" si="29"/>
        <v>776.48420749734544</v>
      </c>
    </row>
    <row r="628" spans="1:4" x14ac:dyDescent="0.15">
      <c r="A628">
        <v>62.6</v>
      </c>
      <c r="B628">
        <f t="shared" si="27"/>
        <v>210.80824737933332</v>
      </c>
      <c r="C628">
        <f t="shared" si="28"/>
        <v>13.435687858083728</v>
      </c>
      <c r="D628">
        <f t="shared" si="29"/>
        <v>776.75606476258304</v>
      </c>
    </row>
    <row r="629" spans="1:4" x14ac:dyDescent="0.15">
      <c r="A629">
        <v>62.7</v>
      </c>
      <c r="B629">
        <f t="shared" si="27"/>
        <v>210.69495322694539</v>
      </c>
      <c r="C629">
        <f t="shared" si="28"/>
        <v>13.280268253309991</v>
      </c>
      <c r="D629">
        <f t="shared" si="29"/>
        <v>777.0247785197447</v>
      </c>
    </row>
    <row r="630" spans="1:4" x14ac:dyDescent="0.15">
      <c r="A630">
        <v>62.800000000000004</v>
      </c>
      <c r="B630">
        <f t="shared" si="27"/>
        <v>210.58302980700648</v>
      </c>
      <c r="C630">
        <f t="shared" si="28"/>
        <v>13.126586308182688</v>
      </c>
      <c r="D630">
        <f t="shared" si="29"/>
        <v>777.29038388481092</v>
      </c>
    </row>
    <row r="631" spans="1:4" x14ac:dyDescent="0.15">
      <c r="A631">
        <v>62.900000000000006</v>
      </c>
      <c r="B631">
        <f t="shared" si="27"/>
        <v>210.47246035437448</v>
      </c>
      <c r="C631">
        <f t="shared" si="28"/>
        <v>12.974624034651045</v>
      </c>
      <c r="D631">
        <f t="shared" si="29"/>
        <v>777.55291561097454</v>
      </c>
    </row>
    <row r="632" spans="1:4" x14ac:dyDescent="0.15">
      <c r="A632">
        <v>63.000000000000007</v>
      </c>
      <c r="B632">
        <f t="shared" si="27"/>
        <v>210.36322831266463</v>
      </c>
      <c r="C632">
        <f t="shared" si="28"/>
        <v>12.824363595667865</v>
      </c>
      <c r="D632">
        <f t="shared" si="29"/>
        <v>777.81240809166752</v>
      </c>
    </row>
    <row r="633" spans="1:4" x14ac:dyDescent="0.15">
      <c r="A633">
        <v>63.1</v>
      </c>
      <c r="B633">
        <f t="shared" si="27"/>
        <v>210.25531733158303</v>
      </c>
      <c r="C633">
        <f t="shared" si="28"/>
        <v>12.675787304836112</v>
      </c>
      <c r="D633">
        <f t="shared" si="29"/>
        <v>778.06889536358085</v>
      </c>
    </row>
    <row r="634" spans="1:4" x14ac:dyDescent="0.15">
      <c r="A634">
        <v>63.2</v>
      </c>
      <c r="B634">
        <f t="shared" si="27"/>
        <v>210.1487112642948</v>
      </c>
      <c r="C634">
        <f t="shared" si="28"/>
        <v>12.528877626027628</v>
      </c>
      <c r="D634">
        <f t="shared" si="29"/>
        <v>778.32241110967755</v>
      </c>
    </row>
    <row r="635" spans="1:4" x14ac:dyDescent="0.15">
      <c r="A635">
        <v>63.300000000000004</v>
      </c>
      <c r="B635">
        <f t="shared" si="27"/>
        <v>210.04339416482691</v>
      </c>
      <c r="C635">
        <f t="shared" si="28"/>
        <v>12.383617172974986</v>
      </c>
      <c r="D635">
        <f t="shared" si="29"/>
        <v>778.5729886621981</v>
      </c>
    </row>
    <row r="636" spans="1:4" x14ac:dyDescent="0.15">
      <c r="A636">
        <v>63.400000000000006</v>
      </c>
      <c r="B636">
        <f t="shared" si="27"/>
        <v>209.93935028550493</v>
      </c>
      <c r="C636">
        <f t="shared" si="28"/>
        <v>12.239988708837467</v>
      </c>
      <c r="D636">
        <f t="shared" si="29"/>
        <v>778.8206610056576</v>
      </c>
    </row>
    <row r="637" spans="1:4" x14ac:dyDescent="0.15">
      <c r="A637">
        <v>63.500000000000007</v>
      </c>
      <c r="B637">
        <f t="shared" si="27"/>
        <v>209.83656407442351</v>
      </c>
      <c r="C637">
        <f t="shared" si="28"/>
        <v>12.097975145742128</v>
      </c>
      <c r="D637">
        <f t="shared" si="29"/>
        <v>779.06546077983432</v>
      </c>
    </row>
    <row r="638" spans="1:4" x14ac:dyDescent="0.15">
      <c r="A638">
        <v>63.6</v>
      </c>
      <c r="B638">
        <f t="shared" si="27"/>
        <v>209.7350201729499</v>
      </c>
      <c r="C638">
        <f t="shared" si="28"/>
        <v>11.957559544300898</v>
      </c>
      <c r="D638">
        <f t="shared" si="29"/>
        <v>779.30742028274915</v>
      </c>
    </row>
    <row r="639" spans="1:4" x14ac:dyDescent="0.15">
      <c r="A639">
        <v>63.7</v>
      </c>
      <c r="B639">
        <f t="shared" si="27"/>
        <v>209.63470341326018</v>
      </c>
      <c r="C639">
        <f t="shared" si="28"/>
        <v>11.818725113104607</v>
      </c>
      <c r="D639">
        <f t="shared" si="29"/>
        <v>779.54657147363514</v>
      </c>
    </row>
    <row r="640" spans="1:4" x14ac:dyDescent="0.15">
      <c r="A640">
        <v>63.800000000000004</v>
      </c>
      <c r="B640">
        <f t="shared" si="27"/>
        <v>209.53559881590783</v>
      </c>
      <c r="C640">
        <f t="shared" si="28"/>
        <v>11.681455208194857</v>
      </c>
      <c r="D640">
        <f t="shared" si="29"/>
        <v>779.78294597589718</v>
      </c>
    </row>
    <row r="641" spans="1:4" x14ac:dyDescent="0.15">
      <c r="A641">
        <v>63.900000000000006</v>
      </c>
      <c r="B641">
        <f t="shared" si="27"/>
        <v>209.43769158742421</v>
      </c>
      <c r="C641">
        <f t="shared" si="28"/>
        <v>11.545733332514573</v>
      </c>
      <c r="D641">
        <f t="shared" si="29"/>
        <v>780.0165750800611</v>
      </c>
    </row>
    <row r="642" spans="1:4" x14ac:dyDescent="0.15">
      <c r="A642">
        <v>64</v>
      </c>
      <c r="B642">
        <f t="shared" si="27"/>
        <v>209.34096711795038</v>
      </c>
      <c r="C642">
        <f t="shared" si="28"/>
        <v>11.411543135338114</v>
      </c>
      <c r="D642">
        <f t="shared" si="29"/>
        <v>780.24748974671138</v>
      </c>
    </row>
    <row r="643" spans="1:4" x14ac:dyDescent="0.15">
      <c r="A643">
        <v>64.099999999999994</v>
      </c>
      <c r="B643">
        <f t="shared" si="27"/>
        <v>209.2454109789</v>
      </c>
      <c r="C643">
        <f t="shared" si="28"/>
        <v>11.278868411681747</v>
      </c>
      <c r="D643">
        <f t="shared" si="29"/>
        <v>780.47572060941809</v>
      </c>
    </row>
    <row r="644" spans="1:4" x14ac:dyDescent="0.15">
      <c r="A644">
        <v>64.2</v>
      </c>
      <c r="B644">
        <f t="shared" ref="B644:B707" si="30">B643-$G$1*B643*C643*$A$3</f>
        <v>209.15100892065283</v>
      </c>
      <c r="C644">
        <f t="shared" ref="C644:C707" si="31">C643+($G$1*B643*C643-$G$2*C643)*$A$3</f>
        <v>11.147693101695284</v>
      </c>
      <c r="D644">
        <f t="shared" ref="D644:D707" si="32">D643+$G$2*C643*$A$3</f>
        <v>780.70129797765173</v>
      </c>
    </row>
    <row r="645" spans="1:4" x14ac:dyDescent="0.15">
      <c r="A645">
        <v>64.3</v>
      </c>
      <c r="B645">
        <f t="shared" si="30"/>
        <v>209.05774687027852</v>
      </c>
      <c r="C645">
        <f t="shared" si="31"/>
        <v>11.018001290035674</v>
      </c>
      <c r="D645">
        <f t="shared" si="32"/>
        <v>780.92425183968567</v>
      </c>
    </row>
    <row r="646" spans="1:4" x14ac:dyDescent="0.15">
      <c r="A646">
        <v>64.399999999999991</v>
      </c>
      <c r="B646">
        <f t="shared" si="30"/>
        <v>208.96561092929016</v>
      </c>
      <c r="C646">
        <f t="shared" si="31"/>
        <v>10.889777205223307</v>
      </c>
      <c r="D646">
        <f t="shared" si="32"/>
        <v>781.14461186548635</v>
      </c>
    </row>
    <row r="647" spans="1:4" x14ac:dyDescent="0.15">
      <c r="A647">
        <v>64.5</v>
      </c>
      <c r="B647">
        <f t="shared" si="30"/>
        <v>208.87458737142722</v>
      </c>
      <c r="C647">
        <f t="shared" si="31"/>
        <v>10.763005218981775</v>
      </c>
      <c r="D647">
        <f t="shared" si="32"/>
        <v>781.36240740959079</v>
      </c>
    </row>
    <row r="648" spans="1:4" x14ac:dyDescent="0.15">
      <c r="A648">
        <v>64.599999999999994</v>
      </c>
      <c r="B648">
        <f t="shared" si="30"/>
        <v>208.78466264046756</v>
      </c>
      <c r="C648">
        <f t="shared" si="31"/>
        <v>10.637669845561792</v>
      </c>
      <c r="D648">
        <f t="shared" si="32"/>
        <v>781.57766751397037</v>
      </c>
    </row>
    <row r="649" spans="1:4" x14ac:dyDescent="0.15">
      <c r="A649">
        <v>64.7</v>
      </c>
      <c r="B649">
        <f t="shared" si="30"/>
        <v>208.6958233480681</v>
      </c>
      <c r="C649">
        <f t="shared" si="31"/>
        <v>10.513755741050009</v>
      </c>
      <c r="D649">
        <f t="shared" si="32"/>
        <v>781.79042091088161</v>
      </c>
    </row>
    <row r="650" spans="1:4" x14ac:dyDescent="0.15">
      <c r="A650">
        <v>64.8</v>
      </c>
      <c r="B650">
        <f t="shared" si="30"/>
        <v>208.60805627163376</v>
      </c>
      <c r="C650">
        <f t="shared" si="31"/>
        <v>10.391247702663366</v>
      </c>
      <c r="D650">
        <f t="shared" si="32"/>
        <v>782.00069602570261</v>
      </c>
    </row>
    <row r="651" spans="1:4" x14ac:dyDescent="0.15">
      <c r="A651">
        <v>64.899999999999991</v>
      </c>
      <c r="B651">
        <f t="shared" si="30"/>
        <v>208.52134835221418</v>
      </c>
      <c r="C651">
        <f t="shared" si="31"/>
        <v>10.270130668029685</v>
      </c>
      <c r="D651">
        <f t="shared" si="32"/>
        <v>782.20852097975592</v>
      </c>
    </row>
    <row r="652" spans="1:4" x14ac:dyDescent="0.15">
      <c r="A652">
        <v>65</v>
      </c>
      <c r="B652">
        <f t="shared" si="30"/>
        <v>208.43568669242813</v>
      </c>
      <c r="C652">
        <f t="shared" si="31"/>
        <v>10.15038971445513</v>
      </c>
      <c r="D652">
        <f t="shared" si="32"/>
        <v>782.41392359311646</v>
      </c>
    </row>
    <row r="653" spans="1:4" x14ac:dyDescent="0.15">
      <c r="A653">
        <v>65.099999999999994</v>
      </c>
      <c r="B653">
        <f t="shared" si="30"/>
        <v>208.351058554415</v>
      </c>
      <c r="C653">
        <f t="shared" si="31"/>
        <v>10.032010058179157</v>
      </c>
      <c r="D653">
        <f t="shared" si="32"/>
        <v>782.61693138740554</v>
      </c>
    </row>
    <row r="654" spans="1:4" x14ac:dyDescent="0.15">
      <c r="A654">
        <v>65.2</v>
      </c>
      <c r="B654">
        <f t="shared" si="30"/>
        <v>208.267451357813</v>
      </c>
      <c r="C654">
        <f t="shared" si="31"/>
        <v>9.9149770536175801</v>
      </c>
      <c r="D654">
        <f t="shared" si="32"/>
        <v>782.81757158856908</v>
      </c>
    </row>
    <row r="655" spans="1:4" x14ac:dyDescent="0.15">
      <c r="A655">
        <v>65.3</v>
      </c>
      <c r="B655">
        <f t="shared" si="30"/>
        <v>208.18485267776387</v>
      </c>
      <c r="C655">
        <f t="shared" si="31"/>
        <v>9.7992761925943537</v>
      </c>
      <c r="D655">
        <f t="shared" si="32"/>
        <v>783.01587112964148</v>
      </c>
    </row>
    <row r="656" spans="1:4" x14ac:dyDescent="0.15">
      <c r="A656">
        <v>65.399999999999991</v>
      </c>
      <c r="B656">
        <f t="shared" si="30"/>
        <v>208.10325024294372</v>
      </c>
      <c r="C656">
        <f t="shared" si="31"/>
        <v>9.6848931035626258</v>
      </c>
      <c r="D656">
        <f t="shared" si="32"/>
        <v>783.21185665349333</v>
      </c>
    </row>
    <row r="657" spans="1:4" x14ac:dyDescent="0.15">
      <c r="A657">
        <v>65.5</v>
      </c>
      <c r="B657">
        <f t="shared" si="30"/>
        <v>208.02263193361944</v>
      </c>
      <c r="C657">
        <f t="shared" si="31"/>
        <v>9.5718135508156479</v>
      </c>
      <c r="D657">
        <f t="shared" si="32"/>
        <v>783.40555451556463</v>
      </c>
    </row>
    <row r="658" spans="1:4" x14ac:dyDescent="0.15">
      <c r="A658">
        <v>65.599999999999994</v>
      </c>
      <c r="B658">
        <f t="shared" si="30"/>
        <v>207.94298577973069</v>
      </c>
      <c r="C658">
        <f t="shared" si="31"/>
        <v>9.4600234336880771</v>
      </c>
      <c r="D658">
        <f t="shared" si="32"/>
        <v>783.59699078658093</v>
      </c>
    </row>
    <row r="659" spans="1:4" x14ac:dyDescent="0.15">
      <c r="A659">
        <v>65.7</v>
      </c>
      <c r="B659">
        <f t="shared" si="30"/>
        <v>207.86429995899681</v>
      </c>
      <c r="C659">
        <f t="shared" si="31"/>
        <v>9.349508785748208</v>
      </c>
      <c r="D659">
        <f t="shared" si="32"/>
        <v>783.78619125525472</v>
      </c>
    </row>
    <row r="660" spans="1:4" x14ac:dyDescent="0.15">
      <c r="A660">
        <v>65.8</v>
      </c>
      <c r="B660">
        <f t="shared" si="30"/>
        <v>207.78656279504841</v>
      </c>
      <c r="C660">
        <f t="shared" si="31"/>
        <v>9.2402557739816462</v>
      </c>
      <c r="D660">
        <f t="shared" si="32"/>
        <v>783.9731814309697</v>
      </c>
    </row>
    <row r="661" spans="1:4" x14ac:dyDescent="0.15">
      <c r="A661">
        <v>65.899999999999991</v>
      </c>
      <c r="B661">
        <f t="shared" si="30"/>
        <v>207.70976275558351</v>
      </c>
      <c r="C661">
        <f t="shared" si="31"/>
        <v>9.1322506979669225</v>
      </c>
      <c r="D661">
        <f t="shared" si="32"/>
        <v>784.15798654644937</v>
      </c>
    </row>
    <row r="662" spans="1:4" x14ac:dyDescent="0.15">
      <c r="A662">
        <v>66</v>
      </c>
      <c r="B662">
        <f t="shared" si="30"/>
        <v>207.63388845054754</v>
      </c>
      <c r="C662">
        <f t="shared" si="31"/>
        <v>9.0254799890435535</v>
      </c>
      <c r="D662">
        <f t="shared" si="32"/>
        <v>784.34063156040872</v>
      </c>
    </row>
    <row r="663" spans="1:4" x14ac:dyDescent="0.15">
      <c r="A663">
        <v>66.099999999999994</v>
      </c>
      <c r="B663">
        <f t="shared" si="30"/>
        <v>207.55892863033725</v>
      </c>
      <c r="C663">
        <f t="shared" si="31"/>
        <v>8.9199302094729909</v>
      </c>
      <c r="D663">
        <f t="shared" si="32"/>
        <v>784.52114116018959</v>
      </c>
    </row>
    <row r="664" spans="1:4" x14ac:dyDescent="0.15">
      <c r="A664">
        <v>66.2</v>
      </c>
      <c r="B664">
        <f t="shared" si="30"/>
        <v>207.48487218402784</v>
      </c>
      <c r="C664">
        <f t="shared" si="31"/>
        <v>8.8155880515929539</v>
      </c>
      <c r="D664">
        <f t="shared" si="32"/>
        <v>784.6995397643791</v>
      </c>
    </row>
    <row r="665" spans="1:4" x14ac:dyDescent="0.15">
      <c r="A665">
        <v>66.3</v>
      </c>
      <c r="B665">
        <f t="shared" si="30"/>
        <v>207.41170813762335</v>
      </c>
      <c r="C665">
        <f t="shared" si="31"/>
        <v>8.7124403369655674</v>
      </c>
      <c r="D665">
        <f t="shared" si="32"/>
        <v>784.87585152541101</v>
      </c>
    </row>
    <row r="666" spans="1:4" x14ac:dyDescent="0.15">
      <c r="A666">
        <v>66.399999999999991</v>
      </c>
      <c r="B666">
        <f t="shared" si="30"/>
        <v>207.33942565232985</v>
      </c>
      <c r="C666">
        <f t="shared" si="31"/>
        <v>8.6104740155197419</v>
      </c>
      <c r="D666">
        <f t="shared" si="32"/>
        <v>785.05010033215035</v>
      </c>
    </row>
    <row r="667" spans="1:4" x14ac:dyDescent="0.15">
      <c r="A667">
        <v>66.5</v>
      </c>
      <c r="B667">
        <f t="shared" si="30"/>
        <v>207.26801402285096</v>
      </c>
      <c r="C667">
        <f t="shared" si="31"/>
        <v>8.5096761646882335</v>
      </c>
      <c r="D667">
        <f t="shared" si="32"/>
        <v>785.22230981246071</v>
      </c>
    </row>
    <row r="668" spans="1:4" x14ac:dyDescent="0.15">
      <c r="A668">
        <v>66.599999999999994</v>
      </c>
      <c r="B668">
        <f t="shared" si="30"/>
        <v>207.19746267570565</v>
      </c>
      <c r="C668">
        <f t="shared" si="31"/>
        <v>8.4100339885397695</v>
      </c>
      <c r="D668">
        <f t="shared" si="32"/>
        <v>785.39250333575444</v>
      </c>
    </row>
    <row r="669" spans="1:4" x14ac:dyDescent="0.15">
      <c r="A669">
        <v>66.7</v>
      </c>
      <c r="B669">
        <f t="shared" si="30"/>
        <v>207.12776116756797</v>
      </c>
      <c r="C669">
        <f t="shared" si="31"/>
        <v>8.311534816906649</v>
      </c>
      <c r="D669">
        <f t="shared" si="32"/>
        <v>785.56070401552529</v>
      </c>
    </row>
    <row r="670" spans="1:4" x14ac:dyDescent="0.15">
      <c r="A670">
        <v>66.8</v>
      </c>
      <c r="B670">
        <f t="shared" si="30"/>
        <v>207.05889918362828</v>
      </c>
      <c r="C670">
        <f t="shared" si="31"/>
        <v>8.2141661045082017</v>
      </c>
      <c r="D670">
        <f t="shared" si="32"/>
        <v>785.72693471186346</v>
      </c>
    </row>
    <row r="671" spans="1:4" x14ac:dyDescent="0.15">
      <c r="A671">
        <v>66.899999999999991</v>
      </c>
      <c r="B671">
        <f t="shared" si="30"/>
        <v>206.99086653597584</v>
      </c>
      <c r="C671">
        <f t="shared" si="31"/>
        <v>8.1179154300704752</v>
      </c>
      <c r="D671">
        <f t="shared" si="32"/>
        <v>785.89121803395358</v>
      </c>
    </row>
    <row r="672" spans="1:4" x14ac:dyDescent="0.15">
      <c r="A672">
        <v>67</v>
      </c>
      <c r="B672">
        <f t="shared" si="30"/>
        <v>206.92365316200241</v>
      </c>
      <c r="C672">
        <f t="shared" si="31"/>
        <v>8.0227704954425079</v>
      </c>
      <c r="D672">
        <f t="shared" si="32"/>
        <v>786.05357634255495</v>
      </c>
    </row>
    <row r="673" spans="1:4" x14ac:dyDescent="0.15">
      <c r="A673">
        <v>67.099999999999994</v>
      </c>
      <c r="B673">
        <f t="shared" si="30"/>
        <v>206.85724912282652</v>
      </c>
      <c r="C673">
        <f t="shared" si="31"/>
        <v>7.9287191247095494</v>
      </c>
      <c r="D673">
        <f t="shared" si="32"/>
        <v>786.21403175246382</v>
      </c>
    </row>
    <row r="674" spans="1:4" x14ac:dyDescent="0.15">
      <c r="A674">
        <v>67.2</v>
      </c>
      <c r="B674">
        <f t="shared" si="30"/>
        <v>206.79164460173831</v>
      </c>
      <c r="C674">
        <f t="shared" si="31"/>
        <v>7.8357492633035566</v>
      </c>
      <c r="D674">
        <f t="shared" si="32"/>
        <v>786.372606134958</v>
      </c>
    </row>
    <row r="675" spans="1:4" x14ac:dyDescent="0.15">
      <c r="A675">
        <v>67.3</v>
      </c>
      <c r="B675">
        <f t="shared" si="30"/>
        <v>206.72682990266449</v>
      </c>
      <c r="C675">
        <f t="shared" si="31"/>
        <v>7.7438489771113019</v>
      </c>
      <c r="D675">
        <f t="shared" si="32"/>
        <v>786.52932112022404</v>
      </c>
    </row>
    <row r="676" spans="1:4" x14ac:dyDescent="0.15">
      <c r="A676">
        <v>67.399999999999991</v>
      </c>
      <c r="B676">
        <f t="shared" si="30"/>
        <v>206.66279544865316</v>
      </c>
      <c r="C676">
        <f t="shared" si="31"/>
        <v>7.6530064515804046</v>
      </c>
      <c r="D676">
        <f t="shared" si="32"/>
        <v>786.68419809976626</v>
      </c>
    </row>
    <row r="677" spans="1:4" x14ac:dyDescent="0.15">
      <c r="A677">
        <v>67.5</v>
      </c>
      <c r="B677">
        <f t="shared" si="30"/>
        <v>206.59953178037836</v>
      </c>
      <c r="C677">
        <f t="shared" si="31"/>
        <v>7.5632099908236041</v>
      </c>
      <c r="D677">
        <f t="shared" si="32"/>
        <v>786.83725822879785</v>
      </c>
    </row>
    <row r="678" spans="1:4" x14ac:dyDescent="0.15">
      <c r="A678">
        <v>67.599999999999994</v>
      </c>
      <c r="B678">
        <f t="shared" si="30"/>
        <v>206.53702955466392</v>
      </c>
      <c r="C678">
        <f t="shared" si="31"/>
        <v>7.4744480167215652</v>
      </c>
      <c r="D678">
        <f t="shared" si="32"/>
        <v>786.98852242861437</v>
      </c>
    </row>
    <row r="679" spans="1:4" x14ac:dyDescent="0.15">
      <c r="A679">
        <v>67.7</v>
      </c>
      <c r="B679">
        <f t="shared" si="30"/>
        <v>206.47527954302655</v>
      </c>
      <c r="C679">
        <f t="shared" si="31"/>
        <v>7.3867090680245111</v>
      </c>
      <c r="D679">
        <f t="shared" si="32"/>
        <v>787.13801138894883</v>
      </c>
    </row>
    <row r="680" spans="1:4" x14ac:dyDescent="0.15">
      <c r="A680">
        <v>67.8</v>
      </c>
      <c r="B680">
        <f t="shared" si="30"/>
        <v>206.4142726302376</v>
      </c>
      <c r="C680">
        <f t="shared" si="31"/>
        <v>7.2999817994529561</v>
      </c>
      <c r="D680">
        <f t="shared" si="32"/>
        <v>787.28574557030936</v>
      </c>
    </row>
    <row r="681" spans="1:4" x14ac:dyDescent="0.15">
      <c r="A681">
        <v>67.899999999999991</v>
      </c>
      <c r="B681">
        <f t="shared" si="30"/>
        <v>206.35399981290368</v>
      </c>
      <c r="C681">
        <f t="shared" si="31"/>
        <v>7.2142549807978193</v>
      </c>
      <c r="D681">
        <f t="shared" si="32"/>
        <v>787.43174520629839</v>
      </c>
    </row>
    <row r="682" spans="1:4" x14ac:dyDescent="0.15">
      <c r="A682">
        <v>68</v>
      </c>
      <c r="B682">
        <f t="shared" si="30"/>
        <v>206.29445219806536</v>
      </c>
      <c r="C682">
        <f t="shared" si="31"/>
        <v>7.129517496020175</v>
      </c>
      <c r="D682">
        <f t="shared" si="32"/>
        <v>787.5760303059144</v>
      </c>
    </row>
    <row r="683" spans="1:4" x14ac:dyDescent="0.15">
      <c r="A683">
        <v>68.099999999999994</v>
      </c>
      <c r="B683">
        <f t="shared" si="30"/>
        <v>206.23562100181422</v>
      </c>
      <c r="C683">
        <f t="shared" si="31"/>
        <v>7.0457583423508918</v>
      </c>
      <c r="D683">
        <f t="shared" si="32"/>
        <v>787.7186206558348</v>
      </c>
    </row>
    <row r="684" spans="1:4" x14ac:dyDescent="0.15">
      <c r="A684">
        <v>68.2</v>
      </c>
      <c r="B684">
        <f t="shared" si="30"/>
        <v>206.17749754792769</v>
      </c>
      <c r="C684">
        <f t="shared" si="31"/>
        <v>6.9629666293904116</v>
      </c>
      <c r="D684">
        <f t="shared" si="32"/>
        <v>787.85953582268178</v>
      </c>
    </row>
    <row r="685" spans="1:4" x14ac:dyDescent="0.15">
      <c r="A685">
        <v>68.3</v>
      </c>
      <c r="B685">
        <f t="shared" si="30"/>
        <v>206.12007326652139</v>
      </c>
      <c r="C685">
        <f t="shared" si="31"/>
        <v>6.8811315782089011</v>
      </c>
      <c r="D685">
        <f t="shared" si="32"/>
        <v>787.99879515526959</v>
      </c>
    </row>
    <row r="686" spans="1:4" x14ac:dyDescent="0.15">
      <c r="A686">
        <v>68.399999999999991</v>
      </c>
      <c r="B686">
        <f t="shared" si="30"/>
        <v>206.0633396927191</v>
      </c>
      <c r="C686">
        <f t="shared" si="31"/>
        <v>6.8002425204470027</v>
      </c>
      <c r="D686">
        <f t="shared" si="32"/>
        <v>788.13641778683382</v>
      </c>
    </row>
    <row r="687" spans="1:4" x14ac:dyDescent="0.15">
      <c r="A687">
        <v>68.5</v>
      </c>
      <c r="B687">
        <f t="shared" si="30"/>
        <v>206.00728846533974</v>
      </c>
      <c r="C687">
        <f t="shared" si="31"/>
        <v>6.7202888974174124</v>
      </c>
      <c r="D687">
        <f t="shared" si="32"/>
        <v>788.27242263724281</v>
      </c>
    </row>
    <row r="688" spans="1:4" x14ac:dyDescent="0.15">
      <c r="A688">
        <v>68.599999999999994</v>
      </c>
      <c r="B688">
        <f t="shared" si="30"/>
        <v>205.95191132560132</v>
      </c>
      <c r="C688">
        <f t="shared" si="31"/>
        <v>6.6412602592074919</v>
      </c>
      <c r="D688">
        <f t="shared" si="32"/>
        <v>788.40682841519117</v>
      </c>
    </row>
    <row r="689" spans="1:4" x14ac:dyDescent="0.15">
      <c r="A689">
        <v>68.7</v>
      </c>
      <c r="B689">
        <f t="shared" si="30"/>
        <v>205.89720011584154</v>
      </c>
      <c r="C689">
        <f t="shared" si="31"/>
        <v>6.5631462637831239</v>
      </c>
      <c r="D689">
        <f t="shared" si="32"/>
        <v>788.53965362037536</v>
      </c>
    </row>
    <row r="690" spans="1:4" x14ac:dyDescent="0.15">
      <c r="A690">
        <v>68.8</v>
      </c>
      <c r="B690">
        <f t="shared" si="30"/>
        <v>205.843146778255</v>
      </c>
      <c r="C690">
        <f t="shared" si="31"/>
        <v>6.4859366760940089</v>
      </c>
      <c r="D690">
        <f t="shared" si="32"/>
        <v>788.67091654565104</v>
      </c>
    </row>
    <row r="691" spans="1:4" x14ac:dyDescent="0.15">
      <c r="A691">
        <v>68.899999999999991</v>
      </c>
      <c r="B691">
        <f t="shared" si="30"/>
        <v>205.78974335364654</v>
      </c>
      <c r="C691">
        <f t="shared" si="31"/>
        <v>6.4096213671805966</v>
      </c>
      <c r="D691">
        <f t="shared" si="32"/>
        <v>788.80063527917287</v>
      </c>
    </row>
    <row r="692" spans="1:4" x14ac:dyDescent="0.15">
      <c r="A692">
        <v>69</v>
      </c>
      <c r="B692">
        <f t="shared" si="30"/>
        <v>205.73698198020071</v>
      </c>
      <c r="C692">
        <f t="shared" si="31"/>
        <v>6.3341903132828303</v>
      </c>
      <c r="D692">
        <f t="shared" si="32"/>
        <v>788.92882770651647</v>
      </c>
    </row>
    <row r="693" spans="1:4" x14ac:dyDescent="0.15">
      <c r="A693">
        <v>69.099999999999994</v>
      </c>
      <c r="B693">
        <f t="shared" si="30"/>
        <v>205.684854892267</v>
      </c>
      <c r="C693">
        <f t="shared" si="31"/>
        <v>6.2596335949508948</v>
      </c>
      <c r="D693">
        <f t="shared" si="32"/>
        <v>789.05551151278212</v>
      </c>
    </row>
    <row r="694" spans="1:4" x14ac:dyDescent="0.15">
      <c r="A694">
        <v>69.2</v>
      </c>
      <c r="B694">
        <f t="shared" si="30"/>
        <v>205.63335441916075</v>
      </c>
      <c r="C694">
        <f t="shared" si="31"/>
        <v>6.1859413961581264</v>
      </c>
      <c r="D694">
        <f t="shared" si="32"/>
        <v>789.18070418468119</v>
      </c>
    </row>
    <row r="695" spans="1:4" x14ac:dyDescent="0.15">
      <c r="A695">
        <v>69.3</v>
      </c>
      <c r="B695">
        <f t="shared" si="30"/>
        <v>205.58247298397947</v>
      </c>
      <c r="C695">
        <f t="shared" si="31"/>
        <v>6.1131040034162574</v>
      </c>
      <c r="D695">
        <f t="shared" si="32"/>
        <v>789.30442301260439</v>
      </c>
    </row>
    <row r="696" spans="1:4" x14ac:dyDescent="0.15">
      <c r="A696">
        <v>69.399999999999991</v>
      </c>
      <c r="B696">
        <f t="shared" si="30"/>
        <v>205.53220310243424</v>
      </c>
      <c r="C696">
        <f t="shared" si="31"/>
        <v>6.0411118048931556</v>
      </c>
      <c r="D696">
        <f t="shared" si="32"/>
        <v>789.42668509267276</v>
      </c>
    </row>
    <row r="697" spans="1:4" x14ac:dyDescent="0.15">
      <c r="A697">
        <v>69.5</v>
      </c>
      <c r="B697">
        <f t="shared" si="30"/>
        <v>205.48253738169632</v>
      </c>
      <c r="C697">
        <f t="shared" si="31"/>
        <v>5.9699552895332051</v>
      </c>
      <c r="D697">
        <f t="shared" si="32"/>
        <v>789.54750732877062</v>
      </c>
    </row>
    <row r="698" spans="1:4" x14ac:dyDescent="0.15">
      <c r="A698">
        <v>69.599999999999994</v>
      </c>
      <c r="B698">
        <f t="shared" si="30"/>
        <v>205.43346851925838</v>
      </c>
      <c r="C698">
        <f t="shared" si="31"/>
        <v>5.8996250461804838</v>
      </c>
      <c r="D698">
        <f t="shared" si="32"/>
        <v>789.66690643456127</v>
      </c>
    </row>
    <row r="699" spans="1:4" x14ac:dyDescent="0.15">
      <c r="A699">
        <v>69.7</v>
      </c>
      <c r="B699">
        <f t="shared" si="30"/>
        <v>205.38498930181038</v>
      </c>
      <c r="C699">
        <f t="shared" si="31"/>
        <v>5.8301117627048722</v>
      </c>
      <c r="D699">
        <f t="shared" si="32"/>
        <v>789.78489893548488</v>
      </c>
    </row>
    <row r="700" spans="1:4" x14ac:dyDescent="0.15">
      <c r="A700">
        <v>69.8</v>
      </c>
      <c r="B700">
        <f t="shared" si="30"/>
        <v>205.33709260412991</v>
      </c>
      <c r="C700">
        <f t="shared" si="31"/>
        <v>5.7614062251312346</v>
      </c>
      <c r="D700">
        <f t="shared" si="32"/>
        <v>789.90150117073892</v>
      </c>
    </row>
    <row r="701" spans="1:4" x14ac:dyDescent="0.15">
      <c r="A701">
        <v>69.899999999999991</v>
      </c>
      <c r="B701">
        <f t="shared" si="30"/>
        <v>205.28977138798672</v>
      </c>
      <c r="C701">
        <f t="shared" si="31"/>
        <v>5.6934993167718009</v>
      </c>
      <c r="D701">
        <f t="shared" si="32"/>
        <v>790.01672929524159</v>
      </c>
    </row>
    <row r="702" spans="1:4" x14ac:dyDescent="0.15">
      <c r="A702">
        <v>70</v>
      </c>
      <c r="B702">
        <f t="shared" si="30"/>
        <v>205.2430187010612</v>
      </c>
      <c r="C702">
        <f t="shared" si="31"/>
        <v>5.6263820173618742</v>
      </c>
      <c r="D702">
        <f t="shared" si="32"/>
        <v>790.13059928157702</v>
      </c>
    </row>
    <row r="703" spans="1:4" x14ac:dyDescent="0.15">
      <c r="A703">
        <v>70.099999999999994</v>
      </c>
      <c r="B703">
        <f t="shared" si="30"/>
        <v>205.19682767587685</v>
      </c>
      <c r="C703">
        <f t="shared" si="31"/>
        <v>5.5600454021989858</v>
      </c>
      <c r="D703">
        <f t="shared" si="32"/>
        <v>790.24312692192427</v>
      </c>
    </row>
    <row r="704" spans="1:4" x14ac:dyDescent="0.15">
      <c r="A704">
        <v>70.2</v>
      </c>
      <c r="B704">
        <f t="shared" si="30"/>
        <v>205.15119152874624</v>
      </c>
      <c r="C704">
        <f t="shared" si="31"/>
        <v>5.4944806412856089</v>
      </c>
      <c r="D704">
        <f t="shared" si="32"/>
        <v>790.35432782996827</v>
      </c>
    </row>
    <row r="705" spans="1:4" x14ac:dyDescent="0.15">
      <c r="A705">
        <v>70.3</v>
      </c>
      <c r="B705">
        <f t="shared" si="30"/>
        <v>205.10610355873058</v>
      </c>
      <c r="C705">
        <f t="shared" si="31"/>
        <v>5.429678998475552</v>
      </c>
      <c r="D705">
        <f t="shared" si="32"/>
        <v>790.46421744279394</v>
      </c>
    </row>
    <row r="706" spans="1:4" x14ac:dyDescent="0.15">
      <c r="A706">
        <v>70.399999999999991</v>
      </c>
      <c r="B706">
        <f t="shared" si="30"/>
        <v>205.0615571466125</v>
      </c>
      <c r="C706">
        <f t="shared" si="31"/>
        <v>5.3656318306241202</v>
      </c>
      <c r="D706">
        <f t="shared" si="32"/>
        <v>790.5728110227634</v>
      </c>
    </row>
    <row r="707" spans="1:4" x14ac:dyDescent="0.15">
      <c r="A707">
        <v>70.5</v>
      </c>
      <c r="B707">
        <f t="shared" si="30"/>
        <v>205.01754575388196</v>
      </c>
      <c r="C707">
        <f t="shared" si="31"/>
        <v>5.3023305867421664</v>
      </c>
      <c r="D707">
        <f t="shared" si="32"/>
        <v>790.68012365937591</v>
      </c>
    </row>
    <row r="708" spans="1:4" x14ac:dyDescent="0.15">
      <c r="A708">
        <v>70.599999999999994</v>
      </c>
      <c r="B708">
        <f t="shared" ref="B708:B771" si="33">B707-$G$1*B707*C707*$A$3</f>
        <v>204.97406292173517</v>
      </c>
      <c r="C708">
        <f t="shared" ref="C708:C771" si="34">C707+($G$1*B707*C707-$G$2*C707)*$A$3</f>
        <v>5.2397668071541075</v>
      </c>
      <c r="D708">
        <f t="shared" ref="D708:D771" si="35">D707+$G$2*C707*$A$3</f>
        <v>790.78617027111079</v>
      </c>
    </row>
    <row r="709" spans="1:4" x14ac:dyDescent="0.15">
      <c r="A709">
        <v>70.7</v>
      </c>
      <c r="B709">
        <f t="shared" si="33"/>
        <v>204.93110227008617</v>
      </c>
      <c r="C709">
        <f t="shared" si="34"/>
        <v>5.1779321226600183</v>
      </c>
      <c r="D709">
        <f t="shared" si="35"/>
        <v>790.89096560725386</v>
      </c>
    </row>
    <row r="710" spans="1:4" x14ac:dyDescent="0.15">
      <c r="A710">
        <v>70.8</v>
      </c>
      <c r="B710">
        <f t="shared" si="33"/>
        <v>204.88865749659112</v>
      </c>
      <c r="C710">
        <f t="shared" si="34"/>
        <v>5.116818253701874</v>
      </c>
      <c r="D710">
        <f t="shared" si="35"/>
        <v>790.99452424970707</v>
      </c>
    </row>
    <row r="711" spans="1:4" x14ac:dyDescent="0.15">
      <c r="A711">
        <v>70.899999999999991</v>
      </c>
      <c r="B711">
        <f t="shared" si="33"/>
        <v>204.84672237568492</v>
      </c>
      <c r="C711">
        <f t="shared" si="34"/>
        <v>5.0564170095340373</v>
      </c>
      <c r="D711">
        <f t="shared" si="35"/>
        <v>791.09686061478112</v>
      </c>
    </row>
    <row r="712" spans="1:4" x14ac:dyDescent="0.15">
      <c r="A712">
        <v>71</v>
      </c>
      <c r="B712">
        <f t="shared" si="33"/>
        <v>204.80529075763022</v>
      </c>
      <c r="C712">
        <f t="shared" si="34"/>
        <v>4.9967202873980652</v>
      </c>
      <c r="D712">
        <f t="shared" si="35"/>
        <v>791.19798895497183</v>
      </c>
    </row>
    <row r="713" spans="1:4" x14ac:dyDescent="0.15">
      <c r="A713">
        <v>71.099999999999994</v>
      </c>
      <c r="B713">
        <f t="shared" si="33"/>
        <v>204.7643565675784</v>
      </c>
      <c r="C713">
        <f t="shared" si="34"/>
        <v>4.9377200717019081</v>
      </c>
      <c r="D713">
        <f t="shared" si="35"/>
        <v>791.29792336071978</v>
      </c>
    </row>
    <row r="714" spans="1:4" x14ac:dyDescent="0.15">
      <c r="A714">
        <v>71.2</v>
      </c>
      <c r="B714">
        <f t="shared" si="33"/>
        <v>204.72391380464268</v>
      </c>
      <c r="C714">
        <f t="shared" si="34"/>
        <v>4.8794084332035839</v>
      </c>
      <c r="D714">
        <f t="shared" si="35"/>
        <v>791.39667776215379</v>
      </c>
    </row>
    <row r="715" spans="1:4" x14ac:dyDescent="0.15">
      <c r="A715">
        <v>71.3</v>
      </c>
      <c r="B715">
        <f t="shared" si="33"/>
        <v>204.68395654098279</v>
      </c>
      <c r="C715">
        <f t="shared" si="34"/>
        <v>4.8217775281993847</v>
      </c>
      <c r="D715">
        <f t="shared" si="35"/>
        <v>791.49426593081785</v>
      </c>
    </row>
    <row r="716" spans="1:4" x14ac:dyDescent="0.15">
      <c r="A716">
        <v>71.399999999999991</v>
      </c>
      <c r="B716">
        <f t="shared" si="33"/>
        <v>204.64447892090149</v>
      </c>
      <c r="C716">
        <f t="shared" si="34"/>
        <v>4.7648195977166869</v>
      </c>
      <c r="D716">
        <f t="shared" si="35"/>
        <v>791.59070148138187</v>
      </c>
    </row>
    <row r="717" spans="1:4" x14ac:dyDescent="0.15">
      <c r="A717">
        <v>71.5</v>
      </c>
      <c r="B717">
        <f t="shared" si="33"/>
        <v>204.60547515995242</v>
      </c>
      <c r="C717">
        <f t="shared" si="34"/>
        <v>4.7085269667114265</v>
      </c>
      <c r="D717">
        <f t="shared" si="35"/>
        <v>791.68599787333619</v>
      </c>
    </row>
    <row r="718" spans="1:4" x14ac:dyDescent="0.15">
      <c r="A718">
        <v>71.599999999999994</v>
      </c>
      <c r="B718">
        <f t="shared" si="33"/>
        <v>204.56693954405932</v>
      </c>
      <c r="C718">
        <f t="shared" si="34"/>
        <v>4.6528920432702954</v>
      </c>
      <c r="D718">
        <f t="shared" si="35"/>
        <v>791.78016841267038</v>
      </c>
    </row>
    <row r="719" spans="1:4" x14ac:dyDescent="0.15">
      <c r="A719">
        <v>71.7</v>
      </c>
      <c r="B719">
        <f t="shared" si="33"/>
        <v>204.5288664286465</v>
      </c>
      <c r="C719">
        <f t="shared" si="34"/>
        <v>4.5979073178177181</v>
      </c>
      <c r="D719">
        <f t="shared" si="35"/>
        <v>791.87322625353579</v>
      </c>
    </row>
    <row r="720" spans="1:4" x14ac:dyDescent="0.15">
      <c r="A720">
        <v>71.8</v>
      </c>
      <c r="B720">
        <f t="shared" si="33"/>
        <v>204.49125023778021</v>
      </c>
      <c r="C720">
        <f t="shared" si="34"/>
        <v>4.5435653623276533</v>
      </c>
      <c r="D720">
        <f t="shared" si="35"/>
        <v>791.96518439989211</v>
      </c>
    </row>
    <row r="721" spans="1:4" x14ac:dyDescent="0.15">
      <c r="A721">
        <v>71.899999999999991</v>
      </c>
      <c r="B721">
        <f t="shared" si="33"/>
        <v>204.45408546332104</v>
      </c>
      <c r="C721">
        <f t="shared" si="34"/>
        <v>4.4898588295402782</v>
      </c>
      <c r="D721">
        <f t="shared" si="35"/>
        <v>792.05605570713863</v>
      </c>
    </row>
    <row r="722" spans="1:4" x14ac:dyDescent="0.15">
      <c r="A722">
        <v>72</v>
      </c>
      <c r="B722">
        <f t="shared" si="33"/>
        <v>204.4173666640869</v>
      </c>
      <c r="C722">
        <f t="shared" si="34"/>
        <v>4.4367804521835952</v>
      </c>
      <c r="D722">
        <f t="shared" si="35"/>
        <v>792.14585288372939</v>
      </c>
    </row>
    <row r="723" spans="1:4" x14ac:dyDescent="0.15">
      <c r="A723">
        <v>72.099999999999994</v>
      </c>
      <c r="B723">
        <f t="shared" si="33"/>
        <v>204.38108846502681</v>
      </c>
      <c r="C723">
        <f t="shared" si="34"/>
        <v>4.3843230422000063</v>
      </c>
      <c r="D723">
        <f t="shared" si="35"/>
        <v>792.23458849277301</v>
      </c>
    </row>
    <row r="724" spans="1:4" x14ac:dyDescent="0.15">
      <c r="A724">
        <v>72.2</v>
      </c>
      <c r="B724">
        <f t="shared" si="33"/>
        <v>204.34524555640493</v>
      </c>
      <c r="C724">
        <f t="shared" si="34"/>
        <v>4.3324794899778913</v>
      </c>
      <c r="D724">
        <f t="shared" si="35"/>
        <v>792.32227495361701</v>
      </c>
    </row>
    <row r="725" spans="1:4" x14ac:dyDescent="0.15">
      <c r="A725">
        <v>72.3</v>
      </c>
      <c r="B725">
        <f t="shared" si="33"/>
        <v>204.30983269299503</v>
      </c>
      <c r="C725">
        <f t="shared" si="34"/>
        <v>4.2812427635882386</v>
      </c>
      <c r="D725">
        <f t="shared" si="35"/>
        <v>792.40892454341656</v>
      </c>
    </row>
    <row r="726" spans="1:4" x14ac:dyDescent="0.15">
      <c r="A726">
        <v>72.399999999999991</v>
      </c>
      <c r="B726">
        <f t="shared" si="33"/>
        <v>204.27484469328516</v>
      </c>
      <c r="C726">
        <f t="shared" si="34"/>
        <v>4.2306059080263463</v>
      </c>
      <c r="D726">
        <f t="shared" si="35"/>
        <v>792.49454939868838</v>
      </c>
    </row>
    <row r="727" spans="1:4" x14ac:dyDescent="0.15">
      <c r="A727">
        <v>72.5</v>
      </c>
      <c r="B727">
        <f t="shared" si="33"/>
        <v>204.24027643869235</v>
      </c>
      <c r="C727">
        <f t="shared" si="34"/>
        <v>4.1805620444586422</v>
      </c>
      <c r="D727">
        <f t="shared" si="35"/>
        <v>792.5791615168489</v>
      </c>
    </row>
    <row r="728" spans="1:4" x14ac:dyDescent="0.15">
      <c r="A728">
        <v>72.599999999999994</v>
      </c>
      <c r="B728">
        <f t="shared" si="33"/>
        <v>204.20612287278718</v>
      </c>
      <c r="C728">
        <f t="shared" si="34"/>
        <v>4.1311043694746425</v>
      </c>
      <c r="D728">
        <f t="shared" si="35"/>
        <v>792.66277275773803</v>
      </c>
    </row>
    <row r="729" spans="1:4" x14ac:dyDescent="0.15">
      <c r="A729">
        <v>72.7</v>
      </c>
      <c r="B729">
        <f t="shared" si="33"/>
        <v>204.17237900052825</v>
      </c>
      <c r="C729">
        <f t="shared" si="34"/>
        <v>4.0822261543440792</v>
      </c>
      <c r="D729">
        <f t="shared" si="35"/>
        <v>792.74539484512752</v>
      </c>
    </row>
    <row r="730" spans="1:4" x14ac:dyDescent="0.15">
      <c r="A730">
        <v>72.8</v>
      </c>
      <c r="B730">
        <f t="shared" si="33"/>
        <v>204.13903988750621</v>
      </c>
      <c r="C730">
        <f t="shared" si="34"/>
        <v>4.0339207442792215</v>
      </c>
      <c r="D730">
        <f t="shared" si="35"/>
        <v>792.8270393682144</v>
      </c>
    </row>
    <row r="731" spans="1:4" x14ac:dyDescent="0.15">
      <c r="A731">
        <v>72.899999999999991</v>
      </c>
      <c r="B731">
        <f t="shared" si="33"/>
        <v>204.10610065919744</v>
      </c>
      <c r="C731">
        <f t="shared" si="34"/>
        <v>3.9861815577024151</v>
      </c>
      <c r="D731">
        <f t="shared" si="35"/>
        <v>792.9077177831</v>
      </c>
    </row>
    <row r="732" spans="1:4" x14ac:dyDescent="0.15">
      <c r="A732">
        <v>73</v>
      </c>
      <c r="B732">
        <f t="shared" si="33"/>
        <v>204.07355650022694</v>
      </c>
      <c r="C732">
        <f t="shared" si="34"/>
        <v>3.9390020855188568</v>
      </c>
      <c r="D732">
        <f t="shared" si="35"/>
        <v>792.98744141425402</v>
      </c>
    </row>
    <row r="733" spans="1:4" x14ac:dyDescent="0.15">
      <c r="A733">
        <v>73.099999999999994</v>
      </c>
      <c r="B733">
        <f t="shared" si="33"/>
        <v>204.0414026536408</v>
      </c>
      <c r="C733">
        <f t="shared" si="34"/>
        <v>3.8923758903946255</v>
      </c>
      <c r="D733">
        <f t="shared" si="35"/>
        <v>793.06622145596441</v>
      </c>
    </row>
    <row r="734" spans="1:4" x14ac:dyDescent="0.15">
      <c r="A734">
        <v>73.2</v>
      </c>
      <c r="B734">
        <f t="shared" si="33"/>
        <v>204.00963442018755</v>
      </c>
      <c r="C734">
        <f t="shared" si="34"/>
        <v>3.8462966060399864</v>
      </c>
      <c r="D734">
        <f t="shared" si="35"/>
        <v>793.14406897377228</v>
      </c>
    </row>
    <row r="735" spans="1:4" x14ac:dyDescent="0.15">
      <c r="A735">
        <v>73.3</v>
      </c>
      <c r="B735">
        <f t="shared" si="33"/>
        <v>203.97824715760876</v>
      </c>
      <c r="C735">
        <f t="shared" si="34"/>
        <v>3.8007579364979795</v>
      </c>
      <c r="D735">
        <f t="shared" si="35"/>
        <v>793.22099490589312</v>
      </c>
    </row>
    <row r="736" spans="1:4" x14ac:dyDescent="0.15">
      <c r="A736">
        <v>73.399999999999991</v>
      </c>
      <c r="B736">
        <f t="shared" si="33"/>
        <v>203.94723627993847</v>
      </c>
      <c r="C736">
        <f t="shared" si="34"/>
        <v>3.7557536554383089</v>
      </c>
      <c r="D736">
        <f t="shared" si="35"/>
        <v>793.29701006462312</v>
      </c>
    </row>
    <row r="737" spans="1:4" x14ac:dyDescent="0.15">
      <c r="A737">
        <v>73.5</v>
      </c>
      <c r="B737">
        <f t="shared" si="33"/>
        <v>203.91659725681146</v>
      </c>
      <c r="C737">
        <f t="shared" si="34"/>
        <v>3.7112776054565395</v>
      </c>
      <c r="D737">
        <f t="shared" si="35"/>
        <v>793.37212513773193</v>
      </c>
    </row>
    <row r="738" spans="1:4" x14ac:dyDescent="0.15">
      <c r="A738">
        <v>73.599999999999994</v>
      </c>
      <c r="B738">
        <f t="shared" si="33"/>
        <v>203.88632561278024</v>
      </c>
      <c r="C738">
        <f t="shared" si="34"/>
        <v>3.6673236973786127</v>
      </c>
      <c r="D738">
        <f t="shared" si="35"/>
        <v>793.4463506898411</v>
      </c>
    </row>
    <row r="739" spans="1:4" x14ac:dyDescent="0.15">
      <c r="A739">
        <v>73.7</v>
      </c>
      <c r="B739">
        <f t="shared" si="33"/>
        <v>203.85641692664061</v>
      </c>
      <c r="C739">
        <f t="shared" si="34"/>
        <v>3.6238859095706886</v>
      </c>
      <c r="D739">
        <f t="shared" si="35"/>
        <v>793.51969716378869</v>
      </c>
    </row>
    <row r="740" spans="1:4" x14ac:dyDescent="0.15">
      <c r="A740">
        <v>73.8</v>
      </c>
      <c r="B740">
        <f t="shared" si="33"/>
        <v>203.82686683076557</v>
      </c>
      <c r="C740">
        <f t="shared" si="34"/>
        <v>3.5809582872543158</v>
      </c>
      <c r="D740">
        <f t="shared" si="35"/>
        <v>793.5921748819801</v>
      </c>
    </row>
    <row r="741" spans="1:4" x14ac:dyDescent="0.15">
      <c r="A741">
        <v>73.899999999999991</v>
      </c>
      <c r="B741">
        <f t="shared" si="33"/>
        <v>203.79767101044786</v>
      </c>
      <c r="C741">
        <f t="shared" si="34"/>
        <v>3.5385349418269381</v>
      </c>
      <c r="D741">
        <f t="shared" si="35"/>
        <v>793.66379404772522</v>
      </c>
    </row>
    <row r="742" spans="1:4" x14ac:dyDescent="0.15">
      <c r="A742">
        <v>74</v>
      </c>
      <c r="B742">
        <f t="shared" si="33"/>
        <v>203.76882520325051</v>
      </c>
      <c r="C742">
        <f t="shared" si="34"/>
        <v>3.4966100501877362</v>
      </c>
      <c r="D742">
        <f t="shared" si="35"/>
        <v>793.73456474656177</v>
      </c>
    </row>
    <row r="743" spans="1:4" x14ac:dyDescent="0.15">
      <c r="A743">
        <v>74.099999999999994</v>
      </c>
      <c r="B743">
        <f t="shared" si="33"/>
        <v>203.7403251983657</v>
      </c>
      <c r="C743">
        <f t="shared" si="34"/>
        <v>3.4551778540688067</v>
      </c>
      <c r="D743">
        <f t="shared" si="35"/>
        <v>793.80449694756555</v>
      </c>
    </row>
    <row r="744" spans="1:4" x14ac:dyDescent="0.15">
      <c r="A744">
        <v>74.2</v>
      </c>
      <c r="B744">
        <f t="shared" si="33"/>
        <v>203.71216683598144</v>
      </c>
      <c r="C744">
        <f t="shared" si="34"/>
        <v>3.4142326593716774</v>
      </c>
      <c r="D744">
        <f t="shared" si="35"/>
        <v>793.8736005046469</v>
      </c>
    </row>
    <row r="745" spans="1:4" x14ac:dyDescent="0.15">
      <c r="A745">
        <v>74.3</v>
      </c>
      <c r="B745">
        <f t="shared" si="33"/>
        <v>203.68434600665651</v>
      </c>
      <c r="C745">
        <f t="shared" si="34"/>
        <v>3.3737688355091549</v>
      </c>
      <c r="D745">
        <f t="shared" si="35"/>
        <v>793.94188515783435</v>
      </c>
    </row>
    <row r="746" spans="1:4" x14ac:dyDescent="0.15">
      <c r="A746">
        <v>74.399999999999991</v>
      </c>
      <c r="B746">
        <f t="shared" si="33"/>
        <v>203.65685865070299</v>
      </c>
      <c r="C746">
        <f t="shared" si="34"/>
        <v>3.3337808147525045</v>
      </c>
      <c r="D746">
        <f t="shared" si="35"/>
        <v>794.0093605345445</v>
      </c>
    </row>
    <row r="747" spans="1:4" x14ac:dyDescent="0.15">
      <c r="A747">
        <v>74.5</v>
      </c>
      <c r="B747">
        <f t="shared" si="33"/>
        <v>203.6297007575765</v>
      </c>
      <c r="C747">
        <f t="shared" si="34"/>
        <v>3.2942630915839537</v>
      </c>
      <c r="D747">
        <f t="shared" si="35"/>
        <v>794.07603615083951</v>
      </c>
    </row>
    <row r="748" spans="1:4" x14ac:dyDescent="0.15">
      <c r="A748">
        <v>74.599999999999994</v>
      </c>
      <c r="B748">
        <f t="shared" si="33"/>
        <v>203.60286836527428</v>
      </c>
      <c r="C748">
        <f t="shared" si="34"/>
        <v>3.2552102220545134</v>
      </c>
      <c r="D748">
        <f t="shared" si="35"/>
        <v>794.14192141267119</v>
      </c>
    </row>
    <row r="749" spans="1:4" x14ac:dyDescent="0.15">
      <c r="A749">
        <v>74.7</v>
      </c>
      <c r="B749">
        <f t="shared" si="33"/>
        <v>203.57635755974059</v>
      </c>
      <c r="C749">
        <f t="shared" si="34"/>
        <v>3.2166168231471137</v>
      </c>
      <c r="D749">
        <f t="shared" si="35"/>
        <v>794.20702561711232</v>
      </c>
    </row>
    <row r="750" spans="1:4" x14ac:dyDescent="0.15">
      <c r="A750">
        <v>74.8</v>
      </c>
      <c r="B750">
        <f t="shared" si="33"/>
        <v>203.55016447427971</v>
      </c>
      <c r="C750">
        <f t="shared" si="34"/>
        <v>3.1784775721450385</v>
      </c>
      <c r="D750">
        <f t="shared" si="35"/>
        <v>794.27135795357526</v>
      </c>
    </row>
    <row r="751" spans="1:4" x14ac:dyDescent="0.15">
      <c r="A751">
        <v>74.899999999999991</v>
      </c>
      <c r="B751">
        <f t="shared" si="33"/>
        <v>203.52428528897619</v>
      </c>
      <c r="C751">
        <f t="shared" si="34"/>
        <v>3.1407872060056548</v>
      </c>
      <c r="D751">
        <f t="shared" si="35"/>
        <v>794.33492750501819</v>
      </c>
    </row>
    <row r="752" spans="1:4" x14ac:dyDescent="0.15">
      <c r="A752">
        <v>75</v>
      </c>
      <c r="B752">
        <f t="shared" si="33"/>
        <v>203.49871623012231</v>
      </c>
      <c r="C752">
        <f t="shared" si="34"/>
        <v>3.1035405207394242</v>
      </c>
      <c r="D752">
        <f t="shared" si="35"/>
        <v>794.39774324913833</v>
      </c>
    </row>
    <row r="753" spans="1:4" x14ac:dyDescent="0.15">
      <c r="A753">
        <v>75.099999999999994</v>
      </c>
      <c r="B753">
        <f t="shared" si="33"/>
        <v>203.47345356965278</v>
      </c>
      <c r="C753">
        <f t="shared" si="34"/>
        <v>3.0667323707941812</v>
      </c>
      <c r="D753">
        <f t="shared" si="35"/>
        <v>794.45981405955308</v>
      </c>
    </row>
    <row r="754" spans="1:4" x14ac:dyDescent="0.15">
      <c r="A754">
        <v>75.2</v>
      </c>
      <c r="B754">
        <f t="shared" si="33"/>
        <v>203.4484936245864</v>
      </c>
      <c r="C754">
        <f t="shared" si="34"/>
        <v>3.0303576684446711</v>
      </c>
      <c r="D754">
        <f t="shared" si="35"/>
        <v>794.52114870696892</v>
      </c>
    </row>
    <row r="755" spans="1:4" x14ac:dyDescent="0.15">
      <c r="A755">
        <v>75.3</v>
      </c>
      <c r="B755">
        <f t="shared" si="33"/>
        <v>203.42383275647487</v>
      </c>
      <c r="C755">
        <f t="shared" si="34"/>
        <v>2.9944113831873289</v>
      </c>
      <c r="D755">
        <f t="shared" si="35"/>
        <v>794.58175586033781</v>
      </c>
    </row>
    <row r="756" spans="1:4" x14ac:dyDescent="0.15">
      <c r="A756">
        <v>75.399999999999991</v>
      </c>
      <c r="B756">
        <f t="shared" si="33"/>
        <v>203.39946737085816</v>
      </c>
      <c r="C756">
        <f t="shared" si="34"/>
        <v>2.9588885411402859</v>
      </c>
      <c r="D756">
        <f t="shared" si="35"/>
        <v>794.6416440880015</v>
      </c>
    </row>
    <row r="757" spans="1:4" x14ac:dyDescent="0.15">
      <c r="A757">
        <v>75.5</v>
      </c>
      <c r="B757">
        <f t="shared" si="33"/>
        <v>203.37539391672706</v>
      </c>
      <c r="C757">
        <f t="shared" si="34"/>
        <v>2.9237842244485868</v>
      </c>
      <c r="D757">
        <f t="shared" si="35"/>
        <v>794.70082185882427</v>
      </c>
    </row>
    <row r="758" spans="1:4" x14ac:dyDescent="0.15">
      <c r="A758">
        <v>75.599999999999994</v>
      </c>
      <c r="B758">
        <f t="shared" si="33"/>
        <v>203.35160888599208</v>
      </c>
      <c r="C758">
        <f t="shared" si="34"/>
        <v>2.8890935706946048</v>
      </c>
      <c r="D758">
        <f t="shared" si="35"/>
        <v>794.75929754331321</v>
      </c>
    </row>
    <row r="759" spans="1:4" x14ac:dyDescent="0.15">
      <c r="A759">
        <v>75.7</v>
      </c>
      <c r="B759">
        <f t="shared" si="33"/>
        <v>203.32810881295916</v>
      </c>
      <c r="C759">
        <f t="shared" si="34"/>
        <v>2.8548117723136297</v>
      </c>
      <c r="D759">
        <f t="shared" si="35"/>
        <v>794.81707941472712</v>
      </c>
    </row>
    <row r="760" spans="1:4" x14ac:dyDescent="0.15">
      <c r="A760">
        <v>75.8</v>
      </c>
      <c r="B760">
        <f t="shared" si="33"/>
        <v>203.30489027381191</v>
      </c>
      <c r="C760">
        <f t="shared" si="34"/>
        <v>2.8209340760146171</v>
      </c>
      <c r="D760">
        <f t="shared" si="35"/>
        <v>794.87417565017336</v>
      </c>
    </row>
    <row r="761" spans="1:4" x14ac:dyDescent="0.15">
      <c r="A761">
        <v>75.899999999999991</v>
      </c>
      <c r="B761">
        <f t="shared" si="33"/>
        <v>203.28194988610016</v>
      </c>
      <c r="C761">
        <f t="shared" si="34"/>
        <v>2.7874557822060773</v>
      </c>
      <c r="D761">
        <f t="shared" si="35"/>
        <v>794.93059433169367</v>
      </c>
    </row>
    <row r="762" spans="1:4" x14ac:dyDescent="0.15">
      <c r="A762">
        <v>76</v>
      </c>
      <c r="B762">
        <f t="shared" si="33"/>
        <v>203.25928430823504</v>
      </c>
      <c r="C762">
        <f t="shared" si="34"/>
        <v>2.7543722444270813</v>
      </c>
      <c r="D762">
        <f t="shared" si="35"/>
        <v>794.98634344733784</v>
      </c>
    </row>
    <row r="763" spans="1:4" x14ac:dyDescent="0.15">
      <c r="A763">
        <v>76.099999999999994</v>
      </c>
      <c r="B763">
        <f t="shared" si="33"/>
        <v>203.23689023899021</v>
      </c>
      <c r="C763">
        <f t="shared" si="34"/>
        <v>2.7216788687833682</v>
      </c>
      <c r="D763">
        <f t="shared" si="35"/>
        <v>795.04143089222634</v>
      </c>
    </row>
    <row r="764" spans="1:4" x14ac:dyDescent="0.15">
      <c r="A764">
        <v>76.2</v>
      </c>
      <c r="B764">
        <f t="shared" si="33"/>
        <v>203.21476441700938</v>
      </c>
      <c r="C764">
        <f t="shared" si="34"/>
        <v>2.6893711133885292</v>
      </c>
      <c r="D764">
        <f t="shared" si="35"/>
        <v>795.09586446960202</v>
      </c>
    </row>
    <row r="765" spans="1:4" x14ac:dyDescent="0.15">
      <c r="A765">
        <v>76.3</v>
      </c>
      <c r="B765">
        <f t="shared" si="33"/>
        <v>203.1929036203199</v>
      </c>
      <c r="C765">
        <f t="shared" si="34"/>
        <v>2.657444487810245</v>
      </c>
      <c r="D765">
        <f t="shared" si="35"/>
        <v>795.14965189186978</v>
      </c>
    </row>
    <row r="766" spans="1:4" x14ac:dyDescent="0.15">
      <c r="A766">
        <v>76.399999999999991</v>
      </c>
      <c r="B766">
        <f t="shared" si="33"/>
        <v>203.17130466585238</v>
      </c>
      <c r="C766">
        <f t="shared" si="34"/>
        <v>2.6258945525215593</v>
      </c>
      <c r="D766">
        <f t="shared" si="35"/>
        <v>795.20280078162602</v>
      </c>
    </row>
    <row r="767" spans="1:4" x14ac:dyDescent="0.15">
      <c r="A767">
        <v>76.5</v>
      </c>
      <c r="B767">
        <f t="shared" si="33"/>
        <v>203.14996440896635</v>
      </c>
      <c r="C767">
        <f t="shared" si="34"/>
        <v>2.5947169183571583</v>
      </c>
      <c r="D767">
        <f t="shared" si="35"/>
        <v>795.25531867267648</v>
      </c>
    </row>
    <row r="768" spans="1:4" x14ac:dyDescent="0.15">
      <c r="A768">
        <v>76.599999999999994</v>
      </c>
      <c r="B768">
        <f t="shared" si="33"/>
        <v>203.12887974298172</v>
      </c>
      <c r="C768">
        <f t="shared" si="34"/>
        <v>2.5639072459746393</v>
      </c>
      <c r="D768">
        <f t="shared" si="35"/>
        <v>795.30721301104359</v>
      </c>
    </row>
    <row r="769" spans="1:4" x14ac:dyDescent="0.15">
      <c r="A769">
        <v>76.7</v>
      </c>
      <c r="B769">
        <f t="shared" si="33"/>
        <v>203.10804759871613</v>
      </c>
      <c r="C769">
        <f t="shared" si="34"/>
        <v>2.5334612453207361</v>
      </c>
      <c r="D769">
        <f t="shared" si="35"/>
        <v>795.35849115596307</v>
      </c>
    </row>
    <row r="770" spans="1:4" x14ac:dyDescent="0.15">
      <c r="A770">
        <v>76.8</v>
      </c>
      <c r="B770">
        <f t="shared" si="33"/>
        <v>203.08746494402797</v>
      </c>
      <c r="C770">
        <f t="shared" si="34"/>
        <v>2.5033746751024859</v>
      </c>
      <c r="D770">
        <f t="shared" si="35"/>
        <v>795.40916038086948</v>
      </c>
    </row>
    <row r="771" spans="1:4" x14ac:dyDescent="0.15">
      <c r="A771">
        <v>76.900000000000006</v>
      </c>
      <c r="B771">
        <f t="shared" si="33"/>
        <v>203.06712878336509</v>
      </c>
      <c r="C771">
        <f t="shared" si="34"/>
        <v>2.4736433422633017</v>
      </c>
      <c r="D771">
        <f t="shared" si="35"/>
        <v>795.45922787437155</v>
      </c>
    </row>
    <row r="772" spans="1:4" x14ac:dyDescent="0.15">
      <c r="A772">
        <v>77</v>
      </c>
      <c r="B772">
        <f t="shared" ref="B772:B835" si="36">B771-$G$1*B771*C771*$A$3</f>
        <v>203.04703615731918</v>
      </c>
      <c r="C772">
        <f t="shared" ref="C772:C835" si="37">C771+($G$1*B771*C771-$G$2*C771)*$A$3</f>
        <v>2.4442631014639353</v>
      </c>
      <c r="D772">
        <f t="shared" ref="D772:D835" si="38">D771+$G$2*C771*$A$3</f>
        <v>795.50870074121678</v>
      </c>
    </row>
    <row r="773" spans="1:4" x14ac:dyDescent="0.15">
      <c r="A773">
        <v>77.099999999999994</v>
      </c>
      <c r="B773">
        <f t="shared" si="36"/>
        <v>203.02718414218555</v>
      </c>
      <c r="C773">
        <f t="shared" si="37"/>
        <v>2.4152298545682944</v>
      </c>
      <c r="D773">
        <f t="shared" si="38"/>
        <v>795.55758600324612</v>
      </c>
    </row>
    <row r="774" spans="1:4" x14ac:dyDescent="0.15">
      <c r="A774">
        <v>77.2</v>
      </c>
      <c r="B774">
        <f t="shared" si="36"/>
        <v>203.00756984952838</v>
      </c>
      <c r="C774">
        <f t="shared" si="37"/>
        <v>2.3865395501340942</v>
      </c>
      <c r="D774">
        <f t="shared" si="38"/>
        <v>795.60589060033749</v>
      </c>
    </row>
    <row r="775" spans="1:4" x14ac:dyDescent="0.15">
      <c r="A775">
        <v>77.3</v>
      </c>
      <c r="B775">
        <f t="shared" si="36"/>
        <v>202.98819042575147</v>
      </c>
      <c r="C775">
        <f t="shared" si="37"/>
        <v>2.3581881829083127</v>
      </c>
      <c r="D775">
        <f t="shared" si="38"/>
        <v>795.65362139134015</v>
      </c>
    </row>
    <row r="776" spans="1:4" x14ac:dyDescent="0.15">
      <c r="A776">
        <v>77.400000000000006</v>
      </c>
      <c r="B776">
        <f t="shared" si="36"/>
        <v>202.96904305167419</v>
      </c>
      <c r="C776">
        <f t="shared" si="37"/>
        <v>2.3301717933274242</v>
      </c>
      <c r="D776">
        <f t="shared" si="38"/>
        <v>795.70078515499836</v>
      </c>
    </row>
    <row r="777" spans="1:4" x14ac:dyDescent="0.15">
      <c r="A777">
        <v>77.5</v>
      </c>
      <c r="B777">
        <f t="shared" si="36"/>
        <v>202.95012494211269</v>
      </c>
      <c r="C777">
        <f t="shared" si="37"/>
        <v>2.3024864670223826</v>
      </c>
      <c r="D777">
        <f t="shared" si="38"/>
        <v>795.74738859086494</v>
      </c>
    </row>
    <row r="778" spans="1:4" x14ac:dyDescent="0.15">
      <c r="A778">
        <v>77.599999999999994</v>
      </c>
      <c r="B778">
        <f t="shared" si="36"/>
        <v>202.9314333454663</v>
      </c>
      <c r="C778">
        <f t="shared" si="37"/>
        <v>2.2751283343283237</v>
      </c>
      <c r="D778">
        <f t="shared" si="38"/>
        <v>795.79343832020538</v>
      </c>
    </row>
    <row r="779" spans="1:4" x14ac:dyDescent="0.15">
      <c r="A779">
        <v>77.7</v>
      </c>
      <c r="B779">
        <f t="shared" si="36"/>
        <v>202.9129655433091</v>
      </c>
      <c r="C779">
        <f t="shared" si="37"/>
        <v>2.2480935697989626</v>
      </c>
      <c r="D779">
        <f t="shared" si="38"/>
        <v>795.83894088689192</v>
      </c>
    </row>
    <row r="780" spans="1:4" x14ac:dyDescent="0.15">
      <c r="A780">
        <v>77.8</v>
      </c>
      <c r="B780">
        <f t="shared" si="36"/>
        <v>202.89471884998642</v>
      </c>
      <c r="C780">
        <f t="shared" si="37"/>
        <v>2.2213783917256533</v>
      </c>
      <c r="D780">
        <f t="shared" si="38"/>
        <v>795.88390275828795</v>
      </c>
    </row>
    <row r="781" spans="1:4" x14ac:dyDescent="0.15">
      <c r="A781">
        <v>77.900000000000006</v>
      </c>
      <c r="B781">
        <f t="shared" si="36"/>
        <v>202.87669061221646</v>
      </c>
      <c r="C781">
        <f t="shared" si="37"/>
        <v>2.1949790616610847</v>
      </c>
      <c r="D781">
        <f t="shared" si="38"/>
        <v>795.92833032612248</v>
      </c>
    </row>
    <row r="782" spans="1:4" x14ac:dyDescent="0.15">
      <c r="A782">
        <v>78</v>
      </c>
      <c r="B782">
        <f t="shared" si="36"/>
        <v>202.85887820869675</v>
      </c>
      <c r="C782">
        <f t="shared" si="37"/>
        <v>2.1688918839475795</v>
      </c>
      <c r="D782">
        <f t="shared" si="38"/>
        <v>795.97222990735565</v>
      </c>
    </row>
    <row r="783" spans="1:4" x14ac:dyDescent="0.15">
      <c r="A783">
        <v>78.099999999999994</v>
      </c>
      <c r="B783">
        <f t="shared" si="36"/>
        <v>202.84127904971541</v>
      </c>
      <c r="C783">
        <f t="shared" si="37"/>
        <v>2.14311320524997</v>
      </c>
      <c r="D783">
        <f t="shared" si="38"/>
        <v>796.01560774503457</v>
      </c>
    </row>
    <row r="784" spans="1:4" x14ac:dyDescent="0.15">
      <c r="A784">
        <v>78.2</v>
      </c>
      <c r="B784">
        <f t="shared" si="36"/>
        <v>202.82389057676735</v>
      </c>
      <c r="C784">
        <f t="shared" si="37"/>
        <v>2.1176394140930199</v>
      </c>
      <c r="D784">
        <f t="shared" si="38"/>
        <v>796.05847000913957</v>
      </c>
    </row>
    <row r="785" spans="1:4" x14ac:dyDescent="0.15">
      <c r="A785">
        <v>78.3</v>
      </c>
      <c r="B785">
        <f t="shared" si="36"/>
        <v>202.80671026217516</v>
      </c>
      <c r="C785">
        <f t="shared" si="37"/>
        <v>2.0924669404033618</v>
      </c>
      <c r="D785">
        <f t="shared" si="38"/>
        <v>796.10082279742142</v>
      </c>
    </row>
    <row r="786" spans="1:4" x14ac:dyDescent="0.15">
      <c r="A786">
        <v>78.400000000000006</v>
      </c>
      <c r="B786">
        <f t="shared" si="36"/>
        <v>202.78973560871452</v>
      </c>
      <c r="C786">
        <f t="shared" si="37"/>
        <v>2.0675922550559171</v>
      </c>
      <c r="D786">
        <f t="shared" si="38"/>
        <v>796.14267213622952</v>
      </c>
    </row>
    <row r="787" spans="1:4" x14ac:dyDescent="0.15">
      <c r="A787">
        <v>78.5</v>
      </c>
      <c r="B787">
        <f t="shared" si="36"/>
        <v>202.77296414924456</v>
      </c>
      <c r="C787">
        <f t="shared" si="37"/>
        <v>2.0430118694247752</v>
      </c>
      <c r="D787">
        <f t="shared" si="38"/>
        <v>796.1840239813306</v>
      </c>
    </row>
    <row r="788" spans="1:4" x14ac:dyDescent="0.15">
      <c r="A788">
        <v>78.599999999999994</v>
      </c>
      <c r="B788">
        <f t="shared" si="36"/>
        <v>202.75639344634234</v>
      </c>
      <c r="C788">
        <f t="shared" si="37"/>
        <v>2.0187223349384937</v>
      </c>
      <c r="D788">
        <f t="shared" si="38"/>
        <v>796.22488421871913</v>
      </c>
    </row>
    <row r="789" spans="1:4" x14ac:dyDescent="0.15">
      <c r="A789">
        <v>78.7</v>
      </c>
      <c r="B789">
        <f t="shared" si="36"/>
        <v>202.74002109194228</v>
      </c>
      <c r="C789">
        <f t="shared" si="37"/>
        <v>1.9947202426397921</v>
      </c>
      <c r="D789">
        <f t="shared" si="38"/>
        <v>796.26525866541795</v>
      </c>
    </row>
    <row r="790" spans="1:4" x14ac:dyDescent="0.15">
      <c r="A790">
        <v>78.8</v>
      </c>
      <c r="B790">
        <f t="shared" si="36"/>
        <v>202.72384470697966</v>
      </c>
      <c r="C790">
        <f t="shared" si="37"/>
        <v>1.9710022227496089</v>
      </c>
      <c r="D790">
        <f t="shared" si="38"/>
        <v>796.30515307027076</v>
      </c>
    </row>
    <row r="791" spans="1:4" x14ac:dyDescent="0.15">
      <c r="A791">
        <v>78.900000000000006</v>
      </c>
      <c r="B791">
        <f t="shared" si="36"/>
        <v>202.7078619410388</v>
      </c>
      <c r="C791">
        <f t="shared" si="37"/>
        <v>1.9475649442354888</v>
      </c>
      <c r="D791">
        <f t="shared" si="38"/>
        <v>796.34457311472579</v>
      </c>
    </row>
    <row r="792" spans="1:4" x14ac:dyDescent="0.15">
      <c r="A792">
        <v>79</v>
      </c>
      <c r="B792">
        <f t="shared" si="36"/>
        <v>202.6920704720053</v>
      </c>
      <c r="C792">
        <f t="shared" si="37"/>
        <v>1.9244051143842706</v>
      </c>
      <c r="D792">
        <f t="shared" si="38"/>
        <v>796.38352441361053</v>
      </c>
    </row>
    <row r="793" spans="1:4" x14ac:dyDescent="0.15">
      <c r="A793">
        <v>79.099999999999994</v>
      </c>
      <c r="B793">
        <f t="shared" si="36"/>
        <v>202.67646800572285</v>
      </c>
      <c r="C793">
        <f t="shared" si="37"/>
        <v>1.9015194783790439</v>
      </c>
      <c r="D793">
        <f t="shared" si="38"/>
        <v>796.42201251589825</v>
      </c>
    </row>
    <row r="794" spans="1:4" x14ac:dyDescent="0.15">
      <c r="A794">
        <v>79.2</v>
      </c>
      <c r="B794">
        <f t="shared" si="36"/>
        <v>202.66105227565399</v>
      </c>
      <c r="C794">
        <f t="shared" si="37"/>
        <v>1.878904818880341</v>
      </c>
      <c r="D794">
        <f t="shared" si="38"/>
        <v>796.4600429054658</v>
      </c>
    </row>
    <row r="795" spans="1:4" x14ac:dyDescent="0.15">
      <c r="A795">
        <v>79.3</v>
      </c>
      <c r="B795">
        <f t="shared" si="36"/>
        <v>202.64582104254518</v>
      </c>
      <c r="C795">
        <f t="shared" si="37"/>
        <v>1.8565579556115377</v>
      </c>
      <c r="D795">
        <f t="shared" si="38"/>
        <v>796.49762100184341</v>
      </c>
    </row>
    <row r="796" spans="1:4" x14ac:dyDescent="0.15">
      <c r="A796">
        <v>79.400000000000006</v>
      </c>
      <c r="B796">
        <f t="shared" si="36"/>
        <v>202.63077209409607</v>
      </c>
      <c r="C796">
        <f t="shared" si="37"/>
        <v>1.8344757449484257</v>
      </c>
      <c r="D796">
        <f t="shared" si="38"/>
        <v>796.53475216095569</v>
      </c>
    </row>
    <row r="797" spans="1:4" x14ac:dyDescent="0.15">
      <c r="A797">
        <v>79.5</v>
      </c>
      <c r="B797">
        <f t="shared" si="36"/>
        <v>202.61590324463259</v>
      </c>
      <c r="C797">
        <f t="shared" si="37"/>
        <v>1.8126550795129288</v>
      </c>
      <c r="D797">
        <f t="shared" si="38"/>
        <v>796.57144167585466</v>
      </c>
    </row>
    <row r="798" spans="1:4" x14ac:dyDescent="0.15">
      <c r="A798">
        <v>79.599999999999994</v>
      </c>
      <c r="B798">
        <f t="shared" si="36"/>
        <v>202.60121233478432</v>
      </c>
      <c r="C798">
        <f t="shared" si="37"/>
        <v>1.7910928877709296</v>
      </c>
      <c r="D798">
        <f t="shared" si="38"/>
        <v>796.60769477744486</v>
      </c>
    </row>
    <row r="799" spans="1:4" x14ac:dyDescent="0.15">
      <c r="A799">
        <v>79.7</v>
      </c>
      <c r="B799">
        <f t="shared" si="36"/>
        <v>202.58669723116566</v>
      </c>
      <c r="C799">
        <f t="shared" si="37"/>
        <v>1.7697861336341749</v>
      </c>
      <c r="D799">
        <f t="shared" si="38"/>
        <v>796.64351663520029</v>
      </c>
    </row>
    <row r="800" spans="1:4" x14ac:dyDescent="0.15">
      <c r="A800">
        <v>79.8</v>
      </c>
      <c r="B800">
        <f t="shared" si="36"/>
        <v>202.57235582606091</v>
      </c>
      <c r="C800">
        <f t="shared" si="37"/>
        <v>1.74873181606623</v>
      </c>
      <c r="D800">
        <f t="shared" si="38"/>
        <v>796.67891235787295</v>
      </c>
    </row>
    <row r="801" spans="1:4" x14ac:dyDescent="0.15">
      <c r="A801">
        <v>79.900000000000006</v>
      </c>
      <c r="B801">
        <f t="shared" si="36"/>
        <v>202.55818603711339</v>
      </c>
      <c r="C801">
        <f t="shared" si="37"/>
        <v>1.7279269686924463</v>
      </c>
      <c r="D801">
        <f t="shared" si="38"/>
        <v>796.71388699419424</v>
      </c>
    </row>
    <row r="802" spans="1:4" x14ac:dyDescent="0.15">
      <c r="A802">
        <v>80</v>
      </c>
      <c r="B802">
        <f t="shared" si="36"/>
        <v>202.54418580701807</v>
      </c>
      <c r="C802">
        <f t="shared" si="37"/>
        <v>1.7073686594139155</v>
      </c>
      <c r="D802">
        <f t="shared" si="38"/>
        <v>796.74844553356809</v>
      </c>
    </row>
    <row r="803" spans="1:4" x14ac:dyDescent="0.15">
      <c r="A803">
        <v>80.099999999999994</v>
      </c>
      <c r="B803">
        <f t="shared" si="36"/>
        <v>202.53035310321832</v>
      </c>
      <c r="C803">
        <f t="shared" si="37"/>
        <v>1.6870539900253736</v>
      </c>
      <c r="D803">
        <f t="shared" si="38"/>
        <v>796.78259290675635</v>
      </c>
    </row>
    <row r="804" spans="1:4" x14ac:dyDescent="0.15">
      <c r="A804">
        <v>80.2</v>
      </c>
      <c r="B804">
        <f t="shared" si="36"/>
        <v>202.51668591760617</v>
      </c>
      <c r="C804">
        <f t="shared" si="37"/>
        <v>1.6669800958370273</v>
      </c>
      <c r="D804">
        <f t="shared" si="38"/>
        <v>796.81633398655686</v>
      </c>
    </row>
    <row r="805" spans="1:4" x14ac:dyDescent="0.15">
      <c r="A805">
        <v>80.3</v>
      </c>
      <c r="B805">
        <f t="shared" si="36"/>
        <v>202.50318226622619</v>
      </c>
      <c r="C805">
        <f t="shared" si="37"/>
        <v>1.647144145300268</v>
      </c>
      <c r="D805">
        <f t="shared" si="38"/>
        <v>796.84967358847359</v>
      </c>
    </row>
    <row r="806" spans="1:4" x14ac:dyDescent="0.15">
      <c r="A806">
        <v>80.400000000000006</v>
      </c>
      <c r="B806">
        <f t="shared" si="36"/>
        <v>202.48984018898321</v>
      </c>
      <c r="C806">
        <f t="shared" si="37"/>
        <v>1.6275433396372421</v>
      </c>
      <c r="D806">
        <f t="shared" si="38"/>
        <v>796.88261647137961</v>
      </c>
    </row>
    <row r="807" spans="1:4" x14ac:dyDescent="0.15">
      <c r="A807">
        <v>80.5</v>
      </c>
      <c r="B807">
        <f t="shared" si="36"/>
        <v>202.47665774935345</v>
      </c>
      <c r="C807">
        <f t="shared" si="37"/>
        <v>1.6081749124742488</v>
      </c>
      <c r="D807">
        <f t="shared" si="38"/>
        <v>796.9151673381723</v>
      </c>
    </row>
    <row r="808" spans="1:4" x14ac:dyDescent="0.15">
      <c r="A808">
        <v>80.599999999999994</v>
      </c>
      <c r="B808">
        <f t="shared" si="36"/>
        <v>202.46363303409927</v>
      </c>
      <c r="C808">
        <f t="shared" si="37"/>
        <v>1.5890361294789297</v>
      </c>
      <c r="D808">
        <f t="shared" si="38"/>
        <v>796.94733083642177</v>
      </c>
    </row>
    <row r="809" spans="1:4" x14ac:dyDescent="0.15">
      <c r="A809">
        <v>80.7</v>
      </c>
      <c r="B809">
        <f t="shared" si="36"/>
        <v>202.4507641529874</v>
      </c>
      <c r="C809">
        <f t="shared" si="37"/>
        <v>1.5701242880012209</v>
      </c>
      <c r="D809">
        <f t="shared" si="38"/>
        <v>796.97911155901136</v>
      </c>
    </row>
    <row r="810" spans="1:4" x14ac:dyDescent="0.15">
      <c r="A810">
        <v>80.8</v>
      </c>
      <c r="B810">
        <f t="shared" si="36"/>
        <v>202.43804923851056</v>
      </c>
      <c r="C810">
        <f t="shared" si="37"/>
        <v>1.551436716718037</v>
      </c>
      <c r="D810">
        <f t="shared" si="38"/>
        <v>797.01051404477141</v>
      </c>
    </row>
    <row r="811" spans="1:4" x14ac:dyDescent="0.15">
      <c r="A811">
        <v>80.900000000000006</v>
      </c>
      <c r="B811">
        <f t="shared" si="36"/>
        <v>202.42548644561259</v>
      </c>
      <c r="C811">
        <f t="shared" si="37"/>
        <v>1.5329707752816522</v>
      </c>
      <c r="D811">
        <f t="shared" si="38"/>
        <v>797.04154277910573</v>
      </c>
    </row>
    <row r="812" spans="1:4" x14ac:dyDescent="0.15">
      <c r="A812">
        <v>81</v>
      </c>
      <c r="B812">
        <f t="shared" si="36"/>
        <v>202.41307395141686</v>
      </c>
      <c r="C812">
        <f t="shared" si="37"/>
        <v>1.5147238539717509</v>
      </c>
      <c r="D812">
        <f t="shared" si="38"/>
        <v>797.07220219461135</v>
      </c>
    </row>
    <row r="813" spans="1:4" x14ac:dyDescent="0.15">
      <c r="A813">
        <v>81.099999999999994</v>
      </c>
      <c r="B813">
        <f t="shared" si="36"/>
        <v>202.40080995495808</v>
      </c>
      <c r="C813">
        <f t="shared" si="37"/>
        <v>1.4966933733511143</v>
      </c>
      <c r="D813">
        <f t="shared" si="38"/>
        <v>797.1024966716908</v>
      </c>
    </row>
    <row r="814" spans="1:4" x14ac:dyDescent="0.15">
      <c r="A814">
        <v>81.2</v>
      </c>
      <c r="B814">
        <f t="shared" si="36"/>
        <v>202.38869267691726</v>
      </c>
      <c r="C814">
        <f t="shared" si="37"/>
        <v>1.4788767839249113</v>
      </c>
      <c r="D814">
        <f t="shared" si="38"/>
        <v>797.13243053915778</v>
      </c>
    </row>
    <row r="815" spans="1:4" x14ac:dyDescent="0.15">
      <c r="A815">
        <v>81.3</v>
      </c>
      <c r="B815">
        <f t="shared" si="36"/>
        <v>202.37672035936009</v>
      </c>
      <c r="C815">
        <f t="shared" si="37"/>
        <v>1.4612715658035653</v>
      </c>
      <c r="D815">
        <f t="shared" si="38"/>
        <v>797.16200807483631</v>
      </c>
    </row>
    <row r="816" spans="1:4" x14ac:dyDescent="0.15">
      <c r="A816">
        <v>81.400000000000006</v>
      </c>
      <c r="B816">
        <f t="shared" si="36"/>
        <v>202.36489126547843</v>
      </c>
      <c r="C816">
        <f t="shared" si="37"/>
        <v>1.4438752283691625</v>
      </c>
      <c r="D816">
        <f t="shared" si="38"/>
        <v>797.19123350615234</v>
      </c>
    </row>
    <row r="817" spans="1:4" x14ac:dyDescent="0.15">
      <c r="A817">
        <v>81.5</v>
      </c>
      <c r="B817">
        <f t="shared" si="36"/>
        <v>202.35320367933485</v>
      </c>
      <c r="C817">
        <f t="shared" si="37"/>
        <v>1.4266853099453729</v>
      </c>
      <c r="D817">
        <f t="shared" si="38"/>
        <v>797.22011101071973</v>
      </c>
    </row>
    <row r="818" spans="1:4" x14ac:dyDescent="0.15">
      <c r="A818">
        <v>81.599999999999994</v>
      </c>
      <c r="B818">
        <f t="shared" si="36"/>
        <v>202.34165590561048</v>
      </c>
      <c r="C818">
        <f t="shared" si="37"/>
        <v>1.4096993774708531</v>
      </c>
      <c r="D818">
        <f t="shared" si="38"/>
        <v>797.24864471691865</v>
      </c>
    </row>
    <row r="819" spans="1:4" x14ac:dyDescent="0.15">
      <c r="A819">
        <v>81.7</v>
      </c>
      <c r="B819">
        <f t="shared" si="36"/>
        <v>202.33024626935583</v>
      </c>
      <c r="C819">
        <f t="shared" si="37"/>
        <v>1.3929150261760985</v>
      </c>
      <c r="D819">
        <f t="shared" si="38"/>
        <v>797.2768387044681</v>
      </c>
    </row>
    <row r="820" spans="1:4" x14ac:dyDescent="0.15">
      <c r="A820">
        <v>81.8</v>
      </c>
      <c r="B820">
        <f t="shared" si="36"/>
        <v>202.31897311574468</v>
      </c>
      <c r="C820">
        <f t="shared" si="37"/>
        <v>1.3763298792637164</v>
      </c>
      <c r="D820">
        <f t="shared" si="38"/>
        <v>797.30469700499168</v>
      </c>
    </row>
    <row r="821" spans="1:4" x14ac:dyDescent="0.15">
      <c r="A821">
        <v>81.900000000000006</v>
      </c>
      <c r="B821">
        <f t="shared" si="36"/>
        <v>202.30783480983104</v>
      </c>
      <c r="C821">
        <f t="shared" si="37"/>
        <v>1.3599415875920882</v>
      </c>
      <c r="D821">
        <f t="shared" si="38"/>
        <v>797.33222360257696</v>
      </c>
    </row>
    <row r="822" spans="1:4" x14ac:dyDescent="0.15">
      <c r="A822">
        <v>82</v>
      </c>
      <c r="B822">
        <f t="shared" si="36"/>
        <v>202.29682973630889</v>
      </c>
      <c r="C822">
        <f t="shared" si="37"/>
        <v>1.3437478293623903</v>
      </c>
      <c r="D822">
        <f t="shared" si="38"/>
        <v>797.35942243432885</v>
      </c>
    </row>
    <row r="823" spans="1:4" x14ac:dyDescent="0.15">
      <c r="A823">
        <v>82.1</v>
      </c>
      <c r="B823">
        <f t="shared" si="36"/>
        <v>202.28595629927509</v>
      </c>
      <c r="C823">
        <f t="shared" si="37"/>
        <v>1.3277463098089448</v>
      </c>
      <c r="D823">
        <f t="shared" si="38"/>
        <v>797.38629739091607</v>
      </c>
    </row>
    <row r="824" spans="1:4" x14ac:dyDescent="0.15">
      <c r="A824">
        <v>82.2</v>
      </c>
      <c r="B824">
        <f t="shared" si="36"/>
        <v>202.27521292199498</v>
      </c>
      <c r="C824">
        <f t="shared" si="37"/>
        <v>1.3119347608928673</v>
      </c>
      <c r="D824">
        <f t="shared" si="38"/>
        <v>797.4128523171122</v>
      </c>
    </row>
    <row r="825" spans="1:4" x14ac:dyDescent="0.15">
      <c r="A825">
        <v>82.3</v>
      </c>
      <c r="B825">
        <f t="shared" si="36"/>
        <v>202.26459804667101</v>
      </c>
      <c r="C825">
        <f t="shared" si="37"/>
        <v>1.2963109409989848</v>
      </c>
      <c r="D825">
        <f t="shared" si="38"/>
        <v>797.4390910123301</v>
      </c>
    </row>
    <row r="826" spans="1:4" x14ac:dyDescent="0.15">
      <c r="A826">
        <v>82.4</v>
      </c>
      <c r="B826">
        <f t="shared" si="36"/>
        <v>202.25411013421402</v>
      </c>
      <c r="C826">
        <f t="shared" si="37"/>
        <v>1.2808726346359915</v>
      </c>
      <c r="D826">
        <f t="shared" si="38"/>
        <v>797.46501723115011</v>
      </c>
    </row>
    <row r="827" spans="1:4" x14ac:dyDescent="0.15">
      <c r="A827">
        <v>82.5</v>
      </c>
      <c r="B827">
        <f t="shared" si="36"/>
        <v>202.24374766401746</v>
      </c>
      <c r="C827">
        <f t="shared" si="37"/>
        <v>1.2656176521398144</v>
      </c>
      <c r="D827">
        <f t="shared" si="38"/>
        <v>797.49063468384281</v>
      </c>
    </row>
    <row r="828" spans="1:4" x14ac:dyDescent="0.15">
      <c r="A828">
        <v>82.6</v>
      </c>
      <c r="B828">
        <f t="shared" si="36"/>
        <v>202.23350913373432</v>
      </c>
      <c r="C828">
        <f t="shared" si="37"/>
        <v>1.2505438293801576</v>
      </c>
      <c r="D828">
        <f t="shared" si="38"/>
        <v>797.51594703688556</v>
      </c>
    </row>
    <row r="829" spans="1:4" x14ac:dyDescent="0.15">
      <c r="A829">
        <v>82.7</v>
      </c>
      <c r="B829">
        <f t="shared" si="36"/>
        <v>202.22339305905666</v>
      </c>
      <c r="C829">
        <f t="shared" si="37"/>
        <v>1.2356490274701979</v>
      </c>
      <c r="D829">
        <f t="shared" si="38"/>
        <v>797.54095791347322</v>
      </c>
    </row>
    <row r="830" spans="1:4" x14ac:dyDescent="0.15">
      <c r="A830">
        <v>82.8</v>
      </c>
      <c r="B830">
        <f t="shared" si="36"/>
        <v>202.21339797349805</v>
      </c>
      <c r="C830">
        <f t="shared" si="37"/>
        <v>1.2209311324793999</v>
      </c>
      <c r="D830">
        <f t="shared" si="38"/>
        <v>797.56567089402267</v>
      </c>
    </row>
    <row r="831" spans="1:4" x14ac:dyDescent="0.15">
      <c r="A831">
        <v>82.9</v>
      </c>
      <c r="B831">
        <f t="shared" si="36"/>
        <v>202.20352242817845</v>
      </c>
      <c r="C831">
        <f t="shared" si="37"/>
        <v>1.2063880551494235</v>
      </c>
      <c r="D831">
        <f t="shared" si="38"/>
        <v>797.59008951667226</v>
      </c>
    </row>
    <row r="832" spans="1:4" x14ac:dyDescent="0.15">
      <c r="A832">
        <v>83</v>
      </c>
      <c r="B832">
        <f t="shared" si="36"/>
        <v>202.19376499161177</v>
      </c>
      <c r="C832">
        <f t="shared" si="37"/>
        <v>1.1920177306130948</v>
      </c>
      <c r="D832">
        <f t="shared" si="38"/>
        <v>797.6142172777752</v>
      </c>
    </row>
    <row r="833" spans="1:4" x14ac:dyDescent="0.15">
      <c r="A833">
        <v>83.1</v>
      </c>
      <c r="B833">
        <f t="shared" si="36"/>
        <v>202.18412424949619</v>
      </c>
      <c r="C833">
        <f t="shared" si="37"/>
        <v>1.1778181181164096</v>
      </c>
      <c r="D833">
        <f t="shared" si="38"/>
        <v>797.63805763238747</v>
      </c>
    </row>
    <row r="834" spans="1:4" x14ac:dyDescent="0.15">
      <c r="A834">
        <v>83.2</v>
      </c>
      <c r="B834">
        <f t="shared" si="36"/>
        <v>202.17459880450673</v>
      </c>
      <c r="C834">
        <f t="shared" si="37"/>
        <v>1.1637872007435437</v>
      </c>
      <c r="D834">
        <f t="shared" si="38"/>
        <v>797.66161399474981</v>
      </c>
    </row>
    <row r="835" spans="1:4" x14ac:dyDescent="0.15">
      <c r="A835">
        <v>83.3</v>
      </c>
      <c r="B835">
        <f t="shared" si="36"/>
        <v>202.16518727609056</v>
      </c>
      <c r="C835">
        <f t="shared" si="37"/>
        <v>1.1499229851448387</v>
      </c>
      <c r="D835">
        <f t="shared" si="38"/>
        <v>797.6848897387647</v>
      </c>
    </row>
    <row r="836" spans="1:4" x14ac:dyDescent="0.15">
      <c r="A836">
        <v>83.4</v>
      </c>
      <c r="B836">
        <f t="shared" ref="B836:B899" si="39">B835-$G$1*B835*C835*$A$3</f>
        <v>202.15588830026476</v>
      </c>
      <c r="C836">
        <f t="shared" ref="C836:C899" si="40">C835+($G$1*B835*C835-$G$2*C835)*$A$3</f>
        <v>1.1362235012677375</v>
      </c>
      <c r="D836">
        <f t="shared" ref="D836:D899" si="41">D835+$G$2*C835*$A$3</f>
        <v>797.70788819846757</v>
      </c>
    </row>
    <row r="837" spans="1:4" x14ac:dyDescent="0.15">
      <c r="A837">
        <v>83.5</v>
      </c>
      <c r="B837">
        <f t="shared" si="39"/>
        <v>202.14670052941651</v>
      </c>
      <c r="C837">
        <f t="shared" si="40"/>
        <v>1.1226868020906395</v>
      </c>
      <c r="D837">
        <f t="shared" si="41"/>
        <v>797.73061266849288</v>
      </c>
    </row>
    <row r="838" spans="1:4" x14ac:dyDescent="0.15">
      <c r="A838">
        <v>83.6</v>
      </c>
      <c r="B838">
        <f t="shared" si="39"/>
        <v>202.13762263210569</v>
      </c>
      <c r="C838">
        <f t="shared" si="40"/>
        <v>1.1093109633596485</v>
      </c>
      <c r="D838">
        <f t="shared" si="41"/>
        <v>797.75306640453471</v>
      </c>
    </row>
    <row r="839" spans="1:4" x14ac:dyDescent="0.15">
      <c r="A839">
        <v>83.7</v>
      </c>
      <c r="B839">
        <f t="shared" si="39"/>
        <v>202.12865329286996</v>
      </c>
      <c r="C839">
        <f t="shared" si="40"/>
        <v>1.0960940833281856</v>
      </c>
      <c r="D839">
        <f t="shared" si="41"/>
        <v>797.77525262380186</v>
      </c>
    </row>
    <row r="840" spans="1:4" x14ac:dyDescent="0.15">
      <c r="A840">
        <v>83.8</v>
      </c>
      <c r="B840">
        <f t="shared" si="39"/>
        <v>202.11979121203214</v>
      </c>
      <c r="C840">
        <f t="shared" si="40"/>
        <v>1.0830342824994383</v>
      </c>
      <c r="D840">
        <f t="shared" si="41"/>
        <v>797.79717450546843</v>
      </c>
    </row>
    <row r="841" spans="1:4" x14ac:dyDescent="0.15">
      <c r="A841">
        <v>83.9</v>
      </c>
      <c r="B841">
        <f t="shared" si="39"/>
        <v>202.11103510550998</v>
      </c>
      <c r="C841">
        <f t="shared" si="40"/>
        <v>1.0701297033716199</v>
      </c>
      <c r="D841">
        <f t="shared" si="41"/>
        <v>797.81883519111841</v>
      </c>
    </row>
    <row r="842" spans="1:4" x14ac:dyDescent="0.15">
      <c r="A842">
        <v>84</v>
      </c>
      <c r="B842">
        <f t="shared" si="39"/>
        <v>202.10238370462815</v>
      </c>
      <c r="C842">
        <f t="shared" si="40"/>
        <v>1.0573785101860111</v>
      </c>
      <c r="D842">
        <f t="shared" si="41"/>
        <v>797.84023778518588</v>
      </c>
    </row>
    <row r="843" spans="1:4" x14ac:dyDescent="0.15">
      <c r="A843">
        <v>84.1</v>
      </c>
      <c r="B843">
        <f t="shared" si="39"/>
        <v>202.09383575593267</v>
      </c>
      <c r="C843">
        <f t="shared" si="40"/>
        <v>1.0447788886777565</v>
      </c>
      <c r="D843">
        <f t="shared" si="41"/>
        <v>797.86138535538964</v>
      </c>
    </row>
    <row r="844" spans="1:4" x14ac:dyDescent="0.15">
      <c r="A844">
        <v>84.2</v>
      </c>
      <c r="B844">
        <f t="shared" si="39"/>
        <v>202.0853900210075</v>
      </c>
      <c r="C844">
        <f t="shared" si="40"/>
        <v>1.0323290458293897</v>
      </c>
      <c r="D844">
        <f t="shared" si="41"/>
        <v>797.8822809331632</v>
      </c>
    </row>
    <row r="845" spans="1:4" x14ac:dyDescent="0.15">
      <c r="A845">
        <v>84.3</v>
      </c>
      <c r="B845">
        <f t="shared" si="39"/>
        <v>202.07704527629323</v>
      </c>
      <c r="C845">
        <f t="shared" si="40"/>
        <v>1.0200272096270597</v>
      </c>
      <c r="D845">
        <f t="shared" si="41"/>
        <v>797.90292751407981</v>
      </c>
    </row>
    <row r="846" spans="1:4" x14ac:dyDescent="0.15">
      <c r="A846">
        <v>84.4</v>
      </c>
      <c r="B846">
        <f t="shared" si="39"/>
        <v>202.06880031290831</v>
      </c>
      <c r="C846">
        <f t="shared" si="40"/>
        <v>1.0078716288194329</v>
      </c>
      <c r="D846">
        <f t="shared" si="41"/>
        <v>797.92332805827232</v>
      </c>
    </row>
    <row r="847" spans="1:4" x14ac:dyDescent="0.15">
      <c r="A847">
        <v>84.5</v>
      </c>
      <c r="B847">
        <f t="shared" si="39"/>
        <v>202.06065393647211</v>
      </c>
      <c r="C847">
        <f t="shared" si="40"/>
        <v>0.99586057267924266</v>
      </c>
      <c r="D847">
        <f t="shared" si="41"/>
        <v>797.94348549084873</v>
      </c>
    </row>
    <row r="848" spans="1:4" x14ac:dyDescent="0.15">
      <c r="A848">
        <v>84.6</v>
      </c>
      <c r="B848">
        <f t="shared" si="39"/>
        <v>202.05260496693029</v>
      </c>
      <c r="C848">
        <f t="shared" si="40"/>
        <v>0.98399233076746251</v>
      </c>
      <c r="D848">
        <f t="shared" si="41"/>
        <v>797.96340270230235</v>
      </c>
    </row>
    <row r="849" spans="1:4" x14ac:dyDescent="0.15">
      <c r="A849">
        <v>84.7</v>
      </c>
      <c r="B849">
        <f t="shared" si="39"/>
        <v>202.04465223838233</v>
      </c>
      <c r="C849">
        <f t="shared" si="40"/>
        <v>0.97226521270007515</v>
      </c>
      <c r="D849">
        <f t="shared" si="41"/>
        <v>797.98308254891765</v>
      </c>
    </row>
    <row r="850" spans="1:4" x14ac:dyDescent="0.15">
      <c r="A850">
        <v>84.8</v>
      </c>
      <c r="B850">
        <f t="shared" si="39"/>
        <v>202.036794598911</v>
      </c>
      <c r="C850">
        <f t="shared" si="40"/>
        <v>0.96067754791741222</v>
      </c>
      <c r="D850">
        <f t="shared" si="41"/>
        <v>798.00252785317161</v>
      </c>
    </row>
    <row r="851" spans="1:4" x14ac:dyDescent="0.15">
      <c r="A851">
        <v>84.9</v>
      </c>
      <c r="B851">
        <f t="shared" si="39"/>
        <v>202.02903091041404</v>
      </c>
      <c r="C851">
        <f t="shared" si="40"/>
        <v>0.94922768545603897</v>
      </c>
      <c r="D851">
        <f t="shared" si="41"/>
        <v>798.02174140413001</v>
      </c>
    </row>
    <row r="852" spans="1:4" x14ac:dyDescent="0.15">
      <c r="A852">
        <v>85</v>
      </c>
      <c r="B852">
        <f t="shared" si="39"/>
        <v>202.0213600484378</v>
      </c>
      <c r="C852">
        <f t="shared" si="40"/>
        <v>0.93791399372315898</v>
      </c>
      <c r="D852">
        <f t="shared" si="41"/>
        <v>798.04072595783919</v>
      </c>
    </row>
    <row r="853" spans="1:4" x14ac:dyDescent="0.15">
      <c r="A853">
        <v>85.1</v>
      </c>
      <c r="B853">
        <f t="shared" si="39"/>
        <v>202.013780902013</v>
      </c>
      <c r="C853">
        <f t="shared" si="40"/>
        <v>0.92673486027351237</v>
      </c>
      <c r="D853">
        <f t="shared" si="41"/>
        <v>798.0594842377136</v>
      </c>
    </row>
    <row r="854" spans="1:4" x14ac:dyDescent="0.15">
      <c r="A854">
        <v>85.2</v>
      </c>
      <c r="B854">
        <f t="shared" si="39"/>
        <v>202.0062923734923</v>
      </c>
      <c r="C854">
        <f t="shared" si="40"/>
        <v>0.91568869158874411</v>
      </c>
      <c r="D854">
        <f t="shared" si="41"/>
        <v>798.0780189349191</v>
      </c>
    </row>
    <row r="855" spans="1:4" x14ac:dyDescent="0.15">
      <c r="A855">
        <v>85.3</v>
      </c>
      <c r="B855">
        <f t="shared" si="39"/>
        <v>201.99889337839005</v>
      </c>
      <c r="C855">
        <f t="shared" si="40"/>
        <v>0.90477391285921627</v>
      </c>
      <c r="D855">
        <f t="shared" si="41"/>
        <v>798.09633270875088</v>
      </c>
    </row>
    <row r="856" spans="1:4" x14ac:dyDescent="0.15">
      <c r="A856">
        <v>85.4</v>
      </c>
      <c r="B856">
        <f t="shared" si="39"/>
        <v>201.99158284522383</v>
      </c>
      <c r="C856">
        <f t="shared" si="40"/>
        <v>0.89398896776823988</v>
      </c>
      <c r="D856">
        <f t="shared" si="41"/>
        <v>798.11442818700812</v>
      </c>
    </row>
    <row r="857" spans="1:4" x14ac:dyDescent="0.15">
      <c r="A857">
        <v>85.5</v>
      </c>
      <c r="B857">
        <f t="shared" si="39"/>
        <v>201.98435971535801</v>
      </c>
      <c r="C857">
        <f t="shared" si="40"/>
        <v>0.88333231827870207</v>
      </c>
      <c r="D857">
        <f t="shared" si="41"/>
        <v>798.13230796636344</v>
      </c>
    </row>
    <row r="858" spans="1:4" x14ac:dyDescent="0.15">
      <c r="A858">
        <v>85.6</v>
      </c>
      <c r="B858">
        <f t="shared" si="39"/>
        <v>201.97722294284907</v>
      </c>
      <c r="C858">
        <f t="shared" si="40"/>
        <v>0.87280244442206423</v>
      </c>
      <c r="D858">
        <f t="shared" si="41"/>
        <v>798.14997461272901</v>
      </c>
    </row>
    <row r="859" spans="1:4" x14ac:dyDescent="0.15">
      <c r="A859">
        <v>85.7</v>
      </c>
      <c r="B859">
        <f t="shared" si="39"/>
        <v>201.97017149429297</v>
      </c>
      <c r="C859">
        <f t="shared" si="40"/>
        <v>0.86239784408970688</v>
      </c>
      <c r="D859">
        <f t="shared" si="41"/>
        <v>798.16743066161746</v>
      </c>
    </row>
    <row r="860" spans="1:4" x14ac:dyDescent="0.15">
      <c r="A860">
        <v>85.8</v>
      </c>
      <c r="B860">
        <f t="shared" si="39"/>
        <v>201.96320434867428</v>
      </c>
      <c r="C860">
        <f t="shared" si="40"/>
        <v>0.85211703282659701</v>
      </c>
      <c r="D860">
        <f t="shared" si="41"/>
        <v>798.18467861849922</v>
      </c>
    </row>
    <row r="861" spans="1:4" x14ac:dyDescent="0.15">
      <c r="A861">
        <v>85.9</v>
      </c>
      <c r="B861">
        <f t="shared" si="39"/>
        <v>201.95632049721709</v>
      </c>
      <c r="C861">
        <f t="shared" si="40"/>
        <v>0.84195854362725486</v>
      </c>
      <c r="D861">
        <f t="shared" si="41"/>
        <v>798.20172095915575</v>
      </c>
    </row>
    <row r="862" spans="1:4" x14ac:dyDescent="0.15">
      <c r="A862">
        <v>86</v>
      </c>
      <c r="B862">
        <f t="shared" si="39"/>
        <v>201.94951894323782</v>
      </c>
      <c r="C862">
        <f t="shared" si="40"/>
        <v>0.83192092673399598</v>
      </c>
      <c r="D862">
        <f t="shared" si="41"/>
        <v>798.21856013002832</v>
      </c>
    </row>
    <row r="863" spans="1:4" x14ac:dyDescent="0.15">
      <c r="A863">
        <v>86.1</v>
      </c>
      <c r="B863">
        <f t="shared" si="39"/>
        <v>201.94279870199972</v>
      </c>
      <c r="C863">
        <f t="shared" si="40"/>
        <v>0.82200274943742579</v>
      </c>
      <c r="D863">
        <f t="shared" si="41"/>
        <v>798.23519854856295</v>
      </c>
    </row>
    <row r="864" spans="1:4" x14ac:dyDescent="0.15">
      <c r="A864">
        <v>86.2</v>
      </c>
      <c r="B864">
        <f t="shared" si="39"/>
        <v>201.93615880056925</v>
      </c>
      <c r="C864">
        <f t="shared" si="40"/>
        <v>0.81220259587916255</v>
      </c>
      <c r="D864">
        <f t="shared" si="41"/>
        <v>798.25163860355167</v>
      </c>
    </row>
    <row r="865" spans="1:4" x14ac:dyDescent="0.15">
      <c r="A865">
        <v>86.3</v>
      </c>
      <c r="B865">
        <f t="shared" si="39"/>
        <v>201.92959827767405</v>
      </c>
      <c r="C865">
        <f t="shared" si="40"/>
        <v>0.80251906685676688</v>
      </c>
      <c r="D865">
        <f t="shared" si="41"/>
        <v>798.26788265546929</v>
      </c>
    </row>
    <row r="866" spans="1:4" x14ac:dyDescent="0.15">
      <c r="A866">
        <v>86.4</v>
      </c>
      <c r="B866">
        <f t="shared" si="39"/>
        <v>201.92311618356283</v>
      </c>
      <c r="C866">
        <f t="shared" si="40"/>
        <v>0.79295077963085392</v>
      </c>
      <c r="D866">
        <f t="shared" si="41"/>
        <v>798.28393303680639</v>
      </c>
    </row>
    <row r="867" spans="1:4" x14ac:dyDescent="0.15">
      <c r="A867">
        <v>86.5</v>
      </c>
      <c r="B867">
        <f t="shared" si="39"/>
        <v>201.9167115798667</v>
      </c>
      <c r="C867">
        <f t="shared" si="40"/>
        <v>0.78349636773436671</v>
      </c>
      <c r="D867">
        <f t="shared" si="41"/>
        <v>798.29979205239897</v>
      </c>
    </row>
    <row r="868" spans="1:4" x14ac:dyDescent="0.15">
      <c r="A868">
        <v>86.6</v>
      </c>
      <c r="B868">
        <f t="shared" si="39"/>
        <v>201.9103835394624</v>
      </c>
      <c r="C868">
        <f t="shared" si="40"/>
        <v>0.77415448078398708</v>
      </c>
      <c r="D868">
        <f t="shared" si="41"/>
        <v>798.31546197975365</v>
      </c>
    </row>
    <row r="869" spans="1:4" x14ac:dyDescent="0.15">
      <c r="A869">
        <v>86.7</v>
      </c>
      <c r="B869">
        <f t="shared" si="39"/>
        <v>201.90413114633705</v>
      </c>
      <c r="C869">
        <f t="shared" si="40"/>
        <v>0.76492378429366281</v>
      </c>
      <c r="D869">
        <f t="shared" si="41"/>
        <v>798.33094506936936</v>
      </c>
    </row>
    <row r="870" spans="1:4" x14ac:dyDescent="0.15">
      <c r="A870">
        <v>86.8</v>
      </c>
      <c r="B870">
        <f t="shared" si="39"/>
        <v>201.8979534954546</v>
      </c>
      <c r="C870">
        <f t="shared" si="40"/>
        <v>0.7558029594902288</v>
      </c>
      <c r="D870">
        <f t="shared" si="41"/>
        <v>798.34624354505524</v>
      </c>
    </row>
    <row r="871" spans="1:4" x14ac:dyDescent="0.15">
      <c r="A871">
        <v>86.9</v>
      </c>
      <c r="B871">
        <f t="shared" si="39"/>
        <v>201.89184969262394</v>
      </c>
      <c r="C871">
        <f t="shared" si="40"/>
        <v>0.74679070313109963</v>
      </c>
      <c r="D871">
        <f t="shared" si="41"/>
        <v>798.36135960424508</v>
      </c>
    </row>
    <row r="872" spans="1:4" x14ac:dyDescent="0.15">
      <c r="A872">
        <v>87</v>
      </c>
      <c r="B872">
        <f t="shared" si="39"/>
        <v>201.88581885436841</v>
      </c>
      <c r="C872">
        <f t="shared" si="40"/>
        <v>0.73788572732401336</v>
      </c>
      <c r="D872">
        <f t="shared" si="41"/>
        <v>798.37629541830768</v>
      </c>
    </row>
    <row r="873" spans="1:4" x14ac:dyDescent="0.15">
      <c r="A873">
        <v>87.1</v>
      </c>
      <c r="B873">
        <f t="shared" si="39"/>
        <v>201.87986010779713</v>
      </c>
      <c r="C873">
        <f t="shared" si="40"/>
        <v>0.72908675934880351</v>
      </c>
      <c r="D873">
        <f t="shared" si="41"/>
        <v>798.39105313285415</v>
      </c>
    </row>
    <row r="874" spans="1:4" x14ac:dyDescent="0.15">
      <c r="A874">
        <v>87.2</v>
      </c>
      <c r="B874">
        <f t="shared" si="39"/>
        <v>201.87397259047776</v>
      </c>
      <c r="C874">
        <f t="shared" si="40"/>
        <v>0.72039254148117882</v>
      </c>
      <c r="D874">
        <f t="shared" si="41"/>
        <v>798.40563486804115</v>
      </c>
    </row>
    <row r="875" spans="1:4" x14ac:dyDescent="0.15">
      <c r="A875">
        <v>87.3</v>
      </c>
      <c r="B875">
        <f t="shared" si="39"/>
        <v>201.86815545031084</v>
      </c>
      <c r="C875">
        <f t="shared" si="40"/>
        <v>0.71180183081848947</v>
      </c>
      <c r="D875">
        <f t="shared" si="41"/>
        <v>798.42004271887072</v>
      </c>
    </row>
    <row r="876" spans="1:4" x14ac:dyDescent="0.15">
      <c r="A876">
        <v>87.4</v>
      </c>
      <c r="B876">
        <f t="shared" si="39"/>
        <v>201.8624078454055</v>
      </c>
      <c r="C876">
        <f t="shared" si="40"/>
        <v>0.70331339910745894</v>
      </c>
      <c r="D876">
        <f t="shared" si="41"/>
        <v>798.43427875548707</v>
      </c>
    </row>
    <row r="877" spans="1:4" x14ac:dyDescent="0.15">
      <c r="A877">
        <v>87.5</v>
      </c>
      <c r="B877">
        <f t="shared" si="39"/>
        <v>201.85672894395694</v>
      </c>
      <c r="C877">
        <f t="shared" si="40"/>
        <v>0.69492603257386054</v>
      </c>
      <c r="D877">
        <f t="shared" si="41"/>
        <v>798.44834502346919</v>
      </c>
    </row>
    <row r="878" spans="1:4" x14ac:dyDescent="0.15">
      <c r="A878">
        <v>87.6</v>
      </c>
      <c r="B878">
        <f t="shared" si="39"/>
        <v>201.85111792412519</v>
      </c>
      <c r="C878">
        <f t="shared" si="40"/>
        <v>0.68663853175411782</v>
      </c>
      <c r="D878">
        <f t="shared" si="41"/>
        <v>798.46224354412061</v>
      </c>
    </row>
    <row r="879" spans="1:4" x14ac:dyDescent="0.15">
      <c r="A879">
        <v>87.7</v>
      </c>
      <c r="B879">
        <f t="shared" si="39"/>
        <v>201.84557397391541</v>
      </c>
      <c r="C879">
        <f t="shared" si="40"/>
        <v>0.67844971132880938</v>
      </c>
      <c r="D879">
        <f t="shared" si="41"/>
        <v>798.47597631475571</v>
      </c>
    </row>
    <row r="880" spans="1:4" x14ac:dyDescent="0.15">
      <c r="A880">
        <v>87.8</v>
      </c>
      <c r="B880">
        <f t="shared" si="39"/>
        <v>201.84009629105958</v>
      </c>
      <c r="C880">
        <f t="shared" si="40"/>
        <v>0.67035839995805724</v>
      </c>
      <c r="D880">
        <f t="shared" si="41"/>
        <v>798.48954530898231</v>
      </c>
    </row>
    <row r="881" spans="1:4" x14ac:dyDescent="0.15">
      <c r="A881">
        <v>87.9</v>
      </c>
      <c r="B881">
        <f t="shared" si="39"/>
        <v>201.83468408289968</v>
      </c>
      <c r="C881">
        <f t="shared" si="40"/>
        <v>0.66236344011877824</v>
      </c>
      <c r="D881">
        <f t="shared" si="41"/>
        <v>798.50295247698148</v>
      </c>
    </row>
    <row r="882" spans="1:4" x14ac:dyDescent="0.15">
      <c r="A882">
        <v>88</v>
      </c>
      <c r="B882">
        <f t="shared" si="39"/>
        <v>201.8293365662723</v>
      </c>
      <c r="C882">
        <f t="shared" si="40"/>
        <v>0.65446368794378007</v>
      </c>
      <c r="D882">
        <f t="shared" si="41"/>
        <v>798.51619974578387</v>
      </c>
    </row>
    <row r="883" spans="1:4" x14ac:dyDescent="0.15">
      <c r="A883">
        <v>88.1</v>
      </c>
      <c r="B883">
        <f t="shared" si="39"/>
        <v>201.82405296739452</v>
      </c>
      <c r="C883">
        <f t="shared" si="40"/>
        <v>0.64665801306268078</v>
      </c>
      <c r="D883">
        <f t="shared" si="41"/>
        <v>798.52928901954272</v>
      </c>
    </row>
    <row r="884" spans="1:4" x14ac:dyDescent="0.15">
      <c r="A884">
        <v>88.2</v>
      </c>
      <c r="B884">
        <f t="shared" si="39"/>
        <v>201.81883252175132</v>
      </c>
      <c r="C884">
        <f t="shared" si="40"/>
        <v>0.63894529844463333</v>
      </c>
      <c r="D884">
        <f t="shared" si="41"/>
        <v>798.54222217980396</v>
      </c>
    </row>
    <row r="885" spans="1:4" x14ac:dyDescent="0.15">
      <c r="A885">
        <v>88.3</v>
      </c>
      <c r="B885">
        <f t="shared" si="39"/>
        <v>201.81367447398424</v>
      </c>
      <c r="C885">
        <f t="shared" si="40"/>
        <v>0.63132444024283496</v>
      </c>
      <c r="D885">
        <f t="shared" si="41"/>
        <v>798.5550010857728</v>
      </c>
    </row>
    <row r="886" spans="1:4" x14ac:dyDescent="0.15">
      <c r="A886">
        <v>88.4</v>
      </c>
      <c r="B886">
        <f t="shared" si="39"/>
        <v>201.80857807778142</v>
      </c>
      <c r="C886">
        <f t="shared" si="40"/>
        <v>0.62379434764080377</v>
      </c>
      <c r="D886">
        <f t="shared" si="41"/>
        <v>798.56762757457761</v>
      </c>
    </row>
    <row r="887" spans="1:4" x14ac:dyDescent="0.15">
      <c r="A887">
        <v>88.5</v>
      </c>
      <c r="B887">
        <f t="shared" si="39"/>
        <v>201.80354259576902</v>
      </c>
      <c r="C887">
        <f t="shared" si="40"/>
        <v>0.61635394270040156</v>
      </c>
      <c r="D887">
        <f t="shared" si="41"/>
        <v>798.58010346153048</v>
      </c>
    </row>
    <row r="888" spans="1:4" x14ac:dyDescent="0.15">
      <c r="A888">
        <v>88.6</v>
      </c>
      <c r="B888">
        <f t="shared" si="39"/>
        <v>201.79856729940383</v>
      </c>
      <c r="C888">
        <f t="shared" si="40"/>
        <v>0.60900216021158593</v>
      </c>
      <c r="D888">
        <f t="shared" si="41"/>
        <v>798.5924305403845</v>
      </c>
    </row>
    <row r="889" spans="1:4" x14ac:dyDescent="0.15">
      <c r="A889">
        <v>88.7</v>
      </c>
      <c r="B889">
        <f t="shared" si="39"/>
        <v>201.79365146886732</v>
      </c>
      <c r="C889">
        <f t="shared" si="40"/>
        <v>0.60173794754387178</v>
      </c>
      <c r="D889">
        <f t="shared" si="41"/>
        <v>798.60461058358874</v>
      </c>
    </row>
    <row r="890" spans="1:4" x14ac:dyDescent="0.15">
      <c r="A890">
        <v>88.8</v>
      </c>
      <c r="B890">
        <f t="shared" si="39"/>
        <v>201.78879439296082</v>
      </c>
      <c r="C890">
        <f t="shared" si="40"/>
        <v>0.59456026449948474</v>
      </c>
      <c r="D890">
        <f t="shared" si="41"/>
        <v>798.61664534253964</v>
      </c>
    </row>
    <row r="891" spans="1:4" x14ac:dyDescent="0.15">
      <c r="A891">
        <v>88.9</v>
      </c>
      <c r="B891">
        <f t="shared" si="39"/>
        <v>201.78399536900213</v>
      </c>
      <c r="C891">
        <f t="shared" si="40"/>
        <v>0.58746808316818744</v>
      </c>
      <c r="D891">
        <f t="shared" si="41"/>
        <v>798.62853654782964</v>
      </c>
    </row>
    <row r="892" spans="1:4" x14ac:dyDescent="0.15">
      <c r="A892">
        <v>89</v>
      </c>
      <c r="B892">
        <f t="shared" si="39"/>
        <v>201.7792537027232</v>
      </c>
      <c r="C892">
        <f t="shared" si="40"/>
        <v>0.58046038778376152</v>
      </c>
      <c r="D892">
        <f t="shared" si="41"/>
        <v>798.64028590949306</v>
      </c>
    </row>
    <row r="893" spans="1:4" x14ac:dyDescent="0.15">
      <c r="A893">
        <v>89.1</v>
      </c>
      <c r="B893">
        <f t="shared" si="39"/>
        <v>201.77456870816917</v>
      </c>
      <c r="C893">
        <f t="shared" si="40"/>
        <v>0.57353617458212636</v>
      </c>
      <c r="D893">
        <f t="shared" si="41"/>
        <v>798.65189511724873</v>
      </c>
    </row>
    <row r="894" spans="1:4" x14ac:dyDescent="0.15">
      <c r="A894">
        <v>89.2</v>
      </c>
      <c r="B894">
        <f t="shared" si="39"/>
        <v>201.76993970759858</v>
      </c>
      <c r="C894">
        <f t="shared" si="40"/>
        <v>0.56669445166107746</v>
      </c>
      <c r="D894">
        <f t="shared" si="41"/>
        <v>798.66336584074043</v>
      </c>
    </row>
    <row r="895" spans="1:4" x14ac:dyDescent="0.15">
      <c r="A895">
        <v>89.3</v>
      </c>
      <c r="B895">
        <f t="shared" si="39"/>
        <v>201.76536603138481</v>
      </c>
      <c r="C895">
        <f t="shared" si="40"/>
        <v>0.55993423884162741</v>
      </c>
      <c r="D895">
        <f t="shared" si="41"/>
        <v>798.67469972977369</v>
      </c>
    </row>
    <row r="896" spans="1:4" x14ac:dyDescent="0.15">
      <c r="A896">
        <v>89.4</v>
      </c>
      <c r="B896">
        <f t="shared" si="39"/>
        <v>201.76084701791868</v>
      </c>
      <c r="C896">
        <f t="shared" si="40"/>
        <v>0.55325456753093027</v>
      </c>
      <c r="D896">
        <f t="shared" si="41"/>
        <v>798.68589841455048</v>
      </c>
    </row>
    <row r="897" spans="1:4" x14ac:dyDescent="0.15">
      <c r="A897">
        <v>89.5</v>
      </c>
      <c r="B897">
        <f t="shared" si="39"/>
        <v>201.75638201351222</v>
      </c>
      <c r="C897">
        <f t="shared" si="40"/>
        <v>0.54665448058677457</v>
      </c>
      <c r="D897">
        <f t="shared" si="41"/>
        <v>798.69696350590107</v>
      </c>
    </row>
    <row r="898" spans="1:4" x14ac:dyDescent="0.15">
      <c r="A898">
        <v>89.6</v>
      </c>
      <c r="B898">
        <f t="shared" si="39"/>
        <v>201.75197037230365</v>
      </c>
      <c r="C898">
        <f t="shared" si="40"/>
        <v>0.54013303218362563</v>
      </c>
      <c r="D898">
        <f t="shared" si="41"/>
        <v>798.70789659551281</v>
      </c>
    </row>
    <row r="899" spans="1:4" x14ac:dyDescent="0.15">
      <c r="A899">
        <v>89.7</v>
      </c>
      <c r="B899">
        <f t="shared" si="39"/>
        <v>201.74761145616338</v>
      </c>
      <c r="C899">
        <f t="shared" si="40"/>
        <v>0.53368928768020163</v>
      </c>
      <c r="D899">
        <f t="shared" si="41"/>
        <v>798.71869925615647</v>
      </c>
    </row>
    <row r="900" spans="1:4" x14ac:dyDescent="0.15">
      <c r="A900">
        <v>89.8</v>
      </c>
      <c r="B900">
        <f t="shared" ref="B900:B902" si="42">B899-$G$1*B899*C899*$A$3</f>
        <v>201.7433046346014</v>
      </c>
      <c r="C900">
        <f t="shared" ref="C900:C902" si="43">C899+($G$1*B899*C899-$G$2*C899)*$A$3</f>
        <v>0.52732232348856645</v>
      </c>
      <c r="D900">
        <f t="shared" ref="D900:D902" si="44">D899+$G$2*C899*$A$3</f>
        <v>798.72937304191009</v>
      </c>
    </row>
    <row r="901" spans="1:4" x14ac:dyDescent="0.15">
      <c r="A901">
        <v>89.9</v>
      </c>
      <c r="B901">
        <f t="shared" si="42"/>
        <v>201.73904928467547</v>
      </c>
      <c r="C901">
        <f t="shared" si="43"/>
        <v>0.52103122694472226</v>
      </c>
      <c r="D901">
        <f t="shared" si="44"/>
        <v>798.73991948837988</v>
      </c>
    </row>
    <row r="902" spans="1:4" x14ac:dyDescent="0.15">
      <c r="A902">
        <v>90</v>
      </c>
      <c r="B902">
        <f t="shared" si="42"/>
        <v>201.73484479090061</v>
      </c>
      <c r="C902">
        <f t="shared" si="43"/>
        <v>0.5148150961806861</v>
      </c>
      <c r="D902">
        <f t="shared" si="44"/>
        <v>798.75034011291882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croll Bar 1">
              <controlPr defaultSize="0" autoPict="0">
                <anchor moveWithCells="1">
                  <from>
                    <xdr:col>5</xdr:col>
                    <xdr:colOff>304800</xdr:colOff>
                    <xdr:row>26</xdr:row>
                    <xdr:rowOff>123825</xdr:rowOff>
                  </from>
                  <to>
                    <xdr:col>14</xdr:col>
                    <xdr:colOff>600075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croll Bar 2">
              <controlPr defaultSize="0" autoPict="0">
                <anchor moveWithCells="1">
                  <from>
                    <xdr:col>5</xdr:col>
                    <xdr:colOff>276225</xdr:colOff>
                    <xdr:row>28</xdr:row>
                    <xdr:rowOff>76200</xdr:rowOff>
                  </from>
                  <to>
                    <xdr:col>14</xdr:col>
                    <xdr:colOff>590550</xdr:colOff>
                    <xdr:row>29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8"/>
  <sheetViews>
    <sheetView workbookViewId="0"/>
  </sheetViews>
  <sheetFormatPr defaultColWidth="2.625" defaultRowHeight="13.5" x14ac:dyDescent="0.15"/>
  <sheetData>
    <row r="2" spans="2:16" x14ac:dyDescent="0.15">
      <c r="B2" s="4">
        <v>9</v>
      </c>
      <c r="C2" s="4">
        <v>9</v>
      </c>
      <c r="D2" s="4">
        <v>9</v>
      </c>
      <c r="E2" s="4">
        <v>9</v>
      </c>
      <c r="F2" s="4">
        <v>9</v>
      </c>
      <c r="G2" s="4">
        <v>9</v>
      </c>
      <c r="H2" s="4">
        <v>9</v>
      </c>
      <c r="J2" s="5">
        <f>(B1+C2+B3+A2)/4</f>
        <v>4.5</v>
      </c>
      <c r="K2" s="5">
        <f t="shared" ref="K2:P2" si="0">(C1+D2+C3+B2)/4</f>
        <v>6.75</v>
      </c>
      <c r="L2" s="5">
        <f t="shared" si="0"/>
        <v>6.75</v>
      </c>
      <c r="M2" s="5">
        <f t="shared" si="0"/>
        <v>6.75</v>
      </c>
      <c r="N2" s="5">
        <f t="shared" si="0"/>
        <v>6.75</v>
      </c>
      <c r="O2" s="5">
        <f t="shared" si="0"/>
        <v>6.75</v>
      </c>
      <c r="P2" s="5">
        <f t="shared" si="0"/>
        <v>4.5</v>
      </c>
    </row>
    <row r="3" spans="2:16" x14ac:dyDescent="0.15">
      <c r="B3" s="4">
        <v>9</v>
      </c>
      <c r="C3" s="4">
        <v>9</v>
      </c>
      <c r="D3" s="4">
        <v>9</v>
      </c>
      <c r="E3" s="4">
        <v>9</v>
      </c>
      <c r="F3" s="4">
        <v>9</v>
      </c>
      <c r="G3" s="4">
        <v>9</v>
      </c>
      <c r="H3" s="4">
        <v>9</v>
      </c>
      <c r="J3" s="5">
        <f t="shared" ref="J3:J8" si="1">(B2+C3+B4+A3)/4</f>
        <v>6.75</v>
      </c>
      <c r="K3" s="5">
        <f t="shared" ref="K3:K8" si="2">(C2+D3+C4+B3)/4</f>
        <v>9</v>
      </c>
      <c r="L3" s="5">
        <f t="shared" ref="L3:L8" si="3">(D2+E3+D4+C3)/4</f>
        <v>9</v>
      </c>
      <c r="M3" s="5">
        <f t="shared" ref="M3:M8" si="4">(E2+F3+E4+D3)/4</f>
        <v>9</v>
      </c>
      <c r="N3" s="5">
        <f t="shared" ref="N3:N8" si="5">(F2+G3+F4+E3)/4</f>
        <v>9</v>
      </c>
      <c r="O3" s="5">
        <f t="shared" ref="O3:O8" si="6">(G2+H3+G4+F3)/4</f>
        <v>9</v>
      </c>
      <c r="P3" s="5">
        <f t="shared" ref="P3:P8" si="7">(H2+I3+H4+G3)/4</f>
        <v>6.75</v>
      </c>
    </row>
    <row r="4" spans="2:16" x14ac:dyDescent="0.15">
      <c r="B4" s="4">
        <v>9</v>
      </c>
      <c r="C4" s="4">
        <v>9</v>
      </c>
      <c r="D4" s="4">
        <v>9</v>
      </c>
      <c r="E4" s="4">
        <v>9</v>
      </c>
      <c r="F4" s="4">
        <v>9</v>
      </c>
      <c r="G4" s="4">
        <v>9</v>
      </c>
      <c r="H4" s="4">
        <v>9</v>
      </c>
      <c r="J4" s="5">
        <f t="shared" si="1"/>
        <v>6.75</v>
      </c>
      <c r="K4" s="5">
        <f t="shared" si="2"/>
        <v>9</v>
      </c>
      <c r="L4" s="5">
        <f t="shared" si="3"/>
        <v>9</v>
      </c>
      <c r="M4" s="5">
        <f t="shared" si="4"/>
        <v>9</v>
      </c>
      <c r="N4" s="5">
        <f t="shared" si="5"/>
        <v>9</v>
      </c>
      <c r="O4" s="5">
        <f t="shared" si="6"/>
        <v>9</v>
      </c>
      <c r="P4" s="5">
        <f t="shared" si="7"/>
        <v>6.75</v>
      </c>
    </row>
    <row r="5" spans="2:16" x14ac:dyDescent="0.15">
      <c r="B5" s="4">
        <v>9</v>
      </c>
      <c r="C5" s="4">
        <v>9</v>
      </c>
      <c r="D5" s="4">
        <v>9</v>
      </c>
      <c r="E5" s="4">
        <v>9</v>
      </c>
      <c r="F5" s="4">
        <v>9</v>
      </c>
      <c r="G5" s="4">
        <v>9</v>
      </c>
      <c r="H5" s="4">
        <v>9</v>
      </c>
      <c r="J5" s="5">
        <f t="shared" si="1"/>
        <v>6.75</v>
      </c>
      <c r="K5" s="5">
        <f t="shared" si="2"/>
        <v>9</v>
      </c>
      <c r="L5" s="5">
        <f t="shared" si="3"/>
        <v>9</v>
      </c>
      <c r="M5" s="5">
        <f t="shared" si="4"/>
        <v>9</v>
      </c>
      <c r="N5" s="5">
        <f t="shared" si="5"/>
        <v>9</v>
      </c>
      <c r="O5" s="5">
        <f t="shared" si="6"/>
        <v>9</v>
      </c>
      <c r="P5" s="5">
        <f t="shared" si="7"/>
        <v>6.75</v>
      </c>
    </row>
    <row r="6" spans="2:16" x14ac:dyDescent="0.15">
      <c r="B6" s="4">
        <v>9</v>
      </c>
      <c r="C6" s="4">
        <v>9</v>
      </c>
      <c r="D6" s="4">
        <v>9</v>
      </c>
      <c r="E6" s="4">
        <v>9</v>
      </c>
      <c r="F6" s="4">
        <v>9</v>
      </c>
      <c r="G6" s="4">
        <v>9</v>
      </c>
      <c r="H6" s="4">
        <v>9</v>
      </c>
      <c r="J6" s="5">
        <f t="shared" si="1"/>
        <v>6.75</v>
      </c>
      <c r="K6" s="5">
        <f t="shared" si="2"/>
        <v>9</v>
      </c>
      <c r="L6" s="5">
        <f t="shared" si="3"/>
        <v>9</v>
      </c>
      <c r="M6" s="5">
        <f t="shared" si="4"/>
        <v>9</v>
      </c>
      <c r="N6" s="5">
        <f t="shared" si="5"/>
        <v>9</v>
      </c>
      <c r="O6" s="5">
        <f t="shared" si="6"/>
        <v>9</v>
      </c>
      <c r="P6" s="5">
        <f t="shared" si="7"/>
        <v>6.75</v>
      </c>
    </row>
    <row r="7" spans="2:16" x14ac:dyDescent="0.15">
      <c r="B7" s="4">
        <v>9</v>
      </c>
      <c r="C7" s="4">
        <v>9</v>
      </c>
      <c r="D7" s="4">
        <v>9</v>
      </c>
      <c r="E7" s="4">
        <v>9</v>
      </c>
      <c r="F7" s="4">
        <v>9</v>
      </c>
      <c r="G7" s="4">
        <v>9</v>
      </c>
      <c r="H7" s="4">
        <v>9</v>
      </c>
      <c r="J7" s="5">
        <f t="shared" si="1"/>
        <v>6.75</v>
      </c>
      <c r="K7" s="5">
        <f t="shared" si="2"/>
        <v>9</v>
      </c>
      <c r="L7" s="5">
        <f t="shared" si="3"/>
        <v>9</v>
      </c>
      <c r="M7" s="5">
        <f t="shared" si="4"/>
        <v>9</v>
      </c>
      <c r="N7" s="5">
        <f t="shared" si="5"/>
        <v>9</v>
      </c>
      <c r="O7" s="5">
        <f t="shared" si="6"/>
        <v>9</v>
      </c>
      <c r="P7" s="5">
        <f t="shared" si="7"/>
        <v>6.75</v>
      </c>
    </row>
    <row r="8" spans="2:16" x14ac:dyDescent="0.15">
      <c r="B8" s="4">
        <v>9</v>
      </c>
      <c r="C8" s="4">
        <v>9</v>
      </c>
      <c r="D8" s="4">
        <v>9</v>
      </c>
      <c r="E8" s="4">
        <v>9</v>
      </c>
      <c r="F8" s="4">
        <v>9</v>
      </c>
      <c r="G8" s="4">
        <v>9</v>
      </c>
      <c r="H8" s="4">
        <v>9</v>
      </c>
      <c r="J8" s="5">
        <f t="shared" si="1"/>
        <v>4.5</v>
      </c>
      <c r="K8" s="5">
        <f t="shared" si="2"/>
        <v>6.75</v>
      </c>
      <c r="L8" s="5">
        <f t="shared" si="3"/>
        <v>6.75</v>
      </c>
      <c r="M8" s="5">
        <f t="shared" si="4"/>
        <v>6.75</v>
      </c>
      <c r="N8" s="5">
        <f t="shared" si="5"/>
        <v>6.75</v>
      </c>
      <c r="O8" s="5">
        <f t="shared" si="6"/>
        <v>6.75</v>
      </c>
      <c r="P8" s="5">
        <f t="shared" si="7"/>
        <v>4.5</v>
      </c>
    </row>
  </sheetData>
  <phoneticPr fontId="1"/>
  <conditionalFormatting sqref="B2:H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更新機能">
                <anchor moveWithCells="1" sizeWithCells="1">
                  <from>
                    <xdr:col>20</xdr:col>
                    <xdr:colOff>0</xdr:colOff>
                    <xdr:row>1</xdr:row>
                    <xdr:rowOff>47625</xdr:rowOff>
                  </from>
                  <to>
                    <xdr:col>26</xdr:col>
                    <xdr:colOff>19050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初期化機能">
                <anchor moveWithCells="1" sizeWithCells="1">
                  <from>
                    <xdr:col>20</xdr:col>
                    <xdr:colOff>0</xdr:colOff>
                    <xdr:row>5</xdr:row>
                    <xdr:rowOff>28575</xdr:rowOff>
                  </from>
                  <to>
                    <xdr:col>25</xdr:col>
                    <xdr:colOff>171450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34"/>
  <sheetViews>
    <sheetView topLeftCell="B1" workbookViewId="0">
      <selection activeCell="AE1" sqref="AE1"/>
    </sheetView>
  </sheetViews>
  <sheetFormatPr defaultColWidth="2.625" defaultRowHeight="13.5" x14ac:dyDescent="0.15"/>
  <cols>
    <col min="30" max="37" width="2.875" bestFit="1" customWidth="1"/>
  </cols>
  <sheetData>
    <row r="1" spans="1:40" x14ac:dyDescent="0.15">
      <c r="A1" s="7">
        <f>Z1</f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>
        <v>1</v>
      </c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7">
        <f>B1</f>
        <v>0</v>
      </c>
      <c r="AD1" s="10">
        <v>0</v>
      </c>
      <c r="AE1" s="11">
        <v>1</v>
      </c>
      <c r="AF1" s="11">
        <v>1</v>
      </c>
      <c r="AG1" s="11">
        <v>1</v>
      </c>
      <c r="AH1" s="11">
        <v>1</v>
      </c>
      <c r="AI1" s="11">
        <v>0</v>
      </c>
      <c r="AJ1" s="11">
        <v>1</v>
      </c>
      <c r="AK1" s="12">
        <v>0</v>
      </c>
      <c r="AL1" s="13" t="s">
        <v>27</v>
      </c>
      <c r="AM1" s="14"/>
      <c r="AN1" s="15"/>
    </row>
    <row r="2" spans="1:40" x14ac:dyDescent="0.15">
      <c r="A2" s="7">
        <f t="shared" ref="A2:A34" si="0">Z2</f>
        <v>0</v>
      </c>
      <c r="B2" s="6">
        <f>INDEX($AD$1:$AK$1,1,'第9章(計算用)'!B2+1)</f>
        <v>0</v>
      </c>
      <c r="C2" s="6">
        <f>INDEX($AD$1:$AK$1,1,'第9章(計算用)'!C2+1)</f>
        <v>0</v>
      </c>
      <c r="D2" s="6">
        <f>INDEX($AD$1:$AK$1,1,'第9章(計算用)'!D2+1)</f>
        <v>0</v>
      </c>
      <c r="E2" s="6">
        <f>INDEX($AD$1:$AK$1,1,'第9章(計算用)'!E2+1)</f>
        <v>0</v>
      </c>
      <c r="F2" s="6">
        <f>INDEX($AD$1:$AK$1,1,'第9章(計算用)'!F2+1)</f>
        <v>0</v>
      </c>
      <c r="G2" s="6">
        <f>INDEX($AD$1:$AK$1,1,'第9章(計算用)'!G2+1)</f>
        <v>0</v>
      </c>
      <c r="H2" s="6">
        <f>INDEX($AD$1:$AK$1,1,'第9章(計算用)'!H2+1)</f>
        <v>0</v>
      </c>
      <c r="I2" s="6">
        <f>INDEX($AD$1:$AK$1,1,'第9章(計算用)'!I2+1)</f>
        <v>0</v>
      </c>
      <c r="J2" s="6">
        <f>INDEX($AD$1:$AK$1,1,'第9章(計算用)'!J2+1)</f>
        <v>0</v>
      </c>
      <c r="K2" s="6">
        <f>INDEX($AD$1:$AK$1,1,'第9章(計算用)'!K2+1)</f>
        <v>0</v>
      </c>
      <c r="L2" s="6">
        <f>INDEX($AD$1:$AK$1,1,'第9章(計算用)'!L2+1)</f>
        <v>0</v>
      </c>
      <c r="M2" s="6">
        <f>INDEX($AD$1:$AK$1,1,'第9章(計算用)'!M2+1)</f>
        <v>1</v>
      </c>
      <c r="N2" s="6">
        <f>INDEX($AD$1:$AK$1,1,'第9章(計算用)'!N2+1)</f>
        <v>1</v>
      </c>
      <c r="O2" s="6">
        <f>INDEX($AD$1:$AK$1,1,'第9章(計算用)'!O2+1)</f>
        <v>1</v>
      </c>
      <c r="P2" s="6">
        <f>INDEX($AD$1:$AK$1,1,'第9章(計算用)'!P2+1)</f>
        <v>0</v>
      </c>
      <c r="Q2" s="6">
        <f>INDEX($AD$1:$AK$1,1,'第9章(計算用)'!Q2+1)</f>
        <v>0</v>
      </c>
      <c r="R2" s="6">
        <f>INDEX($AD$1:$AK$1,1,'第9章(計算用)'!R2+1)</f>
        <v>0</v>
      </c>
      <c r="S2" s="6">
        <f>INDEX($AD$1:$AK$1,1,'第9章(計算用)'!S2+1)</f>
        <v>0</v>
      </c>
      <c r="T2" s="6">
        <f>INDEX($AD$1:$AK$1,1,'第9章(計算用)'!T2+1)</f>
        <v>0</v>
      </c>
      <c r="U2" s="6">
        <f>INDEX($AD$1:$AK$1,1,'第9章(計算用)'!U2+1)</f>
        <v>0</v>
      </c>
      <c r="V2" s="6">
        <f>INDEX($AD$1:$AK$1,1,'第9章(計算用)'!V2+1)</f>
        <v>0</v>
      </c>
      <c r="W2" s="6">
        <f>INDEX($AD$1:$AK$1,1,'第9章(計算用)'!W2+1)</f>
        <v>0</v>
      </c>
      <c r="X2" s="6">
        <f>INDEX($AD$1:$AK$1,1,'第9章(計算用)'!X2+1)</f>
        <v>0</v>
      </c>
      <c r="Y2" s="6">
        <f>INDEX($AD$1:$AK$1,1,'第9章(計算用)'!Y2+1)</f>
        <v>0</v>
      </c>
      <c r="Z2" s="6">
        <f>INDEX($AD$1:$AK$1,1,'第9章(計算用)'!Z2+1)</f>
        <v>0</v>
      </c>
      <c r="AA2" s="7">
        <f t="shared" ref="AA2:AA34" si="1">B2</f>
        <v>0</v>
      </c>
      <c r="AD2" s="9"/>
      <c r="AE2" s="9"/>
      <c r="AF2" s="9"/>
      <c r="AG2" s="9"/>
      <c r="AH2" s="9"/>
      <c r="AI2" s="9"/>
      <c r="AJ2" s="9"/>
      <c r="AK2" s="9"/>
    </row>
    <row r="3" spans="1:40" x14ac:dyDescent="0.15">
      <c r="A3" s="7">
        <f t="shared" si="0"/>
        <v>0</v>
      </c>
      <c r="B3" s="6">
        <f>INDEX($AD$1:$AK$1,1,'第9章(計算用)'!B3+1)</f>
        <v>0</v>
      </c>
      <c r="C3" s="6">
        <f>INDEX($AD$1:$AK$1,1,'第9章(計算用)'!C3+1)</f>
        <v>0</v>
      </c>
      <c r="D3" s="6">
        <f>INDEX($AD$1:$AK$1,1,'第9章(計算用)'!D3+1)</f>
        <v>0</v>
      </c>
      <c r="E3" s="6">
        <f>INDEX($AD$1:$AK$1,1,'第9章(計算用)'!E3+1)</f>
        <v>0</v>
      </c>
      <c r="F3" s="6">
        <f>INDEX($AD$1:$AK$1,1,'第9章(計算用)'!F3+1)</f>
        <v>0</v>
      </c>
      <c r="G3" s="6">
        <f>INDEX($AD$1:$AK$1,1,'第9章(計算用)'!G3+1)</f>
        <v>0</v>
      </c>
      <c r="H3" s="6">
        <f>INDEX($AD$1:$AK$1,1,'第9章(計算用)'!H3+1)</f>
        <v>0</v>
      </c>
      <c r="I3" s="6">
        <f>INDEX($AD$1:$AK$1,1,'第9章(計算用)'!I3+1)</f>
        <v>0</v>
      </c>
      <c r="J3" s="6">
        <f>INDEX($AD$1:$AK$1,1,'第9章(計算用)'!J3+1)</f>
        <v>0</v>
      </c>
      <c r="K3" s="6">
        <f>INDEX($AD$1:$AK$1,1,'第9章(計算用)'!K3+1)</f>
        <v>0</v>
      </c>
      <c r="L3" s="6">
        <f>INDEX($AD$1:$AK$1,1,'第9章(計算用)'!L3+1)</f>
        <v>1</v>
      </c>
      <c r="M3" s="6">
        <f>INDEX($AD$1:$AK$1,1,'第9章(計算用)'!M3+1)</f>
        <v>1</v>
      </c>
      <c r="N3" s="6">
        <f>INDEX($AD$1:$AK$1,1,'第9章(計算用)'!N3+1)</f>
        <v>0</v>
      </c>
      <c r="O3" s="6">
        <f>INDEX($AD$1:$AK$1,1,'第9章(計算用)'!O3+1)</f>
        <v>1</v>
      </c>
      <c r="P3" s="6">
        <f>INDEX($AD$1:$AK$1,1,'第9章(計算用)'!P3+1)</f>
        <v>1</v>
      </c>
      <c r="Q3" s="6">
        <f>INDEX($AD$1:$AK$1,1,'第9章(計算用)'!Q3+1)</f>
        <v>0</v>
      </c>
      <c r="R3" s="6">
        <f>INDEX($AD$1:$AK$1,1,'第9章(計算用)'!R3+1)</f>
        <v>0</v>
      </c>
      <c r="S3" s="6">
        <f>INDEX($AD$1:$AK$1,1,'第9章(計算用)'!S3+1)</f>
        <v>0</v>
      </c>
      <c r="T3" s="6">
        <f>INDEX($AD$1:$AK$1,1,'第9章(計算用)'!T3+1)</f>
        <v>0</v>
      </c>
      <c r="U3" s="6">
        <f>INDEX($AD$1:$AK$1,1,'第9章(計算用)'!U3+1)</f>
        <v>0</v>
      </c>
      <c r="V3" s="6">
        <f>INDEX($AD$1:$AK$1,1,'第9章(計算用)'!V3+1)</f>
        <v>0</v>
      </c>
      <c r="W3" s="6">
        <f>INDEX($AD$1:$AK$1,1,'第9章(計算用)'!W3+1)</f>
        <v>0</v>
      </c>
      <c r="X3" s="6">
        <f>INDEX($AD$1:$AK$1,1,'第9章(計算用)'!X3+1)</f>
        <v>0</v>
      </c>
      <c r="Y3" s="6">
        <f>INDEX($AD$1:$AK$1,1,'第9章(計算用)'!Y3+1)</f>
        <v>0</v>
      </c>
      <c r="Z3" s="6">
        <f>INDEX($AD$1:$AK$1,1,'第9章(計算用)'!Z3+1)</f>
        <v>0</v>
      </c>
      <c r="AA3" s="7">
        <f t="shared" si="1"/>
        <v>0</v>
      </c>
      <c r="AD3" s="10">
        <v>0</v>
      </c>
      <c r="AE3" s="11">
        <v>1</v>
      </c>
      <c r="AF3" s="11">
        <v>1</v>
      </c>
      <c r="AG3" s="11">
        <v>1</v>
      </c>
      <c r="AH3" s="11">
        <v>1</v>
      </c>
      <c r="AI3" s="11">
        <v>0</v>
      </c>
      <c r="AJ3" s="11">
        <v>0</v>
      </c>
      <c r="AK3" s="12">
        <v>0</v>
      </c>
      <c r="AL3" s="10" t="s">
        <v>28</v>
      </c>
      <c r="AM3" s="11"/>
      <c r="AN3" s="12"/>
    </row>
    <row r="4" spans="1:40" x14ac:dyDescent="0.15">
      <c r="A4" s="7">
        <f t="shared" si="0"/>
        <v>0</v>
      </c>
      <c r="B4" s="6">
        <f>INDEX($AD$1:$AK$1,1,'第9章(計算用)'!B4+1)</f>
        <v>0</v>
      </c>
      <c r="C4" s="6">
        <f>INDEX($AD$1:$AK$1,1,'第9章(計算用)'!C4+1)</f>
        <v>0</v>
      </c>
      <c r="D4" s="6">
        <f>INDEX($AD$1:$AK$1,1,'第9章(計算用)'!D4+1)</f>
        <v>0</v>
      </c>
      <c r="E4" s="6">
        <f>INDEX($AD$1:$AK$1,1,'第9章(計算用)'!E4+1)</f>
        <v>0</v>
      </c>
      <c r="F4" s="6">
        <f>INDEX($AD$1:$AK$1,1,'第9章(計算用)'!F4+1)</f>
        <v>0</v>
      </c>
      <c r="G4" s="6">
        <f>INDEX($AD$1:$AK$1,1,'第9章(計算用)'!G4+1)</f>
        <v>0</v>
      </c>
      <c r="H4" s="6">
        <f>INDEX($AD$1:$AK$1,1,'第9章(計算用)'!H4+1)</f>
        <v>0</v>
      </c>
      <c r="I4" s="6">
        <f>INDEX($AD$1:$AK$1,1,'第9章(計算用)'!I4+1)</f>
        <v>0</v>
      </c>
      <c r="J4" s="6">
        <f>INDEX($AD$1:$AK$1,1,'第9章(計算用)'!J4+1)</f>
        <v>0</v>
      </c>
      <c r="K4" s="6">
        <f>INDEX($AD$1:$AK$1,1,'第9章(計算用)'!K4+1)</f>
        <v>1</v>
      </c>
      <c r="L4" s="6">
        <f>INDEX($AD$1:$AK$1,1,'第9章(計算用)'!L4+1)</f>
        <v>1</v>
      </c>
      <c r="M4" s="6">
        <f>INDEX($AD$1:$AK$1,1,'第9章(計算用)'!M4+1)</f>
        <v>1</v>
      </c>
      <c r="N4" s="6">
        <f>INDEX($AD$1:$AK$1,1,'第9章(計算用)'!N4+1)</f>
        <v>0</v>
      </c>
      <c r="O4" s="6">
        <f>INDEX($AD$1:$AK$1,1,'第9章(計算用)'!O4+1)</f>
        <v>1</v>
      </c>
      <c r="P4" s="6">
        <f>INDEX($AD$1:$AK$1,1,'第9章(計算用)'!P4+1)</f>
        <v>1</v>
      </c>
      <c r="Q4" s="6">
        <f>INDEX($AD$1:$AK$1,1,'第9章(計算用)'!Q4+1)</f>
        <v>1</v>
      </c>
      <c r="R4" s="6">
        <f>INDEX($AD$1:$AK$1,1,'第9章(計算用)'!R4+1)</f>
        <v>0</v>
      </c>
      <c r="S4" s="6">
        <f>INDEX($AD$1:$AK$1,1,'第9章(計算用)'!S4+1)</f>
        <v>0</v>
      </c>
      <c r="T4" s="6">
        <f>INDEX($AD$1:$AK$1,1,'第9章(計算用)'!T4+1)</f>
        <v>0</v>
      </c>
      <c r="U4" s="6">
        <f>INDEX($AD$1:$AK$1,1,'第9章(計算用)'!U4+1)</f>
        <v>0</v>
      </c>
      <c r="V4" s="6">
        <f>INDEX($AD$1:$AK$1,1,'第9章(計算用)'!V4+1)</f>
        <v>0</v>
      </c>
      <c r="W4" s="6">
        <f>INDEX($AD$1:$AK$1,1,'第9章(計算用)'!W4+1)</f>
        <v>0</v>
      </c>
      <c r="X4" s="6">
        <f>INDEX($AD$1:$AK$1,1,'第9章(計算用)'!X4+1)</f>
        <v>0</v>
      </c>
      <c r="Y4" s="6">
        <f>INDEX($AD$1:$AK$1,1,'第9章(計算用)'!Y4+1)</f>
        <v>0</v>
      </c>
      <c r="Z4" s="6">
        <f>INDEX($AD$1:$AK$1,1,'第9章(計算用)'!Z4+1)</f>
        <v>0</v>
      </c>
      <c r="AA4" s="7">
        <f t="shared" si="1"/>
        <v>0</v>
      </c>
      <c r="AD4" s="10">
        <v>1</v>
      </c>
      <c r="AE4" s="11">
        <v>0</v>
      </c>
      <c r="AF4" s="11">
        <v>0</v>
      </c>
      <c r="AG4" s="11">
        <v>1</v>
      </c>
      <c r="AH4" s="11">
        <v>1</v>
      </c>
      <c r="AI4" s="11">
        <v>0</v>
      </c>
      <c r="AJ4" s="11">
        <v>1</v>
      </c>
      <c r="AK4" s="12">
        <v>0</v>
      </c>
      <c r="AL4" s="10" t="s">
        <v>30</v>
      </c>
      <c r="AM4" s="11"/>
      <c r="AN4" s="12"/>
    </row>
    <row r="5" spans="1:40" x14ac:dyDescent="0.15">
      <c r="A5" s="7">
        <f t="shared" si="0"/>
        <v>0</v>
      </c>
      <c r="B5" s="6">
        <f>INDEX($AD$1:$AK$1,1,'第9章(計算用)'!B5+1)</f>
        <v>0</v>
      </c>
      <c r="C5" s="6">
        <f>INDEX($AD$1:$AK$1,1,'第9章(計算用)'!C5+1)</f>
        <v>0</v>
      </c>
      <c r="D5" s="6">
        <f>INDEX($AD$1:$AK$1,1,'第9章(計算用)'!D5+1)</f>
        <v>0</v>
      </c>
      <c r="E5" s="6">
        <f>INDEX($AD$1:$AK$1,1,'第9章(計算用)'!E5+1)</f>
        <v>0</v>
      </c>
      <c r="F5" s="6">
        <f>INDEX($AD$1:$AK$1,1,'第9章(計算用)'!F5+1)</f>
        <v>0</v>
      </c>
      <c r="G5" s="6">
        <f>INDEX($AD$1:$AK$1,1,'第9章(計算用)'!G5+1)</f>
        <v>0</v>
      </c>
      <c r="H5" s="6">
        <f>INDEX($AD$1:$AK$1,1,'第9章(計算用)'!H5+1)</f>
        <v>0</v>
      </c>
      <c r="I5" s="6">
        <f>INDEX($AD$1:$AK$1,1,'第9章(計算用)'!I5+1)</f>
        <v>0</v>
      </c>
      <c r="J5" s="6">
        <f>INDEX($AD$1:$AK$1,1,'第9章(計算用)'!J5+1)</f>
        <v>1</v>
      </c>
      <c r="K5" s="6">
        <f>INDEX($AD$1:$AK$1,1,'第9章(計算用)'!K5+1)</f>
        <v>1</v>
      </c>
      <c r="L5" s="6">
        <f>INDEX($AD$1:$AK$1,1,'第9章(計算用)'!L5+1)</f>
        <v>0</v>
      </c>
      <c r="M5" s="6">
        <f>INDEX($AD$1:$AK$1,1,'第9章(計算用)'!M5+1)</f>
        <v>1</v>
      </c>
      <c r="N5" s="6">
        <f>INDEX($AD$1:$AK$1,1,'第9章(計算用)'!N5+1)</f>
        <v>0</v>
      </c>
      <c r="O5" s="6">
        <f>INDEX($AD$1:$AK$1,1,'第9章(計算用)'!O5+1)</f>
        <v>1</v>
      </c>
      <c r="P5" s="6">
        <f>INDEX($AD$1:$AK$1,1,'第9章(計算用)'!P5+1)</f>
        <v>0</v>
      </c>
      <c r="Q5" s="6">
        <f>INDEX($AD$1:$AK$1,1,'第9章(計算用)'!Q5+1)</f>
        <v>1</v>
      </c>
      <c r="R5" s="6">
        <f>INDEX($AD$1:$AK$1,1,'第9章(計算用)'!R5+1)</f>
        <v>1</v>
      </c>
      <c r="S5" s="6">
        <f>INDEX($AD$1:$AK$1,1,'第9章(計算用)'!S5+1)</f>
        <v>0</v>
      </c>
      <c r="T5" s="6">
        <f>INDEX($AD$1:$AK$1,1,'第9章(計算用)'!T5+1)</f>
        <v>0</v>
      </c>
      <c r="U5" s="6">
        <f>INDEX($AD$1:$AK$1,1,'第9章(計算用)'!U5+1)</f>
        <v>0</v>
      </c>
      <c r="V5" s="6">
        <f>INDEX($AD$1:$AK$1,1,'第9章(計算用)'!V5+1)</f>
        <v>0</v>
      </c>
      <c r="W5" s="6">
        <f>INDEX($AD$1:$AK$1,1,'第9章(計算用)'!W5+1)</f>
        <v>0</v>
      </c>
      <c r="X5" s="6">
        <f>INDEX($AD$1:$AK$1,1,'第9章(計算用)'!X5+1)</f>
        <v>0</v>
      </c>
      <c r="Y5" s="6">
        <f>INDEX($AD$1:$AK$1,1,'第9章(計算用)'!Y5+1)</f>
        <v>0</v>
      </c>
      <c r="Z5" s="6">
        <f>INDEX($AD$1:$AK$1,1,'第9章(計算用)'!Z5+1)</f>
        <v>0</v>
      </c>
      <c r="AA5" s="7">
        <f t="shared" si="1"/>
        <v>0</v>
      </c>
      <c r="AD5" s="10">
        <v>0</v>
      </c>
      <c r="AE5" s="11">
        <v>1</v>
      </c>
      <c r="AF5" s="11">
        <v>0</v>
      </c>
      <c r="AG5" s="11">
        <v>1</v>
      </c>
      <c r="AH5" s="11">
        <v>1</v>
      </c>
      <c r="AI5" s="11">
        <v>0</v>
      </c>
      <c r="AJ5" s="11">
        <v>1</v>
      </c>
      <c r="AK5" s="12">
        <v>0</v>
      </c>
      <c r="AL5" s="10" t="s">
        <v>29</v>
      </c>
      <c r="AM5" s="11"/>
      <c r="AN5" s="12"/>
    </row>
    <row r="6" spans="1:40" x14ac:dyDescent="0.15">
      <c r="A6" s="7">
        <f t="shared" si="0"/>
        <v>0</v>
      </c>
      <c r="B6" s="6">
        <f>INDEX($AD$1:$AK$1,1,'第9章(計算用)'!B6+1)</f>
        <v>0</v>
      </c>
      <c r="C6" s="6">
        <f>INDEX($AD$1:$AK$1,1,'第9章(計算用)'!C6+1)</f>
        <v>0</v>
      </c>
      <c r="D6" s="6">
        <f>INDEX($AD$1:$AK$1,1,'第9章(計算用)'!D6+1)</f>
        <v>0</v>
      </c>
      <c r="E6" s="6">
        <f>INDEX($AD$1:$AK$1,1,'第9章(計算用)'!E6+1)</f>
        <v>0</v>
      </c>
      <c r="F6" s="6">
        <f>INDEX($AD$1:$AK$1,1,'第9章(計算用)'!F6+1)</f>
        <v>0</v>
      </c>
      <c r="G6" s="6">
        <f>INDEX($AD$1:$AK$1,1,'第9章(計算用)'!G6+1)</f>
        <v>0</v>
      </c>
      <c r="H6" s="6">
        <f>INDEX($AD$1:$AK$1,1,'第9章(計算用)'!H6+1)</f>
        <v>0</v>
      </c>
      <c r="I6" s="6">
        <f>INDEX($AD$1:$AK$1,1,'第9章(計算用)'!I6+1)</f>
        <v>1</v>
      </c>
      <c r="J6" s="6">
        <f>INDEX($AD$1:$AK$1,1,'第9章(計算用)'!J6+1)</f>
        <v>1</v>
      </c>
      <c r="K6" s="6">
        <f>INDEX($AD$1:$AK$1,1,'第9章(計算用)'!K6+1)</f>
        <v>1</v>
      </c>
      <c r="L6" s="6">
        <f>INDEX($AD$1:$AK$1,1,'第9章(計算用)'!L6+1)</f>
        <v>0</v>
      </c>
      <c r="M6" s="6">
        <f>INDEX($AD$1:$AK$1,1,'第9章(計算用)'!M6+1)</f>
        <v>1</v>
      </c>
      <c r="N6" s="6">
        <f>INDEX($AD$1:$AK$1,1,'第9章(計算用)'!N6+1)</f>
        <v>0</v>
      </c>
      <c r="O6" s="6">
        <f>INDEX($AD$1:$AK$1,1,'第9章(計算用)'!O6+1)</f>
        <v>1</v>
      </c>
      <c r="P6" s="6">
        <f>INDEX($AD$1:$AK$1,1,'第9章(計算用)'!P6+1)</f>
        <v>0</v>
      </c>
      <c r="Q6" s="6">
        <f>INDEX($AD$1:$AK$1,1,'第9章(計算用)'!Q6+1)</f>
        <v>1</v>
      </c>
      <c r="R6" s="6">
        <f>INDEX($AD$1:$AK$1,1,'第9章(計算用)'!R6+1)</f>
        <v>1</v>
      </c>
      <c r="S6" s="6">
        <f>INDEX($AD$1:$AK$1,1,'第9章(計算用)'!S6+1)</f>
        <v>1</v>
      </c>
      <c r="T6" s="6">
        <f>INDEX($AD$1:$AK$1,1,'第9章(計算用)'!T6+1)</f>
        <v>0</v>
      </c>
      <c r="U6" s="6">
        <f>INDEX($AD$1:$AK$1,1,'第9章(計算用)'!U6+1)</f>
        <v>0</v>
      </c>
      <c r="V6" s="6">
        <f>INDEX($AD$1:$AK$1,1,'第9章(計算用)'!V6+1)</f>
        <v>0</v>
      </c>
      <c r="W6" s="6">
        <f>INDEX($AD$1:$AK$1,1,'第9章(計算用)'!W6+1)</f>
        <v>0</v>
      </c>
      <c r="X6" s="6">
        <f>INDEX($AD$1:$AK$1,1,'第9章(計算用)'!X6+1)</f>
        <v>0</v>
      </c>
      <c r="Y6" s="6">
        <f>INDEX($AD$1:$AK$1,1,'第9章(計算用)'!Y6+1)</f>
        <v>0</v>
      </c>
      <c r="Z6" s="6">
        <f>INDEX($AD$1:$AK$1,1,'第9章(計算用)'!Z6+1)</f>
        <v>0</v>
      </c>
      <c r="AA6" s="7">
        <f t="shared" si="1"/>
        <v>0</v>
      </c>
      <c r="AD6" s="10">
        <v>0</v>
      </c>
      <c r="AE6" s="11">
        <v>1</v>
      </c>
      <c r="AF6" s="11">
        <v>1</v>
      </c>
      <c r="AG6" s="11">
        <v>1</v>
      </c>
      <c r="AH6" s="11">
        <v>1</v>
      </c>
      <c r="AI6" s="11">
        <v>0</v>
      </c>
      <c r="AJ6" s="11">
        <v>1</v>
      </c>
      <c r="AK6" s="12">
        <v>0</v>
      </c>
      <c r="AL6" s="10" t="s">
        <v>31</v>
      </c>
      <c r="AM6" s="11"/>
      <c r="AN6" s="12"/>
    </row>
    <row r="7" spans="1:40" x14ac:dyDescent="0.15">
      <c r="A7" s="7">
        <f t="shared" si="0"/>
        <v>0</v>
      </c>
      <c r="B7" s="6">
        <f>INDEX($AD$1:$AK$1,1,'第9章(計算用)'!B7+1)</f>
        <v>0</v>
      </c>
      <c r="C7" s="6">
        <f>INDEX($AD$1:$AK$1,1,'第9章(計算用)'!C7+1)</f>
        <v>0</v>
      </c>
      <c r="D7" s="6">
        <f>INDEX($AD$1:$AK$1,1,'第9章(計算用)'!D7+1)</f>
        <v>0</v>
      </c>
      <c r="E7" s="6">
        <f>INDEX($AD$1:$AK$1,1,'第9章(計算用)'!E7+1)</f>
        <v>0</v>
      </c>
      <c r="F7" s="6">
        <f>INDEX($AD$1:$AK$1,1,'第9章(計算用)'!F7+1)</f>
        <v>0</v>
      </c>
      <c r="G7" s="6">
        <f>INDEX($AD$1:$AK$1,1,'第9章(計算用)'!G7+1)</f>
        <v>0</v>
      </c>
      <c r="H7" s="6">
        <f>INDEX($AD$1:$AK$1,1,'第9章(計算用)'!H7+1)</f>
        <v>1</v>
      </c>
      <c r="I7" s="6">
        <f>INDEX($AD$1:$AK$1,1,'第9章(計算用)'!I7+1)</f>
        <v>1</v>
      </c>
      <c r="J7" s="6">
        <f>INDEX($AD$1:$AK$1,1,'第9章(計算用)'!J7+1)</f>
        <v>0</v>
      </c>
      <c r="K7" s="6">
        <f>INDEX($AD$1:$AK$1,1,'第9章(計算用)'!K7+1)</f>
        <v>1</v>
      </c>
      <c r="L7" s="6">
        <f>INDEX($AD$1:$AK$1,1,'第9章(計算用)'!L7+1)</f>
        <v>0</v>
      </c>
      <c r="M7" s="6">
        <f>INDEX($AD$1:$AK$1,1,'第9章(計算用)'!M7+1)</f>
        <v>1</v>
      </c>
      <c r="N7" s="6">
        <f>INDEX($AD$1:$AK$1,1,'第9章(計算用)'!N7+1)</f>
        <v>0</v>
      </c>
      <c r="O7" s="6">
        <f>INDEX($AD$1:$AK$1,1,'第9章(計算用)'!O7+1)</f>
        <v>1</v>
      </c>
      <c r="P7" s="6">
        <f>INDEX($AD$1:$AK$1,1,'第9章(計算用)'!P7+1)</f>
        <v>0</v>
      </c>
      <c r="Q7" s="6">
        <f>INDEX($AD$1:$AK$1,1,'第9章(計算用)'!Q7+1)</f>
        <v>1</v>
      </c>
      <c r="R7" s="6">
        <f>INDEX($AD$1:$AK$1,1,'第9章(計算用)'!R7+1)</f>
        <v>0</v>
      </c>
      <c r="S7" s="6">
        <f>INDEX($AD$1:$AK$1,1,'第9章(計算用)'!S7+1)</f>
        <v>1</v>
      </c>
      <c r="T7" s="6">
        <f>INDEX($AD$1:$AK$1,1,'第9章(計算用)'!T7+1)</f>
        <v>1</v>
      </c>
      <c r="U7" s="6">
        <f>INDEX($AD$1:$AK$1,1,'第9章(計算用)'!U7+1)</f>
        <v>0</v>
      </c>
      <c r="V7" s="6">
        <f>INDEX($AD$1:$AK$1,1,'第9章(計算用)'!V7+1)</f>
        <v>0</v>
      </c>
      <c r="W7" s="6">
        <f>INDEX($AD$1:$AK$1,1,'第9章(計算用)'!W7+1)</f>
        <v>0</v>
      </c>
      <c r="X7" s="6">
        <f>INDEX($AD$1:$AK$1,1,'第9章(計算用)'!X7+1)</f>
        <v>0</v>
      </c>
      <c r="Y7" s="6">
        <f>INDEX($AD$1:$AK$1,1,'第9章(計算用)'!Y7+1)</f>
        <v>0</v>
      </c>
      <c r="Z7" s="6">
        <f>INDEX($AD$1:$AK$1,1,'第9章(計算用)'!Z7+1)</f>
        <v>0</v>
      </c>
      <c r="AA7" s="7">
        <f t="shared" si="1"/>
        <v>0</v>
      </c>
      <c r="AD7" s="10">
        <v>1</v>
      </c>
      <c r="AE7" s="11">
        <v>0</v>
      </c>
      <c r="AF7" s="11">
        <v>1</v>
      </c>
      <c r="AG7" s="11">
        <v>1</v>
      </c>
      <c r="AH7" s="11">
        <v>0</v>
      </c>
      <c r="AI7" s="11">
        <v>1</v>
      </c>
      <c r="AJ7" s="11">
        <v>0</v>
      </c>
      <c r="AK7" s="12">
        <v>0</v>
      </c>
      <c r="AL7" s="10" t="s">
        <v>32</v>
      </c>
      <c r="AM7" s="11"/>
      <c r="AN7" s="12"/>
    </row>
    <row r="8" spans="1:40" x14ac:dyDescent="0.15">
      <c r="A8" s="7">
        <f t="shared" si="0"/>
        <v>0</v>
      </c>
      <c r="B8" s="6">
        <f>INDEX($AD$1:$AK$1,1,'第9章(計算用)'!B8+1)</f>
        <v>0</v>
      </c>
      <c r="C8" s="6">
        <f>INDEX($AD$1:$AK$1,1,'第9章(計算用)'!C8+1)</f>
        <v>0</v>
      </c>
      <c r="D8" s="6">
        <f>INDEX($AD$1:$AK$1,1,'第9章(計算用)'!D8+1)</f>
        <v>0</v>
      </c>
      <c r="E8" s="6">
        <f>INDEX($AD$1:$AK$1,1,'第9章(計算用)'!E8+1)</f>
        <v>0</v>
      </c>
      <c r="F8" s="6">
        <f>INDEX($AD$1:$AK$1,1,'第9章(計算用)'!F8+1)</f>
        <v>0</v>
      </c>
      <c r="G8" s="6">
        <f>INDEX($AD$1:$AK$1,1,'第9章(計算用)'!G8+1)</f>
        <v>1</v>
      </c>
      <c r="H8" s="6">
        <f>INDEX($AD$1:$AK$1,1,'第9章(計算用)'!H8+1)</f>
        <v>1</v>
      </c>
      <c r="I8" s="6">
        <f>INDEX($AD$1:$AK$1,1,'第9章(計算用)'!I8+1)</f>
        <v>1</v>
      </c>
      <c r="J8" s="6">
        <f>INDEX($AD$1:$AK$1,1,'第9章(計算用)'!J8+1)</f>
        <v>0</v>
      </c>
      <c r="K8" s="6">
        <f>INDEX($AD$1:$AK$1,1,'第9章(計算用)'!K8+1)</f>
        <v>1</v>
      </c>
      <c r="L8" s="6">
        <f>INDEX($AD$1:$AK$1,1,'第9章(計算用)'!L8+1)</f>
        <v>0</v>
      </c>
      <c r="M8" s="6">
        <f>INDEX($AD$1:$AK$1,1,'第9章(計算用)'!M8+1)</f>
        <v>1</v>
      </c>
      <c r="N8" s="6">
        <f>INDEX($AD$1:$AK$1,1,'第9章(計算用)'!N8+1)</f>
        <v>0</v>
      </c>
      <c r="O8" s="6">
        <f>INDEX($AD$1:$AK$1,1,'第9章(計算用)'!O8+1)</f>
        <v>1</v>
      </c>
      <c r="P8" s="6">
        <f>INDEX($AD$1:$AK$1,1,'第9章(計算用)'!P8+1)</f>
        <v>0</v>
      </c>
      <c r="Q8" s="6">
        <f>INDEX($AD$1:$AK$1,1,'第9章(計算用)'!Q8+1)</f>
        <v>1</v>
      </c>
      <c r="R8" s="6">
        <f>INDEX($AD$1:$AK$1,1,'第9章(計算用)'!R8+1)</f>
        <v>0</v>
      </c>
      <c r="S8" s="6">
        <f>INDEX($AD$1:$AK$1,1,'第9章(計算用)'!S8+1)</f>
        <v>1</v>
      </c>
      <c r="T8" s="6">
        <f>INDEX($AD$1:$AK$1,1,'第9章(計算用)'!T8+1)</f>
        <v>1</v>
      </c>
      <c r="U8" s="6">
        <f>INDEX($AD$1:$AK$1,1,'第9章(計算用)'!U8+1)</f>
        <v>1</v>
      </c>
      <c r="V8" s="6">
        <f>INDEX($AD$1:$AK$1,1,'第9章(計算用)'!V8+1)</f>
        <v>0</v>
      </c>
      <c r="W8" s="6">
        <f>INDEX($AD$1:$AK$1,1,'第9章(計算用)'!W8+1)</f>
        <v>0</v>
      </c>
      <c r="X8" s="6">
        <f>INDEX($AD$1:$AK$1,1,'第9章(計算用)'!X8+1)</f>
        <v>0</v>
      </c>
      <c r="Y8" s="6">
        <f>INDEX($AD$1:$AK$1,1,'第9章(計算用)'!Y8+1)</f>
        <v>0</v>
      </c>
      <c r="Z8" s="6">
        <f>INDEX($AD$1:$AK$1,1,'第9章(計算用)'!Z8+1)</f>
        <v>0</v>
      </c>
      <c r="AA8" s="7">
        <f t="shared" si="1"/>
        <v>0</v>
      </c>
      <c r="AD8" s="10">
        <v>0</v>
      </c>
      <c r="AE8" s="11">
        <v>0</v>
      </c>
      <c r="AF8" s="11">
        <v>1</v>
      </c>
      <c r="AG8" s="11">
        <v>0</v>
      </c>
      <c r="AH8" s="11">
        <v>1</v>
      </c>
      <c r="AI8" s="11">
        <v>0</v>
      </c>
      <c r="AJ8" s="11">
        <v>0</v>
      </c>
      <c r="AK8" s="12">
        <v>0</v>
      </c>
      <c r="AL8" s="10" t="s">
        <v>33</v>
      </c>
      <c r="AM8" s="11"/>
      <c r="AN8" s="12"/>
    </row>
    <row r="9" spans="1:40" x14ac:dyDescent="0.15">
      <c r="A9" s="7">
        <f t="shared" si="0"/>
        <v>0</v>
      </c>
      <c r="B9" s="6">
        <f>INDEX($AD$1:$AK$1,1,'第9章(計算用)'!B9+1)</f>
        <v>0</v>
      </c>
      <c r="C9" s="6">
        <f>INDEX($AD$1:$AK$1,1,'第9章(計算用)'!C9+1)</f>
        <v>0</v>
      </c>
      <c r="D9" s="6">
        <f>INDEX($AD$1:$AK$1,1,'第9章(計算用)'!D9+1)</f>
        <v>0</v>
      </c>
      <c r="E9" s="6">
        <f>INDEX($AD$1:$AK$1,1,'第9章(計算用)'!E9+1)</f>
        <v>0</v>
      </c>
      <c r="F9" s="6">
        <f>INDEX($AD$1:$AK$1,1,'第9章(計算用)'!F9+1)</f>
        <v>1</v>
      </c>
      <c r="G9" s="6">
        <f>INDEX($AD$1:$AK$1,1,'第9章(計算用)'!G9+1)</f>
        <v>1</v>
      </c>
      <c r="H9" s="6">
        <f>INDEX($AD$1:$AK$1,1,'第9章(計算用)'!H9+1)</f>
        <v>0</v>
      </c>
      <c r="I9" s="6">
        <f>INDEX($AD$1:$AK$1,1,'第9章(計算用)'!I9+1)</f>
        <v>1</v>
      </c>
      <c r="J9" s="6">
        <f>INDEX($AD$1:$AK$1,1,'第9章(計算用)'!J9+1)</f>
        <v>0</v>
      </c>
      <c r="K9" s="6">
        <f>INDEX($AD$1:$AK$1,1,'第9章(計算用)'!K9+1)</f>
        <v>1</v>
      </c>
      <c r="L9" s="6">
        <f>INDEX($AD$1:$AK$1,1,'第9章(計算用)'!L9+1)</f>
        <v>0</v>
      </c>
      <c r="M9" s="6">
        <f>INDEX($AD$1:$AK$1,1,'第9章(計算用)'!M9+1)</f>
        <v>1</v>
      </c>
      <c r="N9" s="6">
        <f>INDEX($AD$1:$AK$1,1,'第9章(計算用)'!N9+1)</f>
        <v>0</v>
      </c>
      <c r="O9" s="6">
        <f>INDEX($AD$1:$AK$1,1,'第9章(計算用)'!O9+1)</f>
        <v>1</v>
      </c>
      <c r="P9" s="6">
        <f>INDEX($AD$1:$AK$1,1,'第9章(計算用)'!P9+1)</f>
        <v>0</v>
      </c>
      <c r="Q9" s="6">
        <f>INDEX($AD$1:$AK$1,1,'第9章(計算用)'!Q9+1)</f>
        <v>1</v>
      </c>
      <c r="R9" s="6">
        <f>INDEX($AD$1:$AK$1,1,'第9章(計算用)'!R9+1)</f>
        <v>0</v>
      </c>
      <c r="S9" s="6">
        <f>INDEX($AD$1:$AK$1,1,'第9章(計算用)'!S9+1)</f>
        <v>1</v>
      </c>
      <c r="T9" s="6">
        <f>INDEX($AD$1:$AK$1,1,'第9章(計算用)'!T9+1)</f>
        <v>0</v>
      </c>
      <c r="U9" s="6">
        <f>INDEX($AD$1:$AK$1,1,'第9章(計算用)'!U9+1)</f>
        <v>1</v>
      </c>
      <c r="V9" s="6">
        <f>INDEX($AD$1:$AK$1,1,'第9章(計算用)'!V9+1)</f>
        <v>1</v>
      </c>
      <c r="W9" s="6">
        <f>INDEX($AD$1:$AK$1,1,'第9章(計算用)'!W9+1)</f>
        <v>0</v>
      </c>
      <c r="X9" s="6">
        <f>INDEX($AD$1:$AK$1,1,'第9章(計算用)'!X9+1)</f>
        <v>0</v>
      </c>
      <c r="Y9" s="6">
        <f>INDEX($AD$1:$AK$1,1,'第9章(計算用)'!Y9+1)</f>
        <v>0</v>
      </c>
      <c r="Z9" s="6">
        <f>INDEX($AD$1:$AK$1,1,'第9章(計算用)'!Z9+1)</f>
        <v>0</v>
      </c>
      <c r="AA9" s="7">
        <f t="shared" si="1"/>
        <v>0</v>
      </c>
      <c r="AD9" s="10">
        <v>0</v>
      </c>
      <c r="AE9" s="11">
        <v>0</v>
      </c>
      <c r="AF9" s="11">
        <v>1</v>
      </c>
      <c r="AG9" s="11">
        <v>1</v>
      </c>
      <c r="AH9" s="11">
        <v>0</v>
      </c>
      <c r="AI9" s="11">
        <v>1</v>
      </c>
      <c r="AJ9" s="11">
        <v>0</v>
      </c>
      <c r="AK9" s="12">
        <v>0</v>
      </c>
      <c r="AL9" s="10" t="s">
        <v>34</v>
      </c>
      <c r="AM9" s="11"/>
      <c r="AN9" s="12"/>
    </row>
    <row r="10" spans="1:40" x14ac:dyDescent="0.15">
      <c r="A10" s="7">
        <f t="shared" si="0"/>
        <v>0</v>
      </c>
      <c r="B10" s="6">
        <f>INDEX($AD$1:$AK$1,1,'第9章(計算用)'!B10+1)</f>
        <v>0</v>
      </c>
      <c r="C10" s="6">
        <f>INDEX($AD$1:$AK$1,1,'第9章(計算用)'!C10+1)</f>
        <v>0</v>
      </c>
      <c r="D10" s="6">
        <f>INDEX($AD$1:$AK$1,1,'第9章(計算用)'!D10+1)</f>
        <v>0</v>
      </c>
      <c r="E10" s="6">
        <f>INDEX($AD$1:$AK$1,1,'第9章(計算用)'!E10+1)</f>
        <v>1</v>
      </c>
      <c r="F10" s="6">
        <f>INDEX($AD$1:$AK$1,1,'第9章(計算用)'!F10+1)</f>
        <v>1</v>
      </c>
      <c r="G10" s="6">
        <f>INDEX($AD$1:$AK$1,1,'第9章(計算用)'!G10+1)</f>
        <v>1</v>
      </c>
      <c r="H10" s="6">
        <f>INDEX($AD$1:$AK$1,1,'第9章(計算用)'!H10+1)</f>
        <v>0</v>
      </c>
      <c r="I10" s="6">
        <f>INDEX($AD$1:$AK$1,1,'第9章(計算用)'!I10+1)</f>
        <v>1</v>
      </c>
      <c r="J10" s="6">
        <f>INDEX($AD$1:$AK$1,1,'第9章(計算用)'!J10+1)</f>
        <v>0</v>
      </c>
      <c r="K10" s="6">
        <f>INDEX($AD$1:$AK$1,1,'第9章(計算用)'!K10+1)</f>
        <v>1</v>
      </c>
      <c r="L10" s="6">
        <f>INDEX($AD$1:$AK$1,1,'第9章(計算用)'!L10+1)</f>
        <v>0</v>
      </c>
      <c r="M10" s="6">
        <f>INDEX($AD$1:$AK$1,1,'第9章(計算用)'!M10+1)</f>
        <v>1</v>
      </c>
      <c r="N10" s="6">
        <f>INDEX($AD$1:$AK$1,1,'第9章(計算用)'!N10+1)</f>
        <v>0</v>
      </c>
      <c r="O10" s="6">
        <f>INDEX($AD$1:$AK$1,1,'第9章(計算用)'!O10+1)</f>
        <v>1</v>
      </c>
      <c r="P10" s="6">
        <f>INDEX($AD$1:$AK$1,1,'第9章(計算用)'!P10+1)</f>
        <v>0</v>
      </c>
      <c r="Q10" s="6">
        <f>INDEX($AD$1:$AK$1,1,'第9章(計算用)'!Q10+1)</f>
        <v>1</v>
      </c>
      <c r="R10" s="6">
        <f>INDEX($AD$1:$AK$1,1,'第9章(計算用)'!R10+1)</f>
        <v>0</v>
      </c>
      <c r="S10" s="6">
        <f>INDEX($AD$1:$AK$1,1,'第9章(計算用)'!S10+1)</f>
        <v>1</v>
      </c>
      <c r="T10" s="6">
        <f>INDEX($AD$1:$AK$1,1,'第9章(計算用)'!T10+1)</f>
        <v>0</v>
      </c>
      <c r="U10" s="6">
        <f>INDEX($AD$1:$AK$1,1,'第9章(計算用)'!U10+1)</f>
        <v>1</v>
      </c>
      <c r="V10" s="6">
        <f>INDEX($AD$1:$AK$1,1,'第9章(計算用)'!V10+1)</f>
        <v>1</v>
      </c>
      <c r="W10" s="6">
        <f>INDEX($AD$1:$AK$1,1,'第9章(計算用)'!W10+1)</f>
        <v>1</v>
      </c>
      <c r="X10" s="6">
        <f>INDEX($AD$1:$AK$1,1,'第9章(計算用)'!X10+1)</f>
        <v>0</v>
      </c>
      <c r="Y10" s="6">
        <f>INDEX($AD$1:$AK$1,1,'第9章(計算用)'!Y10+1)</f>
        <v>0</v>
      </c>
      <c r="Z10" s="6">
        <f>INDEX($AD$1:$AK$1,1,'第9章(計算用)'!Z10+1)</f>
        <v>0</v>
      </c>
      <c r="AA10" s="7">
        <f t="shared" si="1"/>
        <v>0</v>
      </c>
    </row>
    <row r="11" spans="1:40" x14ac:dyDescent="0.15">
      <c r="A11" s="7">
        <f t="shared" si="0"/>
        <v>0</v>
      </c>
      <c r="B11" s="6">
        <f>INDEX($AD$1:$AK$1,1,'第9章(計算用)'!B11+1)</f>
        <v>0</v>
      </c>
      <c r="C11" s="6">
        <f>INDEX($AD$1:$AK$1,1,'第9章(計算用)'!C11+1)</f>
        <v>0</v>
      </c>
      <c r="D11" s="6">
        <f>INDEX($AD$1:$AK$1,1,'第9章(計算用)'!D11+1)</f>
        <v>1</v>
      </c>
      <c r="E11" s="6">
        <f>INDEX($AD$1:$AK$1,1,'第9章(計算用)'!E11+1)</f>
        <v>1</v>
      </c>
      <c r="F11" s="6">
        <f>INDEX($AD$1:$AK$1,1,'第9章(計算用)'!F11+1)</f>
        <v>0</v>
      </c>
      <c r="G11" s="6">
        <f>INDEX($AD$1:$AK$1,1,'第9章(計算用)'!G11+1)</f>
        <v>1</v>
      </c>
      <c r="H11" s="6">
        <f>INDEX($AD$1:$AK$1,1,'第9章(計算用)'!H11+1)</f>
        <v>0</v>
      </c>
      <c r="I11" s="6">
        <f>INDEX($AD$1:$AK$1,1,'第9章(計算用)'!I11+1)</f>
        <v>1</v>
      </c>
      <c r="J11" s="6">
        <f>INDEX($AD$1:$AK$1,1,'第9章(計算用)'!J11+1)</f>
        <v>0</v>
      </c>
      <c r="K11" s="6">
        <f>INDEX($AD$1:$AK$1,1,'第9章(計算用)'!K11+1)</f>
        <v>1</v>
      </c>
      <c r="L11" s="6">
        <f>INDEX($AD$1:$AK$1,1,'第9章(計算用)'!L11+1)</f>
        <v>0</v>
      </c>
      <c r="M11" s="6">
        <f>INDEX($AD$1:$AK$1,1,'第9章(計算用)'!M11+1)</f>
        <v>1</v>
      </c>
      <c r="N11" s="6">
        <f>INDEX($AD$1:$AK$1,1,'第9章(計算用)'!N11+1)</f>
        <v>0</v>
      </c>
      <c r="O11" s="6">
        <f>INDEX($AD$1:$AK$1,1,'第9章(計算用)'!O11+1)</f>
        <v>1</v>
      </c>
      <c r="P11" s="6">
        <f>INDEX($AD$1:$AK$1,1,'第9章(計算用)'!P11+1)</f>
        <v>0</v>
      </c>
      <c r="Q11" s="6">
        <f>INDEX($AD$1:$AK$1,1,'第9章(計算用)'!Q11+1)</f>
        <v>1</v>
      </c>
      <c r="R11" s="6">
        <f>INDEX($AD$1:$AK$1,1,'第9章(計算用)'!R11+1)</f>
        <v>0</v>
      </c>
      <c r="S11" s="6">
        <f>INDEX($AD$1:$AK$1,1,'第9章(計算用)'!S11+1)</f>
        <v>1</v>
      </c>
      <c r="T11" s="6">
        <f>INDEX($AD$1:$AK$1,1,'第9章(計算用)'!T11+1)</f>
        <v>0</v>
      </c>
      <c r="U11" s="6">
        <f>INDEX($AD$1:$AK$1,1,'第9章(計算用)'!U11+1)</f>
        <v>1</v>
      </c>
      <c r="V11" s="6">
        <f>INDEX($AD$1:$AK$1,1,'第9章(計算用)'!V11+1)</f>
        <v>0</v>
      </c>
      <c r="W11" s="6">
        <f>INDEX($AD$1:$AK$1,1,'第9章(計算用)'!W11+1)</f>
        <v>1</v>
      </c>
      <c r="X11" s="6">
        <f>INDEX($AD$1:$AK$1,1,'第9章(計算用)'!X11+1)</f>
        <v>1</v>
      </c>
      <c r="Y11" s="6">
        <f>INDEX($AD$1:$AK$1,1,'第9章(計算用)'!Y11+1)</f>
        <v>0</v>
      </c>
      <c r="Z11" s="6">
        <f>INDEX($AD$1:$AK$1,1,'第9章(計算用)'!Z11+1)</f>
        <v>0</v>
      </c>
      <c r="AA11" s="7">
        <f t="shared" si="1"/>
        <v>0</v>
      </c>
    </row>
    <row r="12" spans="1:40" x14ac:dyDescent="0.15">
      <c r="A12" s="7">
        <f t="shared" si="0"/>
        <v>0</v>
      </c>
      <c r="B12" s="6">
        <f>INDEX($AD$1:$AK$1,1,'第9章(計算用)'!B12+1)</f>
        <v>0</v>
      </c>
      <c r="C12" s="6">
        <f>INDEX($AD$1:$AK$1,1,'第9章(計算用)'!C12+1)</f>
        <v>1</v>
      </c>
      <c r="D12" s="6">
        <f>INDEX($AD$1:$AK$1,1,'第9章(計算用)'!D12+1)</f>
        <v>1</v>
      </c>
      <c r="E12" s="6">
        <f>INDEX($AD$1:$AK$1,1,'第9章(計算用)'!E12+1)</f>
        <v>1</v>
      </c>
      <c r="F12" s="6">
        <f>INDEX($AD$1:$AK$1,1,'第9章(計算用)'!F12+1)</f>
        <v>0</v>
      </c>
      <c r="G12" s="6">
        <f>INDEX($AD$1:$AK$1,1,'第9章(計算用)'!G12+1)</f>
        <v>1</v>
      </c>
      <c r="H12" s="6">
        <f>INDEX($AD$1:$AK$1,1,'第9章(計算用)'!H12+1)</f>
        <v>0</v>
      </c>
      <c r="I12" s="6">
        <f>INDEX($AD$1:$AK$1,1,'第9章(計算用)'!I12+1)</f>
        <v>1</v>
      </c>
      <c r="J12" s="6">
        <f>INDEX($AD$1:$AK$1,1,'第9章(計算用)'!J12+1)</f>
        <v>0</v>
      </c>
      <c r="K12" s="6">
        <f>INDEX($AD$1:$AK$1,1,'第9章(計算用)'!K12+1)</f>
        <v>1</v>
      </c>
      <c r="L12" s="6">
        <f>INDEX($AD$1:$AK$1,1,'第9章(計算用)'!L12+1)</f>
        <v>0</v>
      </c>
      <c r="M12" s="6">
        <f>INDEX($AD$1:$AK$1,1,'第9章(計算用)'!M12+1)</f>
        <v>1</v>
      </c>
      <c r="N12" s="6">
        <f>INDEX($AD$1:$AK$1,1,'第9章(計算用)'!N12+1)</f>
        <v>0</v>
      </c>
      <c r="O12" s="6">
        <f>INDEX($AD$1:$AK$1,1,'第9章(計算用)'!O12+1)</f>
        <v>1</v>
      </c>
      <c r="P12" s="6">
        <f>INDEX($AD$1:$AK$1,1,'第9章(計算用)'!P12+1)</f>
        <v>0</v>
      </c>
      <c r="Q12" s="6">
        <f>INDEX($AD$1:$AK$1,1,'第9章(計算用)'!Q12+1)</f>
        <v>1</v>
      </c>
      <c r="R12" s="6">
        <f>INDEX($AD$1:$AK$1,1,'第9章(計算用)'!R12+1)</f>
        <v>0</v>
      </c>
      <c r="S12" s="6">
        <f>INDEX($AD$1:$AK$1,1,'第9章(計算用)'!S12+1)</f>
        <v>1</v>
      </c>
      <c r="T12" s="6">
        <f>INDEX($AD$1:$AK$1,1,'第9章(計算用)'!T12+1)</f>
        <v>0</v>
      </c>
      <c r="U12" s="6">
        <f>INDEX($AD$1:$AK$1,1,'第9章(計算用)'!U12+1)</f>
        <v>1</v>
      </c>
      <c r="V12" s="6">
        <f>INDEX($AD$1:$AK$1,1,'第9章(計算用)'!V12+1)</f>
        <v>0</v>
      </c>
      <c r="W12" s="6">
        <f>INDEX($AD$1:$AK$1,1,'第9章(計算用)'!W12+1)</f>
        <v>1</v>
      </c>
      <c r="X12" s="6">
        <f>INDEX($AD$1:$AK$1,1,'第9章(計算用)'!X12+1)</f>
        <v>1</v>
      </c>
      <c r="Y12" s="6">
        <f>INDEX($AD$1:$AK$1,1,'第9章(計算用)'!Y12+1)</f>
        <v>1</v>
      </c>
      <c r="Z12" s="6">
        <f>INDEX($AD$1:$AK$1,1,'第9章(計算用)'!Z12+1)</f>
        <v>0</v>
      </c>
      <c r="AA12" s="7">
        <f t="shared" si="1"/>
        <v>0</v>
      </c>
    </row>
    <row r="13" spans="1:40" x14ac:dyDescent="0.15">
      <c r="A13" s="7">
        <f t="shared" si="0"/>
        <v>1</v>
      </c>
      <c r="B13" s="6">
        <f>INDEX($AD$1:$AK$1,1,'第9章(計算用)'!B13+1)</f>
        <v>1</v>
      </c>
      <c r="C13" s="6">
        <f>INDEX($AD$1:$AK$1,1,'第9章(計算用)'!C13+1)</f>
        <v>1</v>
      </c>
      <c r="D13" s="6">
        <f>INDEX($AD$1:$AK$1,1,'第9章(計算用)'!D13+1)</f>
        <v>0</v>
      </c>
      <c r="E13" s="6">
        <f>INDEX($AD$1:$AK$1,1,'第9章(計算用)'!E13+1)</f>
        <v>1</v>
      </c>
      <c r="F13" s="6">
        <f>INDEX($AD$1:$AK$1,1,'第9章(計算用)'!F13+1)</f>
        <v>0</v>
      </c>
      <c r="G13" s="6">
        <f>INDEX($AD$1:$AK$1,1,'第9章(計算用)'!G13+1)</f>
        <v>1</v>
      </c>
      <c r="H13" s="6">
        <f>INDEX($AD$1:$AK$1,1,'第9章(計算用)'!H13+1)</f>
        <v>0</v>
      </c>
      <c r="I13" s="6">
        <f>INDEX($AD$1:$AK$1,1,'第9章(計算用)'!I13+1)</f>
        <v>1</v>
      </c>
      <c r="J13" s="6">
        <f>INDEX($AD$1:$AK$1,1,'第9章(計算用)'!J13+1)</f>
        <v>0</v>
      </c>
      <c r="K13" s="6">
        <f>INDEX($AD$1:$AK$1,1,'第9章(計算用)'!K13+1)</f>
        <v>1</v>
      </c>
      <c r="L13" s="6">
        <f>INDEX($AD$1:$AK$1,1,'第9章(計算用)'!L13+1)</f>
        <v>0</v>
      </c>
      <c r="M13" s="6">
        <f>INDEX($AD$1:$AK$1,1,'第9章(計算用)'!M13+1)</f>
        <v>1</v>
      </c>
      <c r="N13" s="6">
        <f>INDEX($AD$1:$AK$1,1,'第9章(計算用)'!N13+1)</f>
        <v>0</v>
      </c>
      <c r="O13" s="6">
        <f>INDEX($AD$1:$AK$1,1,'第9章(計算用)'!O13+1)</f>
        <v>1</v>
      </c>
      <c r="P13" s="6">
        <f>INDEX($AD$1:$AK$1,1,'第9章(計算用)'!P13+1)</f>
        <v>0</v>
      </c>
      <c r="Q13" s="6">
        <f>INDEX($AD$1:$AK$1,1,'第9章(計算用)'!Q13+1)</f>
        <v>1</v>
      </c>
      <c r="R13" s="6">
        <f>INDEX($AD$1:$AK$1,1,'第9章(計算用)'!R13+1)</f>
        <v>0</v>
      </c>
      <c r="S13" s="6">
        <f>INDEX($AD$1:$AK$1,1,'第9章(計算用)'!S13+1)</f>
        <v>1</v>
      </c>
      <c r="T13" s="6">
        <f>INDEX($AD$1:$AK$1,1,'第9章(計算用)'!T13+1)</f>
        <v>0</v>
      </c>
      <c r="U13" s="6">
        <f>INDEX($AD$1:$AK$1,1,'第9章(計算用)'!U13+1)</f>
        <v>1</v>
      </c>
      <c r="V13" s="6">
        <f>INDEX($AD$1:$AK$1,1,'第9章(計算用)'!V13+1)</f>
        <v>0</v>
      </c>
      <c r="W13" s="6">
        <f>INDEX($AD$1:$AK$1,1,'第9章(計算用)'!W13+1)</f>
        <v>1</v>
      </c>
      <c r="X13" s="6">
        <f>INDEX($AD$1:$AK$1,1,'第9章(計算用)'!X13+1)</f>
        <v>0</v>
      </c>
      <c r="Y13" s="6">
        <f>INDEX($AD$1:$AK$1,1,'第9章(計算用)'!Y13+1)</f>
        <v>1</v>
      </c>
      <c r="Z13" s="6">
        <f>INDEX($AD$1:$AK$1,1,'第9章(計算用)'!Z13+1)</f>
        <v>1</v>
      </c>
      <c r="AA13" s="7">
        <f t="shared" si="1"/>
        <v>1</v>
      </c>
    </row>
    <row r="14" spans="1:40" x14ac:dyDescent="0.15">
      <c r="A14" s="7">
        <f t="shared" si="0"/>
        <v>0</v>
      </c>
      <c r="B14" s="6">
        <f>INDEX($AD$1:$AK$1,1,'第9章(計算用)'!B14+1)</f>
        <v>0</v>
      </c>
      <c r="C14" s="6">
        <f>INDEX($AD$1:$AK$1,1,'第9章(計算用)'!C14+1)</f>
        <v>1</v>
      </c>
      <c r="D14" s="6">
        <f>INDEX($AD$1:$AK$1,1,'第9章(計算用)'!D14+1)</f>
        <v>0</v>
      </c>
      <c r="E14" s="6">
        <f>INDEX($AD$1:$AK$1,1,'第9章(計算用)'!E14+1)</f>
        <v>1</v>
      </c>
      <c r="F14" s="6">
        <f>INDEX($AD$1:$AK$1,1,'第9章(計算用)'!F14+1)</f>
        <v>0</v>
      </c>
      <c r="G14" s="6">
        <f>INDEX($AD$1:$AK$1,1,'第9章(計算用)'!G14+1)</f>
        <v>1</v>
      </c>
      <c r="H14" s="6">
        <f>INDEX($AD$1:$AK$1,1,'第9章(計算用)'!H14+1)</f>
        <v>0</v>
      </c>
      <c r="I14" s="6">
        <f>INDEX($AD$1:$AK$1,1,'第9章(計算用)'!I14+1)</f>
        <v>1</v>
      </c>
      <c r="J14" s="6">
        <f>INDEX($AD$1:$AK$1,1,'第9章(計算用)'!J14+1)</f>
        <v>0</v>
      </c>
      <c r="K14" s="6">
        <f>INDEX($AD$1:$AK$1,1,'第9章(計算用)'!K14+1)</f>
        <v>1</v>
      </c>
      <c r="L14" s="6">
        <f>INDEX($AD$1:$AK$1,1,'第9章(計算用)'!L14+1)</f>
        <v>0</v>
      </c>
      <c r="M14" s="6">
        <f>INDEX($AD$1:$AK$1,1,'第9章(計算用)'!M14+1)</f>
        <v>1</v>
      </c>
      <c r="N14" s="6">
        <f>INDEX($AD$1:$AK$1,1,'第9章(計算用)'!N14+1)</f>
        <v>0</v>
      </c>
      <c r="O14" s="6">
        <f>INDEX($AD$1:$AK$1,1,'第9章(計算用)'!O14+1)</f>
        <v>1</v>
      </c>
      <c r="P14" s="6">
        <f>INDEX($AD$1:$AK$1,1,'第9章(計算用)'!P14+1)</f>
        <v>0</v>
      </c>
      <c r="Q14" s="6">
        <f>INDEX($AD$1:$AK$1,1,'第9章(計算用)'!Q14+1)</f>
        <v>1</v>
      </c>
      <c r="R14" s="6">
        <f>INDEX($AD$1:$AK$1,1,'第9章(計算用)'!R14+1)</f>
        <v>0</v>
      </c>
      <c r="S14" s="6">
        <f>INDEX($AD$1:$AK$1,1,'第9章(計算用)'!S14+1)</f>
        <v>1</v>
      </c>
      <c r="T14" s="6">
        <f>INDEX($AD$1:$AK$1,1,'第9章(計算用)'!T14+1)</f>
        <v>0</v>
      </c>
      <c r="U14" s="6">
        <f>INDEX($AD$1:$AK$1,1,'第9章(計算用)'!U14+1)</f>
        <v>1</v>
      </c>
      <c r="V14" s="6">
        <f>INDEX($AD$1:$AK$1,1,'第9章(計算用)'!V14+1)</f>
        <v>0</v>
      </c>
      <c r="W14" s="6">
        <f>INDEX($AD$1:$AK$1,1,'第9章(計算用)'!W14+1)</f>
        <v>1</v>
      </c>
      <c r="X14" s="6">
        <f>INDEX($AD$1:$AK$1,1,'第9章(計算用)'!X14+1)</f>
        <v>0</v>
      </c>
      <c r="Y14" s="6">
        <f>INDEX($AD$1:$AK$1,1,'第9章(計算用)'!Y14+1)</f>
        <v>1</v>
      </c>
      <c r="Z14" s="6">
        <f>INDEX($AD$1:$AK$1,1,'第9章(計算用)'!Z14+1)</f>
        <v>0</v>
      </c>
      <c r="AA14" s="7">
        <f t="shared" si="1"/>
        <v>0</v>
      </c>
    </row>
    <row r="15" spans="1:40" x14ac:dyDescent="0.15">
      <c r="A15" s="7">
        <f t="shared" si="0"/>
        <v>1</v>
      </c>
      <c r="B15" s="6">
        <f>INDEX($AD$1:$AK$1,1,'第9章(計算用)'!B15+1)</f>
        <v>1</v>
      </c>
      <c r="C15" s="6">
        <f>INDEX($AD$1:$AK$1,1,'第9章(計算用)'!C15+1)</f>
        <v>1</v>
      </c>
      <c r="D15" s="6">
        <f>INDEX($AD$1:$AK$1,1,'第9章(計算用)'!D15+1)</f>
        <v>0</v>
      </c>
      <c r="E15" s="6">
        <f>INDEX($AD$1:$AK$1,1,'第9章(計算用)'!E15+1)</f>
        <v>1</v>
      </c>
      <c r="F15" s="6">
        <f>INDEX($AD$1:$AK$1,1,'第9章(計算用)'!F15+1)</f>
        <v>0</v>
      </c>
      <c r="G15" s="6">
        <f>INDEX($AD$1:$AK$1,1,'第9章(計算用)'!G15+1)</f>
        <v>1</v>
      </c>
      <c r="H15" s="6">
        <f>INDEX($AD$1:$AK$1,1,'第9章(計算用)'!H15+1)</f>
        <v>0</v>
      </c>
      <c r="I15" s="6">
        <f>INDEX($AD$1:$AK$1,1,'第9章(計算用)'!I15+1)</f>
        <v>1</v>
      </c>
      <c r="J15" s="6">
        <f>INDEX($AD$1:$AK$1,1,'第9章(計算用)'!J15+1)</f>
        <v>0</v>
      </c>
      <c r="K15" s="6">
        <f>INDEX($AD$1:$AK$1,1,'第9章(計算用)'!K15+1)</f>
        <v>1</v>
      </c>
      <c r="L15" s="6">
        <f>INDEX($AD$1:$AK$1,1,'第9章(計算用)'!L15+1)</f>
        <v>0</v>
      </c>
      <c r="M15" s="6">
        <f>INDEX($AD$1:$AK$1,1,'第9章(計算用)'!M15+1)</f>
        <v>1</v>
      </c>
      <c r="N15" s="6">
        <f>INDEX($AD$1:$AK$1,1,'第9章(計算用)'!N15+1)</f>
        <v>0</v>
      </c>
      <c r="O15" s="6">
        <f>INDEX($AD$1:$AK$1,1,'第9章(計算用)'!O15+1)</f>
        <v>1</v>
      </c>
      <c r="P15" s="6">
        <f>INDEX($AD$1:$AK$1,1,'第9章(計算用)'!P15+1)</f>
        <v>0</v>
      </c>
      <c r="Q15" s="6">
        <f>INDEX($AD$1:$AK$1,1,'第9章(計算用)'!Q15+1)</f>
        <v>1</v>
      </c>
      <c r="R15" s="6">
        <f>INDEX($AD$1:$AK$1,1,'第9章(計算用)'!R15+1)</f>
        <v>0</v>
      </c>
      <c r="S15" s="6">
        <f>INDEX($AD$1:$AK$1,1,'第9章(計算用)'!S15+1)</f>
        <v>1</v>
      </c>
      <c r="T15" s="6">
        <f>INDEX($AD$1:$AK$1,1,'第9章(計算用)'!T15+1)</f>
        <v>0</v>
      </c>
      <c r="U15" s="6">
        <f>INDEX($AD$1:$AK$1,1,'第9章(計算用)'!U15+1)</f>
        <v>1</v>
      </c>
      <c r="V15" s="6">
        <f>INDEX($AD$1:$AK$1,1,'第9章(計算用)'!V15+1)</f>
        <v>0</v>
      </c>
      <c r="W15" s="6">
        <f>INDEX($AD$1:$AK$1,1,'第9章(計算用)'!W15+1)</f>
        <v>1</v>
      </c>
      <c r="X15" s="6">
        <f>INDEX($AD$1:$AK$1,1,'第9章(計算用)'!X15+1)</f>
        <v>0</v>
      </c>
      <c r="Y15" s="6">
        <f>INDEX($AD$1:$AK$1,1,'第9章(計算用)'!Y15+1)</f>
        <v>1</v>
      </c>
      <c r="Z15" s="6">
        <f>INDEX($AD$1:$AK$1,1,'第9章(計算用)'!Z15+1)</f>
        <v>1</v>
      </c>
      <c r="AA15" s="7">
        <f t="shared" si="1"/>
        <v>1</v>
      </c>
    </row>
    <row r="16" spans="1:40" x14ac:dyDescent="0.15">
      <c r="A16" s="7">
        <f t="shared" si="0"/>
        <v>0</v>
      </c>
      <c r="B16" s="6">
        <f>INDEX($AD$1:$AK$1,1,'第9章(計算用)'!B16+1)</f>
        <v>0</v>
      </c>
      <c r="C16" s="6">
        <f>INDEX($AD$1:$AK$1,1,'第9章(計算用)'!C16+1)</f>
        <v>1</v>
      </c>
      <c r="D16" s="6">
        <f>INDEX($AD$1:$AK$1,1,'第9章(計算用)'!D16+1)</f>
        <v>0</v>
      </c>
      <c r="E16" s="6">
        <f>INDEX($AD$1:$AK$1,1,'第9章(計算用)'!E16+1)</f>
        <v>1</v>
      </c>
      <c r="F16" s="6">
        <f>INDEX($AD$1:$AK$1,1,'第9章(計算用)'!F16+1)</f>
        <v>0</v>
      </c>
      <c r="G16" s="6">
        <f>INDEX($AD$1:$AK$1,1,'第9章(計算用)'!G16+1)</f>
        <v>1</v>
      </c>
      <c r="H16" s="6">
        <f>INDEX($AD$1:$AK$1,1,'第9章(計算用)'!H16+1)</f>
        <v>0</v>
      </c>
      <c r="I16" s="6">
        <f>INDEX($AD$1:$AK$1,1,'第9章(計算用)'!I16+1)</f>
        <v>1</v>
      </c>
      <c r="J16" s="6">
        <f>INDEX($AD$1:$AK$1,1,'第9章(計算用)'!J16+1)</f>
        <v>0</v>
      </c>
      <c r="K16" s="6">
        <f>INDEX($AD$1:$AK$1,1,'第9章(計算用)'!K16+1)</f>
        <v>1</v>
      </c>
      <c r="L16" s="6">
        <f>INDEX($AD$1:$AK$1,1,'第9章(計算用)'!L16+1)</f>
        <v>0</v>
      </c>
      <c r="M16" s="6">
        <f>INDEX($AD$1:$AK$1,1,'第9章(計算用)'!M16+1)</f>
        <v>1</v>
      </c>
      <c r="N16" s="6">
        <f>INDEX($AD$1:$AK$1,1,'第9章(計算用)'!N16+1)</f>
        <v>0</v>
      </c>
      <c r="O16" s="6">
        <f>INDEX($AD$1:$AK$1,1,'第9章(計算用)'!O16+1)</f>
        <v>1</v>
      </c>
      <c r="P16" s="6">
        <f>INDEX($AD$1:$AK$1,1,'第9章(計算用)'!P16+1)</f>
        <v>0</v>
      </c>
      <c r="Q16" s="6">
        <f>INDEX($AD$1:$AK$1,1,'第9章(計算用)'!Q16+1)</f>
        <v>1</v>
      </c>
      <c r="R16" s="6">
        <f>INDEX($AD$1:$AK$1,1,'第9章(計算用)'!R16+1)</f>
        <v>0</v>
      </c>
      <c r="S16" s="6">
        <f>INDEX($AD$1:$AK$1,1,'第9章(計算用)'!S16+1)</f>
        <v>1</v>
      </c>
      <c r="T16" s="6">
        <f>INDEX($AD$1:$AK$1,1,'第9章(計算用)'!T16+1)</f>
        <v>0</v>
      </c>
      <c r="U16" s="6">
        <f>INDEX($AD$1:$AK$1,1,'第9章(計算用)'!U16+1)</f>
        <v>1</v>
      </c>
      <c r="V16" s="6">
        <f>INDEX($AD$1:$AK$1,1,'第9章(計算用)'!V16+1)</f>
        <v>0</v>
      </c>
      <c r="W16" s="6">
        <f>INDEX($AD$1:$AK$1,1,'第9章(計算用)'!W16+1)</f>
        <v>1</v>
      </c>
      <c r="X16" s="6">
        <f>INDEX($AD$1:$AK$1,1,'第9章(計算用)'!X16+1)</f>
        <v>0</v>
      </c>
      <c r="Y16" s="6">
        <f>INDEX($AD$1:$AK$1,1,'第9章(計算用)'!Y16+1)</f>
        <v>1</v>
      </c>
      <c r="Z16" s="6">
        <f>INDEX($AD$1:$AK$1,1,'第9章(計算用)'!Z16+1)</f>
        <v>0</v>
      </c>
      <c r="AA16" s="7">
        <f t="shared" si="1"/>
        <v>0</v>
      </c>
    </row>
    <row r="17" spans="1:27" x14ac:dyDescent="0.15">
      <c r="A17" s="7">
        <f t="shared" si="0"/>
        <v>1</v>
      </c>
      <c r="B17" s="6">
        <f>INDEX($AD$1:$AK$1,1,'第9章(計算用)'!B17+1)</f>
        <v>1</v>
      </c>
      <c r="C17" s="6">
        <f>INDEX($AD$1:$AK$1,1,'第9章(計算用)'!C17+1)</f>
        <v>1</v>
      </c>
      <c r="D17" s="6">
        <f>INDEX($AD$1:$AK$1,1,'第9章(計算用)'!D17+1)</f>
        <v>0</v>
      </c>
      <c r="E17" s="6">
        <f>INDEX($AD$1:$AK$1,1,'第9章(計算用)'!E17+1)</f>
        <v>1</v>
      </c>
      <c r="F17" s="6">
        <f>INDEX($AD$1:$AK$1,1,'第9章(計算用)'!F17+1)</f>
        <v>0</v>
      </c>
      <c r="G17" s="6">
        <f>INDEX($AD$1:$AK$1,1,'第9章(計算用)'!G17+1)</f>
        <v>1</v>
      </c>
      <c r="H17" s="6">
        <f>INDEX($AD$1:$AK$1,1,'第9章(計算用)'!H17+1)</f>
        <v>0</v>
      </c>
      <c r="I17" s="6">
        <f>INDEX($AD$1:$AK$1,1,'第9章(計算用)'!I17+1)</f>
        <v>1</v>
      </c>
      <c r="J17" s="6">
        <f>INDEX($AD$1:$AK$1,1,'第9章(計算用)'!J17+1)</f>
        <v>0</v>
      </c>
      <c r="K17" s="6">
        <f>INDEX($AD$1:$AK$1,1,'第9章(計算用)'!K17+1)</f>
        <v>1</v>
      </c>
      <c r="L17" s="6">
        <f>INDEX($AD$1:$AK$1,1,'第9章(計算用)'!L17+1)</f>
        <v>0</v>
      </c>
      <c r="M17" s="6">
        <f>INDEX($AD$1:$AK$1,1,'第9章(計算用)'!M17+1)</f>
        <v>1</v>
      </c>
      <c r="N17" s="6">
        <f>INDEX($AD$1:$AK$1,1,'第9章(計算用)'!N17+1)</f>
        <v>0</v>
      </c>
      <c r="O17" s="6">
        <f>INDEX($AD$1:$AK$1,1,'第9章(計算用)'!O17+1)</f>
        <v>1</v>
      </c>
      <c r="P17" s="6">
        <f>INDEX($AD$1:$AK$1,1,'第9章(計算用)'!P17+1)</f>
        <v>0</v>
      </c>
      <c r="Q17" s="6">
        <f>INDEX($AD$1:$AK$1,1,'第9章(計算用)'!Q17+1)</f>
        <v>1</v>
      </c>
      <c r="R17" s="6">
        <f>INDEX($AD$1:$AK$1,1,'第9章(計算用)'!R17+1)</f>
        <v>0</v>
      </c>
      <c r="S17" s="6">
        <f>INDEX($AD$1:$AK$1,1,'第9章(計算用)'!S17+1)</f>
        <v>1</v>
      </c>
      <c r="T17" s="6">
        <f>INDEX($AD$1:$AK$1,1,'第9章(計算用)'!T17+1)</f>
        <v>0</v>
      </c>
      <c r="U17" s="6">
        <f>INDEX($AD$1:$AK$1,1,'第9章(計算用)'!U17+1)</f>
        <v>1</v>
      </c>
      <c r="V17" s="6">
        <f>INDEX($AD$1:$AK$1,1,'第9章(計算用)'!V17+1)</f>
        <v>0</v>
      </c>
      <c r="W17" s="6">
        <f>INDEX($AD$1:$AK$1,1,'第9章(計算用)'!W17+1)</f>
        <v>1</v>
      </c>
      <c r="X17" s="6">
        <f>INDEX($AD$1:$AK$1,1,'第9章(計算用)'!X17+1)</f>
        <v>0</v>
      </c>
      <c r="Y17" s="6">
        <f>INDEX($AD$1:$AK$1,1,'第9章(計算用)'!Y17+1)</f>
        <v>1</v>
      </c>
      <c r="Z17" s="6">
        <f>INDEX($AD$1:$AK$1,1,'第9章(計算用)'!Z17+1)</f>
        <v>1</v>
      </c>
      <c r="AA17" s="7">
        <f t="shared" si="1"/>
        <v>1</v>
      </c>
    </row>
    <row r="18" spans="1:27" x14ac:dyDescent="0.15">
      <c r="A18" s="7">
        <f t="shared" si="0"/>
        <v>0</v>
      </c>
      <c r="B18" s="6">
        <f>INDEX($AD$1:$AK$1,1,'第9章(計算用)'!B18+1)</f>
        <v>0</v>
      </c>
      <c r="C18" s="6">
        <f>INDEX($AD$1:$AK$1,1,'第9章(計算用)'!C18+1)</f>
        <v>1</v>
      </c>
      <c r="D18" s="6">
        <f>INDEX($AD$1:$AK$1,1,'第9章(計算用)'!D18+1)</f>
        <v>0</v>
      </c>
      <c r="E18" s="6">
        <f>INDEX($AD$1:$AK$1,1,'第9章(計算用)'!E18+1)</f>
        <v>1</v>
      </c>
      <c r="F18" s="6">
        <f>INDEX($AD$1:$AK$1,1,'第9章(計算用)'!F18+1)</f>
        <v>0</v>
      </c>
      <c r="G18" s="6">
        <f>INDEX($AD$1:$AK$1,1,'第9章(計算用)'!G18+1)</f>
        <v>1</v>
      </c>
      <c r="H18" s="6">
        <f>INDEX($AD$1:$AK$1,1,'第9章(計算用)'!H18+1)</f>
        <v>0</v>
      </c>
      <c r="I18" s="6">
        <f>INDEX($AD$1:$AK$1,1,'第9章(計算用)'!I18+1)</f>
        <v>1</v>
      </c>
      <c r="J18" s="6">
        <f>INDEX($AD$1:$AK$1,1,'第9章(計算用)'!J18+1)</f>
        <v>0</v>
      </c>
      <c r="K18" s="6">
        <f>INDEX($AD$1:$AK$1,1,'第9章(計算用)'!K18+1)</f>
        <v>1</v>
      </c>
      <c r="L18" s="6">
        <f>INDEX($AD$1:$AK$1,1,'第9章(計算用)'!L18+1)</f>
        <v>0</v>
      </c>
      <c r="M18" s="6">
        <f>INDEX($AD$1:$AK$1,1,'第9章(計算用)'!M18+1)</f>
        <v>1</v>
      </c>
      <c r="N18" s="6">
        <f>INDEX($AD$1:$AK$1,1,'第9章(計算用)'!N18+1)</f>
        <v>0</v>
      </c>
      <c r="O18" s="6">
        <f>INDEX($AD$1:$AK$1,1,'第9章(計算用)'!O18+1)</f>
        <v>1</v>
      </c>
      <c r="P18" s="6">
        <f>INDEX($AD$1:$AK$1,1,'第9章(計算用)'!P18+1)</f>
        <v>0</v>
      </c>
      <c r="Q18" s="6">
        <f>INDEX($AD$1:$AK$1,1,'第9章(計算用)'!Q18+1)</f>
        <v>1</v>
      </c>
      <c r="R18" s="6">
        <f>INDEX($AD$1:$AK$1,1,'第9章(計算用)'!R18+1)</f>
        <v>0</v>
      </c>
      <c r="S18" s="6">
        <f>INDEX($AD$1:$AK$1,1,'第9章(計算用)'!S18+1)</f>
        <v>1</v>
      </c>
      <c r="T18" s="6">
        <f>INDEX($AD$1:$AK$1,1,'第9章(計算用)'!T18+1)</f>
        <v>0</v>
      </c>
      <c r="U18" s="6">
        <f>INDEX($AD$1:$AK$1,1,'第9章(計算用)'!U18+1)</f>
        <v>1</v>
      </c>
      <c r="V18" s="6">
        <f>INDEX($AD$1:$AK$1,1,'第9章(計算用)'!V18+1)</f>
        <v>0</v>
      </c>
      <c r="W18" s="6">
        <f>INDEX($AD$1:$AK$1,1,'第9章(計算用)'!W18+1)</f>
        <v>1</v>
      </c>
      <c r="X18" s="6">
        <f>INDEX($AD$1:$AK$1,1,'第9章(計算用)'!X18+1)</f>
        <v>0</v>
      </c>
      <c r="Y18" s="6">
        <f>INDEX($AD$1:$AK$1,1,'第9章(計算用)'!Y18+1)</f>
        <v>1</v>
      </c>
      <c r="Z18" s="6">
        <f>INDEX($AD$1:$AK$1,1,'第9章(計算用)'!Z18+1)</f>
        <v>0</v>
      </c>
      <c r="AA18" s="7">
        <f t="shared" si="1"/>
        <v>0</v>
      </c>
    </row>
    <row r="19" spans="1:27" x14ac:dyDescent="0.15">
      <c r="A19" s="7">
        <f t="shared" si="0"/>
        <v>1</v>
      </c>
      <c r="B19" s="6">
        <f>INDEX($AD$1:$AK$1,1,'第9章(計算用)'!B19+1)</f>
        <v>1</v>
      </c>
      <c r="C19" s="6">
        <f>INDEX($AD$1:$AK$1,1,'第9章(計算用)'!C19+1)</f>
        <v>1</v>
      </c>
      <c r="D19" s="6">
        <f>INDEX($AD$1:$AK$1,1,'第9章(計算用)'!D19+1)</f>
        <v>0</v>
      </c>
      <c r="E19" s="6">
        <f>INDEX($AD$1:$AK$1,1,'第9章(計算用)'!E19+1)</f>
        <v>1</v>
      </c>
      <c r="F19" s="6">
        <f>INDEX($AD$1:$AK$1,1,'第9章(計算用)'!F19+1)</f>
        <v>0</v>
      </c>
      <c r="G19" s="6">
        <f>INDEX($AD$1:$AK$1,1,'第9章(計算用)'!G19+1)</f>
        <v>1</v>
      </c>
      <c r="H19" s="6">
        <f>INDEX($AD$1:$AK$1,1,'第9章(計算用)'!H19+1)</f>
        <v>0</v>
      </c>
      <c r="I19" s="6">
        <f>INDEX($AD$1:$AK$1,1,'第9章(計算用)'!I19+1)</f>
        <v>1</v>
      </c>
      <c r="J19" s="6">
        <f>INDEX($AD$1:$AK$1,1,'第9章(計算用)'!J19+1)</f>
        <v>0</v>
      </c>
      <c r="K19" s="6">
        <f>INDEX($AD$1:$AK$1,1,'第9章(計算用)'!K19+1)</f>
        <v>1</v>
      </c>
      <c r="L19" s="6">
        <f>INDEX($AD$1:$AK$1,1,'第9章(計算用)'!L19+1)</f>
        <v>0</v>
      </c>
      <c r="M19" s="6">
        <f>INDEX($AD$1:$AK$1,1,'第9章(計算用)'!M19+1)</f>
        <v>1</v>
      </c>
      <c r="N19" s="6">
        <f>INDEX($AD$1:$AK$1,1,'第9章(計算用)'!N19+1)</f>
        <v>0</v>
      </c>
      <c r="O19" s="6">
        <f>INDEX($AD$1:$AK$1,1,'第9章(計算用)'!O19+1)</f>
        <v>1</v>
      </c>
      <c r="P19" s="6">
        <f>INDEX($AD$1:$AK$1,1,'第9章(計算用)'!P19+1)</f>
        <v>0</v>
      </c>
      <c r="Q19" s="6">
        <f>INDEX($AD$1:$AK$1,1,'第9章(計算用)'!Q19+1)</f>
        <v>1</v>
      </c>
      <c r="R19" s="6">
        <f>INDEX($AD$1:$AK$1,1,'第9章(計算用)'!R19+1)</f>
        <v>0</v>
      </c>
      <c r="S19" s="6">
        <f>INDEX($AD$1:$AK$1,1,'第9章(計算用)'!S19+1)</f>
        <v>1</v>
      </c>
      <c r="T19" s="6">
        <f>INDEX($AD$1:$AK$1,1,'第9章(計算用)'!T19+1)</f>
        <v>0</v>
      </c>
      <c r="U19" s="6">
        <f>INDEX($AD$1:$AK$1,1,'第9章(計算用)'!U19+1)</f>
        <v>1</v>
      </c>
      <c r="V19" s="6">
        <f>INDEX($AD$1:$AK$1,1,'第9章(計算用)'!V19+1)</f>
        <v>0</v>
      </c>
      <c r="W19" s="6">
        <f>INDEX($AD$1:$AK$1,1,'第9章(計算用)'!W19+1)</f>
        <v>1</v>
      </c>
      <c r="X19" s="6">
        <f>INDEX($AD$1:$AK$1,1,'第9章(計算用)'!X19+1)</f>
        <v>0</v>
      </c>
      <c r="Y19" s="6">
        <f>INDEX($AD$1:$AK$1,1,'第9章(計算用)'!Y19+1)</f>
        <v>1</v>
      </c>
      <c r="Z19" s="6">
        <f>INDEX($AD$1:$AK$1,1,'第9章(計算用)'!Z19+1)</f>
        <v>1</v>
      </c>
      <c r="AA19" s="7">
        <f t="shared" si="1"/>
        <v>1</v>
      </c>
    </row>
    <row r="20" spans="1:27" x14ac:dyDescent="0.15">
      <c r="A20" s="7">
        <f t="shared" si="0"/>
        <v>0</v>
      </c>
      <c r="B20" s="6">
        <f>INDEX($AD$1:$AK$1,1,'第9章(計算用)'!B20+1)</f>
        <v>0</v>
      </c>
      <c r="C20" s="6">
        <f>INDEX($AD$1:$AK$1,1,'第9章(計算用)'!C20+1)</f>
        <v>1</v>
      </c>
      <c r="D20" s="6">
        <f>INDEX($AD$1:$AK$1,1,'第9章(計算用)'!D20+1)</f>
        <v>0</v>
      </c>
      <c r="E20" s="6">
        <f>INDEX($AD$1:$AK$1,1,'第9章(計算用)'!E20+1)</f>
        <v>1</v>
      </c>
      <c r="F20" s="6">
        <f>INDEX($AD$1:$AK$1,1,'第9章(計算用)'!F20+1)</f>
        <v>0</v>
      </c>
      <c r="G20" s="6">
        <f>INDEX($AD$1:$AK$1,1,'第9章(計算用)'!G20+1)</f>
        <v>1</v>
      </c>
      <c r="H20" s="6">
        <f>INDEX($AD$1:$AK$1,1,'第9章(計算用)'!H20+1)</f>
        <v>0</v>
      </c>
      <c r="I20" s="6">
        <f>INDEX($AD$1:$AK$1,1,'第9章(計算用)'!I20+1)</f>
        <v>1</v>
      </c>
      <c r="J20" s="6">
        <f>INDEX($AD$1:$AK$1,1,'第9章(計算用)'!J20+1)</f>
        <v>0</v>
      </c>
      <c r="K20" s="6">
        <f>INDEX($AD$1:$AK$1,1,'第9章(計算用)'!K20+1)</f>
        <v>1</v>
      </c>
      <c r="L20" s="6">
        <f>INDEX($AD$1:$AK$1,1,'第9章(計算用)'!L20+1)</f>
        <v>0</v>
      </c>
      <c r="M20" s="6">
        <f>INDEX($AD$1:$AK$1,1,'第9章(計算用)'!M20+1)</f>
        <v>1</v>
      </c>
      <c r="N20" s="6">
        <f>INDEX($AD$1:$AK$1,1,'第9章(計算用)'!N20+1)</f>
        <v>0</v>
      </c>
      <c r="O20" s="6">
        <f>INDEX($AD$1:$AK$1,1,'第9章(計算用)'!O20+1)</f>
        <v>1</v>
      </c>
      <c r="P20" s="6">
        <f>INDEX($AD$1:$AK$1,1,'第9章(計算用)'!P20+1)</f>
        <v>0</v>
      </c>
      <c r="Q20" s="6">
        <f>INDEX($AD$1:$AK$1,1,'第9章(計算用)'!Q20+1)</f>
        <v>1</v>
      </c>
      <c r="R20" s="6">
        <f>INDEX($AD$1:$AK$1,1,'第9章(計算用)'!R20+1)</f>
        <v>0</v>
      </c>
      <c r="S20" s="6">
        <f>INDEX($AD$1:$AK$1,1,'第9章(計算用)'!S20+1)</f>
        <v>1</v>
      </c>
      <c r="T20" s="6">
        <f>INDEX($AD$1:$AK$1,1,'第9章(計算用)'!T20+1)</f>
        <v>0</v>
      </c>
      <c r="U20" s="6">
        <f>INDEX($AD$1:$AK$1,1,'第9章(計算用)'!U20+1)</f>
        <v>1</v>
      </c>
      <c r="V20" s="6">
        <f>INDEX($AD$1:$AK$1,1,'第9章(計算用)'!V20+1)</f>
        <v>0</v>
      </c>
      <c r="W20" s="6">
        <f>INDEX($AD$1:$AK$1,1,'第9章(計算用)'!W20+1)</f>
        <v>1</v>
      </c>
      <c r="X20" s="6">
        <f>INDEX($AD$1:$AK$1,1,'第9章(計算用)'!X20+1)</f>
        <v>0</v>
      </c>
      <c r="Y20" s="6">
        <f>INDEX($AD$1:$AK$1,1,'第9章(計算用)'!Y20+1)</f>
        <v>1</v>
      </c>
      <c r="Z20" s="6">
        <f>INDEX($AD$1:$AK$1,1,'第9章(計算用)'!Z20+1)</f>
        <v>0</v>
      </c>
      <c r="AA20" s="7">
        <f t="shared" si="1"/>
        <v>0</v>
      </c>
    </row>
    <row r="21" spans="1:27" x14ac:dyDescent="0.15">
      <c r="A21" s="7">
        <f t="shared" si="0"/>
        <v>1</v>
      </c>
      <c r="B21" s="6">
        <f>INDEX($AD$1:$AK$1,1,'第9章(計算用)'!B21+1)</f>
        <v>1</v>
      </c>
      <c r="C21" s="6">
        <f>INDEX($AD$1:$AK$1,1,'第9章(計算用)'!C21+1)</f>
        <v>1</v>
      </c>
      <c r="D21" s="6">
        <f>INDEX($AD$1:$AK$1,1,'第9章(計算用)'!D21+1)</f>
        <v>0</v>
      </c>
      <c r="E21" s="6">
        <f>INDEX($AD$1:$AK$1,1,'第9章(計算用)'!E21+1)</f>
        <v>1</v>
      </c>
      <c r="F21" s="6">
        <f>INDEX($AD$1:$AK$1,1,'第9章(計算用)'!F21+1)</f>
        <v>0</v>
      </c>
      <c r="G21" s="6">
        <f>INDEX($AD$1:$AK$1,1,'第9章(計算用)'!G21+1)</f>
        <v>1</v>
      </c>
      <c r="H21" s="6">
        <f>INDEX($AD$1:$AK$1,1,'第9章(計算用)'!H21+1)</f>
        <v>0</v>
      </c>
      <c r="I21" s="6">
        <f>INDEX($AD$1:$AK$1,1,'第9章(計算用)'!I21+1)</f>
        <v>1</v>
      </c>
      <c r="J21" s="6">
        <f>INDEX($AD$1:$AK$1,1,'第9章(計算用)'!J21+1)</f>
        <v>0</v>
      </c>
      <c r="K21" s="6">
        <f>INDEX($AD$1:$AK$1,1,'第9章(計算用)'!K21+1)</f>
        <v>1</v>
      </c>
      <c r="L21" s="6">
        <f>INDEX($AD$1:$AK$1,1,'第9章(計算用)'!L21+1)</f>
        <v>0</v>
      </c>
      <c r="M21" s="6">
        <f>INDEX($AD$1:$AK$1,1,'第9章(計算用)'!M21+1)</f>
        <v>1</v>
      </c>
      <c r="N21" s="6">
        <f>INDEX($AD$1:$AK$1,1,'第9章(計算用)'!N21+1)</f>
        <v>0</v>
      </c>
      <c r="O21" s="6">
        <f>INDEX($AD$1:$AK$1,1,'第9章(計算用)'!O21+1)</f>
        <v>1</v>
      </c>
      <c r="P21" s="6">
        <f>INDEX($AD$1:$AK$1,1,'第9章(計算用)'!P21+1)</f>
        <v>0</v>
      </c>
      <c r="Q21" s="6">
        <f>INDEX($AD$1:$AK$1,1,'第9章(計算用)'!Q21+1)</f>
        <v>1</v>
      </c>
      <c r="R21" s="6">
        <f>INDEX($AD$1:$AK$1,1,'第9章(計算用)'!R21+1)</f>
        <v>0</v>
      </c>
      <c r="S21" s="6">
        <f>INDEX($AD$1:$AK$1,1,'第9章(計算用)'!S21+1)</f>
        <v>1</v>
      </c>
      <c r="T21" s="6">
        <f>INDEX($AD$1:$AK$1,1,'第9章(計算用)'!T21+1)</f>
        <v>0</v>
      </c>
      <c r="U21" s="6">
        <f>INDEX($AD$1:$AK$1,1,'第9章(計算用)'!U21+1)</f>
        <v>1</v>
      </c>
      <c r="V21" s="6">
        <f>INDEX($AD$1:$AK$1,1,'第9章(計算用)'!V21+1)</f>
        <v>0</v>
      </c>
      <c r="W21" s="6">
        <f>INDEX($AD$1:$AK$1,1,'第9章(計算用)'!W21+1)</f>
        <v>1</v>
      </c>
      <c r="X21" s="6">
        <f>INDEX($AD$1:$AK$1,1,'第9章(計算用)'!X21+1)</f>
        <v>0</v>
      </c>
      <c r="Y21" s="6">
        <f>INDEX($AD$1:$AK$1,1,'第9章(計算用)'!Y21+1)</f>
        <v>1</v>
      </c>
      <c r="Z21" s="6">
        <f>INDEX($AD$1:$AK$1,1,'第9章(計算用)'!Z21+1)</f>
        <v>1</v>
      </c>
      <c r="AA21" s="7">
        <f t="shared" si="1"/>
        <v>1</v>
      </c>
    </row>
    <row r="22" spans="1:27" x14ac:dyDescent="0.15">
      <c r="A22" s="7">
        <f t="shared" si="0"/>
        <v>0</v>
      </c>
      <c r="B22" s="6">
        <f>INDEX($AD$1:$AK$1,1,'第9章(計算用)'!B22+1)</f>
        <v>0</v>
      </c>
      <c r="C22" s="6">
        <f>INDEX($AD$1:$AK$1,1,'第9章(計算用)'!C22+1)</f>
        <v>1</v>
      </c>
      <c r="D22" s="6">
        <f>INDEX($AD$1:$AK$1,1,'第9章(計算用)'!D22+1)</f>
        <v>0</v>
      </c>
      <c r="E22" s="6">
        <f>INDEX($AD$1:$AK$1,1,'第9章(計算用)'!E22+1)</f>
        <v>1</v>
      </c>
      <c r="F22" s="6">
        <f>INDEX($AD$1:$AK$1,1,'第9章(計算用)'!F22+1)</f>
        <v>0</v>
      </c>
      <c r="G22" s="6">
        <f>INDEX($AD$1:$AK$1,1,'第9章(計算用)'!G22+1)</f>
        <v>1</v>
      </c>
      <c r="H22" s="6">
        <f>INDEX($AD$1:$AK$1,1,'第9章(計算用)'!H22+1)</f>
        <v>0</v>
      </c>
      <c r="I22" s="6">
        <f>INDEX($AD$1:$AK$1,1,'第9章(計算用)'!I22+1)</f>
        <v>1</v>
      </c>
      <c r="J22" s="6">
        <f>INDEX($AD$1:$AK$1,1,'第9章(計算用)'!J22+1)</f>
        <v>0</v>
      </c>
      <c r="K22" s="6">
        <f>INDEX($AD$1:$AK$1,1,'第9章(計算用)'!K22+1)</f>
        <v>1</v>
      </c>
      <c r="L22" s="6">
        <f>INDEX($AD$1:$AK$1,1,'第9章(計算用)'!L22+1)</f>
        <v>0</v>
      </c>
      <c r="M22" s="6">
        <f>INDEX($AD$1:$AK$1,1,'第9章(計算用)'!M22+1)</f>
        <v>1</v>
      </c>
      <c r="N22" s="6">
        <f>INDEX($AD$1:$AK$1,1,'第9章(計算用)'!N22+1)</f>
        <v>0</v>
      </c>
      <c r="O22" s="6">
        <f>INDEX($AD$1:$AK$1,1,'第9章(計算用)'!O22+1)</f>
        <v>1</v>
      </c>
      <c r="P22" s="6">
        <f>INDEX($AD$1:$AK$1,1,'第9章(計算用)'!P22+1)</f>
        <v>0</v>
      </c>
      <c r="Q22" s="6">
        <f>INDEX($AD$1:$AK$1,1,'第9章(計算用)'!Q22+1)</f>
        <v>1</v>
      </c>
      <c r="R22" s="6">
        <f>INDEX($AD$1:$AK$1,1,'第9章(計算用)'!R22+1)</f>
        <v>0</v>
      </c>
      <c r="S22" s="6">
        <f>INDEX($AD$1:$AK$1,1,'第9章(計算用)'!S22+1)</f>
        <v>1</v>
      </c>
      <c r="T22" s="6">
        <f>INDEX($AD$1:$AK$1,1,'第9章(計算用)'!T22+1)</f>
        <v>0</v>
      </c>
      <c r="U22" s="6">
        <f>INDEX($AD$1:$AK$1,1,'第9章(計算用)'!U22+1)</f>
        <v>1</v>
      </c>
      <c r="V22" s="6">
        <f>INDEX($AD$1:$AK$1,1,'第9章(計算用)'!V22+1)</f>
        <v>0</v>
      </c>
      <c r="W22" s="6">
        <f>INDEX($AD$1:$AK$1,1,'第9章(計算用)'!W22+1)</f>
        <v>1</v>
      </c>
      <c r="X22" s="6">
        <f>INDEX($AD$1:$AK$1,1,'第9章(計算用)'!X22+1)</f>
        <v>0</v>
      </c>
      <c r="Y22" s="6">
        <f>INDEX($AD$1:$AK$1,1,'第9章(計算用)'!Y22+1)</f>
        <v>1</v>
      </c>
      <c r="Z22" s="6">
        <f>INDEX($AD$1:$AK$1,1,'第9章(計算用)'!Z22+1)</f>
        <v>0</v>
      </c>
      <c r="AA22" s="7">
        <f t="shared" si="1"/>
        <v>0</v>
      </c>
    </row>
    <row r="23" spans="1:27" x14ac:dyDescent="0.15">
      <c r="A23" s="7">
        <f t="shared" si="0"/>
        <v>1</v>
      </c>
      <c r="B23" s="6">
        <f>INDEX($AD$1:$AK$1,1,'第9章(計算用)'!B23+1)</f>
        <v>1</v>
      </c>
      <c r="C23" s="6">
        <f>INDEX($AD$1:$AK$1,1,'第9章(計算用)'!C23+1)</f>
        <v>1</v>
      </c>
      <c r="D23" s="6">
        <f>INDEX($AD$1:$AK$1,1,'第9章(計算用)'!D23+1)</f>
        <v>0</v>
      </c>
      <c r="E23" s="6">
        <f>INDEX($AD$1:$AK$1,1,'第9章(計算用)'!E23+1)</f>
        <v>1</v>
      </c>
      <c r="F23" s="6">
        <f>INDEX($AD$1:$AK$1,1,'第9章(計算用)'!F23+1)</f>
        <v>0</v>
      </c>
      <c r="G23" s="6">
        <f>INDEX($AD$1:$AK$1,1,'第9章(計算用)'!G23+1)</f>
        <v>1</v>
      </c>
      <c r="H23" s="6">
        <f>INDEX($AD$1:$AK$1,1,'第9章(計算用)'!H23+1)</f>
        <v>0</v>
      </c>
      <c r="I23" s="6">
        <f>INDEX($AD$1:$AK$1,1,'第9章(計算用)'!I23+1)</f>
        <v>1</v>
      </c>
      <c r="J23" s="6">
        <f>INDEX($AD$1:$AK$1,1,'第9章(計算用)'!J23+1)</f>
        <v>0</v>
      </c>
      <c r="K23" s="6">
        <f>INDEX($AD$1:$AK$1,1,'第9章(計算用)'!K23+1)</f>
        <v>1</v>
      </c>
      <c r="L23" s="6">
        <f>INDEX($AD$1:$AK$1,1,'第9章(計算用)'!L23+1)</f>
        <v>0</v>
      </c>
      <c r="M23" s="6">
        <f>INDEX($AD$1:$AK$1,1,'第9章(計算用)'!M23+1)</f>
        <v>1</v>
      </c>
      <c r="N23" s="6">
        <f>INDEX($AD$1:$AK$1,1,'第9章(計算用)'!N23+1)</f>
        <v>0</v>
      </c>
      <c r="O23" s="6">
        <f>INDEX($AD$1:$AK$1,1,'第9章(計算用)'!O23+1)</f>
        <v>1</v>
      </c>
      <c r="P23" s="6">
        <f>INDEX($AD$1:$AK$1,1,'第9章(計算用)'!P23+1)</f>
        <v>0</v>
      </c>
      <c r="Q23" s="6">
        <f>INDEX($AD$1:$AK$1,1,'第9章(計算用)'!Q23+1)</f>
        <v>1</v>
      </c>
      <c r="R23" s="6">
        <f>INDEX($AD$1:$AK$1,1,'第9章(計算用)'!R23+1)</f>
        <v>0</v>
      </c>
      <c r="S23" s="6">
        <f>INDEX($AD$1:$AK$1,1,'第9章(計算用)'!S23+1)</f>
        <v>1</v>
      </c>
      <c r="T23" s="6">
        <f>INDEX($AD$1:$AK$1,1,'第9章(計算用)'!T23+1)</f>
        <v>0</v>
      </c>
      <c r="U23" s="6">
        <f>INDEX($AD$1:$AK$1,1,'第9章(計算用)'!U23+1)</f>
        <v>1</v>
      </c>
      <c r="V23" s="6">
        <f>INDEX($AD$1:$AK$1,1,'第9章(計算用)'!V23+1)</f>
        <v>0</v>
      </c>
      <c r="W23" s="6">
        <f>INDEX($AD$1:$AK$1,1,'第9章(計算用)'!W23+1)</f>
        <v>1</v>
      </c>
      <c r="X23" s="6">
        <f>INDEX($AD$1:$AK$1,1,'第9章(計算用)'!X23+1)</f>
        <v>0</v>
      </c>
      <c r="Y23" s="6">
        <f>INDEX($AD$1:$AK$1,1,'第9章(計算用)'!Y23+1)</f>
        <v>1</v>
      </c>
      <c r="Z23" s="6">
        <f>INDEX($AD$1:$AK$1,1,'第9章(計算用)'!Z23+1)</f>
        <v>1</v>
      </c>
      <c r="AA23" s="7">
        <f t="shared" si="1"/>
        <v>1</v>
      </c>
    </row>
    <row r="24" spans="1:27" x14ac:dyDescent="0.15">
      <c r="A24" s="7">
        <f t="shared" si="0"/>
        <v>0</v>
      </c>
      <c r="B24" s="6">
        <f>INDEX($AD$1:$AK$1,1,'第9章(計算用)'!B24+1)</f>
        <v>0</v>
      </c>
      <c r="C24" s="6">
        <f>INDEX($AD$1:$AK$1,1,'第9章(計算用)'!C24+1)</f>
        <v>1</v>
      </c>
      <c r="D24" s="6">
        <f>INDEX($AD$1:$AK$1,1,'第9章(計算用)'!D24+1)</f>
        <v>0</v>
      </c>
      <c r="E24" s="6">
        <f>INDEX($AD$1:$AK$1,1,'第9章(計算用)'!E24+1)</f>
        <v>1</v>
      </c>
      <c r="F24" s="6">
        <f>INDEX($AD$1:$AK$1,1,'第9章(計算用)'!F24+1)</f>
        <v>0</v>
      </c>
      <c r="G24" s="6">
        <f>INDEX($AD$1:$AK$1,1,'第9章(計算用)'!G24+1)</f>
        <v>1</v>
      </c>
      <c r="H24" s="6">
        <f>INDEX($AD$1:$AK$1,1,'第9章(計算用)'!H24+1)</f>
        <v>0</v>
      </c>
      <c r="I24" s="6">
        <f>INDEX($AD$1:$AK$1,1,'第9章(計算用)'!I24+1)</f>
        <v>1</v>
      </c>
      <c r="J24" s="6">
        <f>INDEX($AD$1:$AK$1,1,'第9章(計算用)'!J24+1)</f>
        <v>0</v>
      </c>
      <c r="K24" s="6">
        <f>INDEX($AD$1:$AK$1,1,'第9章(計算用)'!K24+1)</f>
        <v>1</v>
      </c>
      <c r="L24" s="6">
        <f>INDEX($AD$1:$AK$1,1,'第9章(計算用)'!L24+1)</f>
        <v>0</v>
      </c>
      <c r="M24" s="6">
        <f>INDEX($AD$1:$AK$1,1,'第9章(計算用)'!M24+1)</f>
        <v>1</v>
      </c>
      <c r="N24" s="6">
        <f>INDEX($AD$1:$AK$1,1,'第9章(計算用)'!N24+1)</f>
        <v>0</v>
      </c>
      <c r="O24" s="6">
        <f>INDEX($AD$1:$AK$1,1,'第9章(計算用)'!O24+1)</f>
        <v>1</v>
      </c>
      <c r="P24" s="6">
        <f>INDEX($AD$1:$AK$1,1,'第9章(計算用)'!P24+1)</f>
        <v>0</v>
      </c>
      <c r="Q24" s="6">
        <f>INDEX($AD$1:$AK$1,1,'第9章(計算用)'!Q24+1)</f>
        <v>1</v>
      </c>
      <c r="R24" s="6">
        <f>INDEX($AD$1:$AK$1,1,'第9章(計算用)'!R24+1)</f>
        <v>0</v>
      </c>
      <c r="S24" s="6">
        <f>INDEX($AD$1:$AK$1,1,'第9章(計算用)'!S24+1)</f>
        <v>1</v>
      </c>
      <c r="T24" s="6">
        <f>INDEX($AD$1:$AK$1,1,'第9章(計算用)'!T24+1)</f>
        <v>0</v>
      </c>
      <c r="U24" s="6">
        <f>INDEX($AD$1:$AK$1,1,'第9章(計算用)'!U24+1)</f>
        <v>1</v>
      </c>
      <c r="V24" s="6">
        <f>INDEX($AD$1:$AK$1,1,'第9章(計算用)'!V24+1)</f>
        <v>0</v>
      </c>
      <c r="W24" s="6">
        <f>INDEX($AD$1:$AK$1,1,'第9章(計算用)'!W24+1)</f>
        <v>1</v>
      </c>
      <c r="X24" s="6">
        <f>INDEX($AD$1:$AK$1,1,'第9章(計算用)'!X24+1)</f>
        <v>0</v>
      </c>
      <c r="Y24" s="6">
        <f>INDEX($AD$1:$AK$1,1,'第9章(計算用)'!Y24+1)</f>
        <v>1</v>
      </c>
      <c r="Z24" s="6">
        <f>INDEX($AD$1:$AK$1,1,'第9章(計算用)'!Z24+1)</f>
        <v>0</v>
      </c>
      <c r="AA24" s="7">
        <f t="shared" si="1"/>
        <v>0</v>
      </c>
    </row>
    <row r="25" spans="1:27" x14ac:dyDescent="0.15">
      <c r="A25" s="7">
        <f t="shared" si="0"/>
        <v>1</v>
      </c>
      <c r="B25" s="6">
        <f>INDEX($AD$1:$AK$1,1,'第9章(計算用)'!B25+1)</f>
        <v>1</v>
      </c>
      <c r="C25" s="6">
        <f>INDEX($AD$1:$AK$1,1,'第9章(計算用)'!C25+1)</f>
        <v>1</v>
      </c>
      <c r="D25" s="6">
        <f>INDEX($AD$1:$AK$1,1,'第9章(計算用)'!D25+1)</f>
        <v>0</v>
      </c>
      <c r="E25" s="6">
        <f>INDEX($AD$1:$AK$1,1,'第9章(計算用)'!E25+1)</f>
        <v>1</v>
      </c>
      <c r="F25" s="6">
        <f>INDEX($AD$1:$AK$1,1,'第9章(計算用)'!F25+1)</f>
        <v>0</v>
      </c>
      <c r="G25" s="6">
        <f>INDEX($AD$1:$AK$1,1,'第9章(計算用)'!G25+1)</f>
        <v>1</v>
      </c>
      <c r="H25" s="6">
        <f>INDEX($AD$1:$AK$1,1,'第9章(計算用)'!H25+1)</f>
        <v>0</v>
      </c>
      <c r="I25" s="6">
        <f>INDEX($AD$1:$AK$1,1,'第9章(計算用)'!I25+1)</f>
        <v>1</v>
      </c>
      <c r="J25" s="6">
        <f>INDEX($AD$1:$AK$1,1,'第9章(計算用)'!J25+1)</f>
        <v>0</v>
      </c>
      <c r="K25" s="6">
        <f>INDEX($AD$1:$AK$1,1,'第9章(計算用)'!K25+1)</f>
        <v>1</v>
      </c>
      <c r="L25" s="6">
        <f>INDEX($AD$1:$AK$1,1,'第9章(計算用)'!L25+1)</f>
        <v>0</v>
      </c>
      <c r="M25" s="6">
        <f>INDEX($AD$1:$AK$1,1,'第9章(計算用)'!M25+1)</f>
        <v>1</v>
      </c>
      <c r="N25" s="6">
        <f>INDEX($AD$1:$AK$1,1,'第9章(計算用)'!N25+1)</f>
        <v>0</v>
      </c>
      <c r="O25" s="6">
        <f>INDEX($AD$1:$AK$1,1,'第9章(計算用)'!O25+1)</f>
        <v>1</v>
      </c>
      <c r="P25" s="6">
        <f>INDEX($AD$1:$AK$1,1,'第9章(計算用)'!P25+1)</f>
        <v>0</v>
      </c>
      <c r="Q25" s="6">
        <f>INDEX($AD$1:$AK$1,1,'第9章(計算用)'!Q25+1)</f>
        <v>1</v>
      </c>
      <c r="R25" s="6">
        <f>INDEX($AD$1:$AK$1,1,'第9章(計算用)'!R25+1)</f>
        <v>0</v>
      </c>
      <c r="S25" s="6">
        <f>INDEX($AD$1:$AK$1,1,'第9章(計算用)'!S25+1)</f>
        <v>1</v>
      </c>
      <c r="T25" s="6">
        <f>INDEX($AD$1:$AK$1,1,'第9章(計算用)'!T25+1)</f>
        <v>0</v>
      </c>
      <c r="U25" s="6">
        <f>INDEX($AD$1:$AK$1,1,'第9章(計算用)'!U25+1)</f>
        <v>1</v>
      </c>
      <c r="V25" s="6">
        <f>INDEX($AD$1:$AK$1,1,'第9章(計算用)'!V25+1)</f>
        <v>0</v>
      </c>
      <c r="W25" s="6">
        <f>INDEX($AD$1:$AK$1,1,'第9章(計算用)'!W25+1)</f>
        <v>1</v>
      </c>
      <c r="X25" s="6">
        <f>INDEX($AD$1:$AK$1,1,'第9章(計算用)'!X25+1)</f>
        <v>0</v>
      </c>
      <c r="Y25" s="6">
        <f>INDEX($AD$1:$AK$1,1,'第9章(計算用)'!Y25+1)</f>
        <v>1</v>
      </c>
      <c r="Z25" s="6">
        <f>INDEX($AD$1:$AK$1,1,'第9章(計算用)'!Z25+1)</f>
        <v>1</v>
      </c>
      <c r="AA25" s="7">
        <f t="shared" si="1"/>
        <v>1</v>
      </c>
    </row>
    <row r="26" spans="1:27" x14ac:dyDescent="0.15">
      <c r="A26" s="7">
        <f t="shared" si="0"/>
        <v>0</v>
      </c>
      <c r="B26" s="6">
        <f>INDEX($AD$1:$AK$1,1,'第9章(計算用)'!B26+1)</f>
        <v>0</v>
      </c>
      <c r="C26" s="6">
        <f>INDEX($AD$1:$AK$1,1,'第9章(計算用)'!C26+1)</f>
        <v>1</v>
      </c>
      <c r="D26" s="6">
        <f>INDEX($AD$1:$AK$1,1,'第9章(計算用)'!D26+1)</f>
        <v>0</v>
      </c>
      <c r="E26" s="6">
        <f>INDEX($AD$1:$AK$1,1,'第9章(計算用)'!E26+1)</f>
        <v>1</v>
      </c>
      <c r="F26" s="6">
        <f>INDEX($AD$1:$AK$1,1,'第9章(計算用)'!F26+1)</f>
        <v>0</v>
      </c>
      <c r="G26" s="6">
        <f>INDEX($AD$1:$AK$1,1,'第9章(計算用)'!G26+1)</f>
        <v>1</v>
      </c>
      <c r="H26" s="6">
        <f>INDEX($AD$1:$AK$1,1,'第9章(計算用)'!H26+1)</f>
        <v>0</v>
      </c>
      <c r="I26" s="6">
        <f>INDEX($AD$1:$AK$1,1,'第9章(計算用)'!I26+1)</f>
        <v>1</v>
      </c>
      <c r="J26" s="6">
        <f>INDEX($AD$1:$AK$1,1,'第9章(計算用)'!J26+1)</f>
        <v>0</v>
      </c>
      <c r="K26" s="6">
        <f>INDEX($AD$1:$AK$1,1,'第9章(計算用)'!K26+1)</f>
        <v>1</v>
      </c>
      <c r="L26" s="6">
        <f>INDEX($AD$1:$AK$1,1,'第9章(計算用)'!L26+1)</f>
        <v>0</v>
      </c>
      <c r="M26" s="6">
        <f>INDEX($AD$1:$AK$1,1,'第9章(計算用)'!M26+1)</f>
        <v>1</v>
      </c>
      <c r="N26" s="6">
        <f>INDEX($AD$1:$AK$1,1,'第9章(計算用)'!N26+1)</f>
        <v>0</v>
      </c>
      <c r="O26" s="6">
        <f>INDEX($AD$1:$AK$1,1,'第9章(計算用)'!O26+1)</f>
        <v>1</v>
      </c>
      <c r="P26" s="6">
        <f>INDEX($AD$1:$AK$1,1,'第9章(計算用)'!P26+1)</f>
        <v>0</v>
      </c>
      <c r="Q26" s="6">
        <f>INDEX($AD$1:$AK$1,1,'第9章(計算用)'!Q26+1)</f>
        <v>1</v>
      </c>
      <c r="R26" s="6">
        <f>INDEX($AD$1:$AK$1,1,'第9章(計算用)'!R26+1)</f>
        <v>0</v>
      </c>
      <c r="S26" s="6">
        <f>INDEX($AD$1:$AK$1,1,'第9章(計算用)'!S26+1)</f>
        <v>1</v>
      </c>
      <c r="T26" s="6">
        <f>INDEX($AD$1:$AK$1,1,'第9章(計算用)'!T26+1)</f>
        <v>0</v>
      </c>
      <c r="U26" s="6">
        <f>INDEX($AD$1:$AK$1,1,'第9章(計算用)'!U26+1)</f>
        <v>1</v>
      </c>
      <c r="V26" s="6">
        <f>INDEX($AD$1:$AK$1,1,'第9章(計算用)'!V26+1)</f>
        <v>0</v>
      </c>
      <c r="W26" s="6">
        <f>INDEX($AD$1:$AK$1,1,'第9章(計算用)'!W26+1)</f>
        <v>1</v>
      </c>
      <c r="X26" s="6">
        <f>INDEX($AD$1:$AK$1,1,'第9章(計算用)'!X26+1)</f>
        <v>0</v>
      </c>
      <c r="Y26" s="6">
        <f>INDEX($AD$1:$AK$1,1,'第9章(計算用)'!Y26+1)</f>
        <v>1</v>
      </c>
      <c r="Z26" s="6">
        <f>INDEX($AD$1:$AK$1,1,'第9章(計算用)'!Z26+1)</f>
        <v>0</v>
      </c>
      <c r="AA26" s="7">
        <f t="shared" si="1"/>
        <v>0</v>
      </c>
    </row>
    <row r="27" spans="1:27" x14ac:dyDescent="0.15">
      <c r="A27" s="7">
        <f t="shared" si="0"/>
        <v>1</v>
      </c>
      <c r="B27" s="6">
        <f>INDEX($AD$1:$AK$1,1,'第9章(計算用)'!B27+1)</f>
        <v>1</v>
      </c>
      <c r="C27" s="6">
        <f>INDEX($AD$1:$AK$1,1,'第9章(計算用)'!C27+1)</f>
        <v>1</v>
      </c>
      <c r="D27" s="6">
        <f>INDEX($AD$1:$AK$1,1,'第9章(計算用)'!D27+1)</f>
        <v>0</v>
      </c>
      <c r="E27" s="6">
        <f>INDEX($AD$1:$AK$1,1,'第9章(計算用)'!E27+1)</f>
        <v>1</v>
      </c>
      <c r="F27" s="6">
        <f>INDEX($AD$1:$AK$1,1,'第9章(計算用)'!F27+1)</f>
        <v>0</v>
      </c>
      <c r="G27" s="6">
        <f>INDEX($AD$1:$AK$1,1,'第9章(計算用)'!G27+1)</f>
        <v>1</v>
      </c>
      <c r="H27" s="6">
        <f>INDEX($AD$1:$AK$1,1,'第9章(計算用)'!H27+1)</f>
        <v>0</v>
      </c>
      <c r="I27" s="6">
        <f>INDEX($AD$1:$AK$1,1,'第9章(計算用)'!I27+1)</f>
        <v>1</v>
      </c>
      <c r="J27" s="6">
        <f>INDEX($AD$1:$AK$1,1,'第9章(計算用)'!J27+1)</f>
        <v>0</v>
      </c>
      <c r="K27" s="6">
        <f>INDEX($AD$1:$AK$1,1,'第9章(計算用)'!K27+1)</f>
        <v>1</v>
      </c>
      <c r="L27" s="6">
        <f>INDEX($AD$1:$AK$1,1,'第9章(計算用)'!L27+1)</f>
        <v>0</v>
      </c>
      <c r="M27" s="6">
        <f>INDEX($AD$1:$AK$1,1,'第9章(計算用)'!M27+1)</f>
        <v>1</v>
      </c>
      <c r="N27" s="6">
        <f>INDEX($AD$1:$AK$1,1,'第9章(計算用)'!N27+1)</f>
        <v>0</v>
      </c>
      <c r="O27" s="6">
        <f>INDEX($AD$1:$AK$1,1,'第9章(計算用)'!O27+1)</f>
        <v>1</v>
      </c>
      <c r="P27" s="6">
        <f>INDEX($AD$1:$AK$1,1,'第9章(計算用)'!P27+1)</f>
        <v>0</v>
      </c>
      <c r="Q27" s="6">
        <f>INDEX($AD$1:$AK$1,1,'第9章(計算用)'!Q27+1)</f>
        <v>1</v>
      </c>
      <c r="R27" s="6">
        <f>INDEX($AD$1:$AK$1,1,'第9章(計算用)'!R27+1)</f>
        <v>0</v>
      </c>
      <c r="S27" s="6">
        <f>INDEX($AD$1:$AK$1,1,'第9章(計算用)'!S27+1)</f>
        <v>1</v>
      </c>
      <c r="T27" s="6">
        <f>INDEX($AD$1:$AK$1,1,'第9章(計算用)'!T27+1)</f>
        <v>0</v>
      </c>
      <c r="U27" s="6">
        <f>INDEX($AD$1:$AK$1,1,'第9章(計算用)'!U27+1)</f>
        <v>1</v>
      </c>
      <c r="V27" s="6">
        <f>INDEX($AD$1:$AK$1,1,'第9章(計算用)'!V27+1)</f>
        <v>0</v>
      </c>
      <c r="W27" s="6">
        <f>INDEX($AD$1:$AK$1,1,'第9章(計算用)'!W27+1)</f>
        <v>1</v>
      </c>
      <c r="X27" s="6">
        <f>INDEX($AD$1:$AK$1,1,'第9章(計算用)'!X27+1)</f>
        <v>0</v>
      </c>
      <c r="Y27" s="6">
        <f>INDEX($AD$1:$AK$1,1,'第9章(計算用)'!Y27+1)</f>
        <v>1</v>
      </c>
      <c r="Z27" s="6">
        <f>INDEX($AD$1:$AK$1,1,'第9章(計算用)'!Z27+1)</f>
        <v>1</v>
      </c>
      <c r="AA27" s="7">
        <f t="shared" si="1"/>
        <v>1</v>
      </c>
    </row>
    <row r="28" spans="1:27" x14ac:dyDescent="0.15">
      <c r="A28" s="7">
        <f t="shared" si="0"/>
        <v>0</v>
      </c>
      <c r="B28" s="6">
        <f>INDEX($AD$1:$AK$1,1,'第9章(計算用)'!B28+1)</f>
        <v>0</v>
      </c>
      <c r="C28" s="6">
        <f>INDEX($AD$1:$AK$1,1,'第9章(計算用)'!C28+1)</f>
        <v>1</v>
      </c>
      <c r="D28" s="6">
        <f>INDEX($AD$1:$AK$1,1,'第9章(計算用)'!D28+1)</f>
        <v>0</v>
      </c>
      <c r="E28" s="6">
        <f>INDEX($AD$1:$AK$1,1,'第9章(計算用)'!E28+1)</f>
        <v>1</v>
      </c>
      <c r="F28" s="6">
        <f>INDEX($AD$1:$AK$1,1,'第9章(計算用)'!F28+1)</f>
        <v>0</v>
      </c>
      <c r="G28" s="6">
        <f>INDEX($AD$1:$AK$1,1,'第9章(計算用)'!G28+1)</f>
        <v>1</v>
      </c>
      <c r="H28" s="6">
        <f>INDEX($AD$1:$AK$1,1,'第9章(計算用)'!H28+1)</f>
        <v>0</v>
      </c>
      <c r="I28" s="6">
        <f>INDEX($AD$1:$AK$1,1,'第9章(計算用)'!I28+1)</f>
        <v>1</v>
      </c>
      <c r="J28" s="6">
        <f>INDEX($AD$1:$AK$1,1,'第9章(計算用)'!J28+1)</f>
        <v>0</v>
      </c>
      <c r="K28" s="6">
        <f>INDEX($AD$1:$AK$1,1,'第9章(計算用)'!K28+1)</f>
        <v>1</v>
      </c>
      <c r="L28" s="6">
        <f>INDEX($AD$1:$AK$1,1,'第9章(計算用)'!L28+1)</f>
        <v>0</v>
      </c>
      <c r="M28" s="6">
        <f>INDEX($AD$1:$AK$1,1,'第9章(計算用)'!M28+1)</f>
        <v>1</v>
      </c>
      <c r="N28" s="6">
        <f>INDEX($AD$1:$AK$1,1,'第9章(計算用)'!N28+1)</f>
        <v>0</v>
      </c>
      <c r="O28" s="6">
        <f>INDEX($AD$1:$AK$1,1,'第9章(計算用)'!O28+1)</f>
        <v>1</v>
      </c>
      <c r="P28" s="6">
        <f>INDEX($AD$1:$AK$1,1,'第9章(計算用)'!P28+1)</f>
        <v>0</v>
      </c>
      <c r="Q28" s="6">
        <f>INDEX($AD$1:$AK$1,1,'第9章(計算用)'!Q28+1)</f>
        <v>1</v>
      </c>
      <c r="R28" s="6">
        <f>INDEX($AD$1:$AK$1,1,'第9章(計算用)'!R28+1)</f>
        <v>0</v>
      </c>
      <c r="S28" s="6">
        <f>INDEX($AD$1:$AK$1,1,'第9章(計算用)'!S28+1)</f>
        <v>1</v>
      </c>
      <c r="T28" s="6">
        <f>INDEX($AD$1:$AK$1,1,'第9章(計算用)'!T28+1)</f>
        <v>0</v>
      </c>
      <c r="U28" s="6">
        <f>INDEX($AD$1:$AK$1,1,'第9章(計算用)'!U28+1)</f>
        <v>1</v>
      </c>
      <c r="V28" s="6">
        <f>INDEX($AD$1:$AK$1,1,'第9章(計算用)'!V28+1)</f>
        <v>0</v>
      </c>
      <c r="W28" s="6">
        <f>INDEX($AD$1:$AK$1,1,'第9章(計算用)'!W28+1)</f>
        <v>1</v>
      </c>
      <c r="X28" s="6">
        <f>INDEX($AD$1:$AK$1,1,'第9章(計算用)'!X28+1)</f>
        <v>0</v>
      </c>
      <c r="Y28" s="6">
        <f>INDEX($AD$1:$AK$1,1,'第9章(計算用)'!Y28+1)</f>
        <v>1</v>
      </c>
      <c r="Z28" s="6">
        <f>INDEX($AD$1:$AK$1,1,'第9章(計算用)'!Z28+1)</f>
        <v>0</v>
      </c>
      <c r="AA28" s="7">
        <f t="shared" si="1"/>
        <v>0</v>
      </c>
    </row>
    <row r="29" spans="1:27" x14ac:dyDescent="0.15">
      <c r="A29" s="7">
        <f t="shared" si="0"/>
        <v>1</v>
      </c>
      <c r="B29" s="6">
        <f>INDEX($AD$1:$AK$1,1,'第9章(計算用)'!B29+1)</f>
        <v>1</v>
      </c>
      <c r="C29" s="6">
        <f>INDEX($AD$1:$AK$1,1,'第9章(計算用)'!C29+1)</f>
        <v>1</v>
      </c>
      <c r="D29" s="6">
        <f>INDEX($AD$1:$AK$1,1,'第9章(計算用)'!D29+1)</f>
        <v>0</v>
      </c>
      <c r="E29" s="6">
        <f>INDEX($AD$1:$AK$1,1,'第9章(計算用)'!E29+1)</f>
        <v>1</v>
      </c>
      <c r="F29" s="6">
        <f>INDEX($AD$1:$AK$1,1,'第9章(計算用)'!F29+1)</f>
        <v>0</v>
      </c>
      <c r="G29" s="6">
        <f>INDEX($AD$1:$AK$1,1,'第9章(計算用)'!G29+1)</f>
        <v>1</v>
      </c>
      <c r="H29" s="6">
        <f>INDEX($AD$1:$AK$1,1,'第9章(計算用)'!H29+1)</f>
        <v>0</v>
      </c>
      <c r="I29" s="6">
        <f>INDEX($AD$1:$AK$1,1,'第9章(計算用)'!I29+1)</f>
        <v>1</v>
      </c>
      <c r="J29" s="6">
        <f>INDEX($AD$1:$AK$1,1,'第9章(計算用)'!J29+1)</f>
        <v>0</v>
      </c>
      <c r="K29" s="6">
        <f>INDEX($AD$1:$AK$1,1,'第9章(計算用)'!K29+1)</f>
        <v>1</v>
      </c>
      <c r="L29" s="6">
        <f>INDEX($AD$1:$AK$1,1,'第9章(計算用)'!L29+1)</f>
        <v>0</v>
      </c>
      <c r="M29" s="6">
        <f>INDEX($AD$1:$AK$1,1,'第9章(計算用)'!M29+1)</f>
        <v>1</v>
      </c>
      <c r="N29" s="6">
        <f>INDEX($AD$1:$AK$1,1,'第9章(計算用)'!N29+1)</f>
        <v>0</v>
      </c>
      <c r="O29" s="6">
        <f>INDEX($AD$1:$AK$1,1,'第9章(計算用)'!O29+1)</f>
        <v>1</v>
      </c>
      <c r="P29" s="6">
        <f>INDEX($AD$1:$AK$1,1,'第9章(計算用)'!P29+1)</f>
        <v>0</v>
      </c>
      <c r="Q29" s="6">
        <f>INDEX($AD$1:$AK$1,1,'第9章(計算用)'!Q29+1)</f>
        <v>1</v>
      </c>
      <c r="R29" s="6">
        <f>INDEX($AD$1:$AK$1,1,'第9章(計算用)'!R29+1)</f>
        <v>0</v>
      </c>
      <c r="S29" s="6">
        <f>INDEX($AD$1:$AK$1,1,'第9章(計算用)'!S29+1)</f>
        <v>1</v>
      </c>
      <c r="T29" s="6">
        <f>INDEX($AD$1:$AK$1,1,'第9章(計算用)'!T29+1)</f>
        <v>0</v>
      </c>
      <c r="U29" s="6">
        <f>INDEX($AD$1:$AK$1,1,'第9章(計算用)'!U29+1)</f>
        <v>1</v>
      </c>
      <c r="V29" s="6">
        <f>INDEX($AD$1:$AK$1,1,'第9章(計算用)'!V29+1)</f>
        <v>0</v>
      </c>
      <c r="W29" s="6">
        <f>INDEX($AD$1:$AK$1,1,'第9章(計算用)'!W29+1)</f>
        <v>1</v>
      </c>
      <c r="X29" s="6">
        <f>INDEX($AD$1:$AK$1,1,'第9章(計算用)'!X29+1)</f>
        <v>0</v>
      </c>
      <c r="Y29" s="6">
        <f>INDEX($AD$1:$AK$1,1,'第9章(計算用)'!Y29+1)</f>
        <v>1</v>
      </c>
      <c r="Z29" s="6">
        <f>INDEX($AD$1:$AK$1,1,'第9章(計算用)'!Z29+1)</f>
        <v>1</v>
      </c>
      <c r="AA29" s="7">
        <f t="shared" si="1"/>
        <v>1</v>
      </c>
    </row>
    <row r="30" spans="1:27" x14ac:dyDescent="0.15">
      <c r="A30" s="7">
        <f t="shared" si="0"/>
        <v>0</v>
      </c>
      <c r="B30" s="6">
        <f>INDEX($AD$1:$AK$1,1,'第9章(計算用)'!B30+1)</f>
        <v>0</v>
      </c>
      <c r="C30" s="6">
        <f>INDEX($AD$1:$AK$1,1,'第9章(計算用)'!C30+1)</f>
        <v>1</v>
      </c>
      <c r="D30" s="6">
        <f>INDEX($AD$1:$AK$1,1,'第9章(計算用)'!D30+1)</f>
        <v>0</v>
      </c>
      <c r="E30" s="6">
        <f>INDEX($AD$1:$AK$1,1,'第9章(計算用)'!E30+1)</f>
        <v>1</v>
      </c>
      <c r="F30" s="6">
        <f>INDEX($AD$1:$AK$1,1,'第9章(計算用)'!F30+1)</f>
        <v>0</v>
      </c>
      <c r="G30" s="6">
        <f>INDEX($AD$1:$AK$1,1,'第9章(計算用)'!G30+1)</f>
        <v>1</v>
      </c>
      <c r="H30" s="6">
        <f>INDEX($AD$1:$AK$1,1,'第9章(計算用)'!H30+1)</f>
        <v>0</v>
      </c>
      <c r="I30" s="6">
        <f>INDEX($AD$1:$AK$1,1,'第9章(計算用)'!I30+1)</f>
        <v>1</v>
      </c>
      <c r="J30" s="6">
        <f>INDEX($AD$1:$AK$1,1,'第9章(計算用)'!J30+1)</f>
        <v>0</v>
      </c>
      <c r="K30" s="6">
        <f>INDEX($AD$1:$AK$1,1,'第9章(計算用)'!K30+1)</f>
        <v>1</v>
      </c>
      <c r="L30" s="6">
        <f>INDEX($AD$1:$AK$1,1,'第9章(計算用)'!L30+1)</f>
        <v>0</v>
      </c>
      <c r="M30" s="6">
        <f>INDEX($AD$1:$AK$1,1,'第9章(計算用)'!M30+1)</f>
        <v>1</v>
      </c>
      <c r="N30" s="6">
        <f>INDEX($AD$1:$AK$1,1,'第9章(計算用)'!N30+1)</f>
        <v>0</v>
      </c>
      <c r="O30" s="6">
        <f>INDEX($AD$1:$AK$1,1,'第9章(計算用)'!O30+1)</f>
        <v>1</v>
      </c>
      <c r="P30" s="6">
        <f>INDEX($AD$1:$AK$1,1,'第9章(計算用)'!P30+1)</f>
        <v>0</v>
      </c>
      <c r="Q30" s="6">
        <f>INDEX($AD$1:$AK$1,1,'第9章(計算用)'!Q30+1)</f>
        <v>1</v>
      </c>
      <c r="R30" s="6">
        <f>INDEX($AD$1:$AK$1,1,'第9章(計算用)'!R30+1)</f>
        <v>0</v>
      </c>
      <c r="S30" s="6">
        <f>INDEX($AD$1:$AK$1,1,'第9章(計算用)'!S30+1)</f>
        <v>1</v>
      </c>
      <c r="T30" s="6">
        <f>INDEX($AD$1:$AK$1,1,'第9章(計算用)'!T30+1)</f>
        <v>0</v>
      </c>
      <c r="U30" s="6">
        <f>INDEX($AD$1:$AK$1,1,'第9章(計算用)'!U30+1)</f>
        <v>1</v>
      </c>
      <c r="V30" s="6">
        <f>INDEX($AD$1:$AK$1,1,'第9章(計算用)'!V30+1)</f>
        <v>0</v>
      </c>
      <c r="W30" s="6">
        <f>INDEX($AD$1:$AK$1,1,'第9章(計算用)'!W30+1)</f>
        <v>1</v>
      </c>
      <c r="X30" s="6">
        <f>INDEX($AD$1:$AK$1,1,'第9章(計算用)'!X30+1)</f>
        <v>0</v>
      </c>
      <c r="Y30" s="6">
        <f>INDEX($AD$1:$AK$1,1,'第9章(計算用)'!Y30+1)</f>
        <v>1</v>
      </c>
      <c r="Z30" s="6">
        <f>INDEX($AD$1:$AK$1,1,'第9章(計算用)'!Z30+1)</f>
        <v>0</v>
      </c>
      <c r="AA30" s="7">
        <f t="shared" si="1"/>
        <v>0</v>
      </c>
    </row>
    <row r="31" spans="1:27" x14ac:dyDescent="0.15">
      <c r="A31" s="7">
        <f t="shared" si="0"/>
        <v>1</v>
      </c>
      <c r="B31" s="6">
        <f>INDEX($AD$1:$AK$1,1,'第9章(計算用)'!B31+1)</f>
        <v>1</v>
      </c>
      <c r="C31" s="6">
        <f>INDEX($AD$1:$AK$1,1,'第9章(計算用)'!C31+1)</f>
        <v>1</v>
      </c>
      <c r="D31" s="6">
        <f>INDEX($AD$1:$AK$1,1,'第9章(計算用)'!D31+1)</f>
        <v>0</v>
      </c>
      <c r="E31" s="6">
        <f>INDEX($AD$1:$AK$1,1,'第9章(計算用)'!E31+1)</f>
        <v>1</v>
      </c>
      <c r="F31" s="6">
        <f>INDEX($AD$1:$AK$1,1,'第9章(計算用)'!F31+1)</f>
        <v>0</v>
      </c>
      <c r="G31" s="6">
        <f>INDEX($AD$1:$AK$1,1,'第9章(計算用)'!G31+1)</f>
        <v>1</v>
      </c>
      <c r="H31" s="6">
        <f>INDEX($AD$1:$AK$1,1,'第9章(計算用)'!H31+1)</f>
        <v>0</v>
      </c>
      <c r="I31" s="6">
        <f>INDEX($AD$1:$AK$1,1,'第9章(計算用)'!I31+1)</f>
        <v>1</v>
      </c>
      <c r="J31" s="6">
        <f>INDEX($AD$1:$AK$1,1,'第9章(計算用)'!J31+1)</f>
        <v>0</v>
      </c>
      <c r="K31" s="6">
        <f>INDEX($AD$1:$AK$1,1,'第9章(計算用)'!K31+1)</f>
        <v>1</v>
      </c>
      <c r="L31" s="6">
        <f>INDEX($AD$1:$AK$1,1,'第9章(計算用)'!L31+1)</f>
        <v>0</v>
      </c>
      <c r="M31" s="6">
        <f>INDEX($AD$1:$AK$1,1,'第9章(計算用)'!M31+1)</f>
        <v>1</v>
      </c>
      <c r="N31" s="6">
        <f>INDEX($AD$1:$AK$1,1,'第9章(計算用)'!N31+1)</f>
        <v>0</v>
      </c>
      <c r="O31" s="6">
        <f>INDEX($AD$1:$AK$1,1,'第9章(計算用)'!O31+1)</f>
        <v>1</v>
      </c>
      <c r="P31" s="6">
        <f>INDEX($AD$1:$AK$1,1,'第9章(計算用)'!P31+1)</f>
        <v>0</v>
      </c>
      <c r="Q31" s="6">
        <f>INDEX($AD$1:$AK$1,1,'第9章(計算用)'!Q31+1)</f>
        <v>1</v>
      </c>
      <c r="R31" s="6">
        <f>INDEX($AD$1:$AK$1,1,'第9章(計算用)'!R31+1)</f>
        <v>0</v>
      </c>
      <c r="S31" s="6">
        <f>INDEX($AD$1:$AK$1,1,'第9章(計算用)'!S31+1)</f>
        <v>1</v>
      </c>
      <c r="T31" s="6">
        <f>INDEX($AD$1:$AK$1,1,'第9章(計算用)'!T31+1)</f>
        <v>0</v>
      </c>
      <c r="U31" s="6">
        <f>INDEX($AD$1:$AK$1,1,'第9章(計算用)'!U31+1)</f>
        <v>1</v>
      </c>
      <c r="V31" s="6">
        <f>INDEX($AD$1:$AK$1,1,'第9章(計算用)'!V31+1)</f>
        <v>0</v>
      </c>
      <c r="W31" s="6">
        <f>INDEX($AD$1:$AK$1,1,'第9章(計算用)'!W31+1)</f>
        <v>1</v>
      </c>
      <c r="X31" s="6">
        <f>INDEX($AD$1:$AK$1,1,'第9章(計算用)'!X31+1)</f>
        <v>0</v>
      </c>
      <c r="Y31" s="6">
        <f>INDEX($AD$1:$AK$1,1,'第9章(計算用)'!Y31+1)</f>
        <v>1</v>
      </c>
      <c r="Z31" s="6">
        <f>INDEX($AD$1:$AK$1,1,'第9章(計算用)'!Z31+1)</f>
        <v>1</v>
      </c>
      <c r="AA31" s="7">
        <f t="shared" si="1"/>
        <v>1</v>
      </c>
    </row>
    <row r="32" spans="1:27" x14ac:dyDescent="0.15">
      <c r="A32" s="7">
        <f t="shared" si="0"/>
        <v>0</v>
      </c>
      <c r="B32" s="6">
        <f>INDEX($AD$1:$AK$1,1,'第9章(計算用)'!B32+1)</f>
        <v>0</v>
      </c>
      <c r="C32" s="6">
        <f>INDEX($AD$1:$AK$1,1,'第9章(計算用)'!C32+1)</f>
        <v>1</v>
      </c>
      <c r="D32" s="6">
        <f>INDEX($AD$1:$AK$1,1,'第9章(計算用)'!D32+1)</f>
        <v>0</v>
      </c>
      <c r="E32" s="6">
        <f>INDEX($AD$1:$AK$1,1,'第9章(計算用)'!E32+1)</f>
        <v>1</v>
      </c>
      <c r="F32" s="6">
        <f>INDEX($AD$1:$AK$1,1,'第9章(計算用)'!F32+1)</f>
        <v>0</v>
      </c>
      <c r="G32" s="6">
        <f>INDEX($AD$1:$AK$1,1,'第9章(計算用)'!G32+1)</f>
        <v>1</v>
      </c>
      <c r="H32" s="6">
        <f>INDEX($AD$1:$AK$1,1,'第9章(計算用)'!H32+1)</f>
        <v>0</v>
      </c>
      <c r="I32" s="6">
        <f>INDEX($AD$1:$AK$1,1,'第9章(計算用)'!I32+1)</f>
        <v>1</v>
      </c>
      <c r="J32" s="6">
        <f>INDEX($AD$1:$AK$1,1,'第9章(計算用)'!J32+1)</f>
        <v>0</v>
      </c>
      <c r="K32" s="6">
        <f>INDEX($AD$1:$AK$1,1,'第9章(計算用)'!K32+1)</f>
        <v>1</v>
      </c>
      <c r="L32" s="6">
        <f>INDEX($AD$1:$AK$1,1,'第9章(計算用)'!L32+1)</f>
        <v>0</v>
      </c>
      <c r="M32" s="6">
        <f>INDEX($AD$1:$AK$1,1,'第9章(計算用)'!M32+1)</f>
        <v>1</v>
      </c>
      <c r="N32" s="6">
        <f>INDEX($AD$1:$AK$1,1,'第9章(計算用)'!N32+1)</f>
        <v>0</v>
      </c>
      <c r="O32" s="6">
        <f>INDEX($AD$1:$AK$1,1,'第9章(計算用)'!O32+1)</f>
        <v>1</v>
      </c>
      <c r="P32" s="6">
        <f>INDEX($AD$1:$AK$1,1,'第9章(計算用)'!P32+1)</f>
        <v>0</v>
      </c>
      <c r="Q32" s="6">
        <f>INDEX($AD$1:$AK$1,1,'第9章(計算用)'!Q32+1)</f>
        <v>1</v>
      </c>
      <c r="R32" s="6">
        <f>INDEX($AD$1:$AK$1,1,'第9章(計算用)'!R32+1)</f>
        <v>0</v>
      </c>
      <c r="S32" s="6">
        <f>INDEX($AD$1:$AK$1,1,'第9章(計算用)'!S32+1)</f>
        <v>1</v>
      </c>
      <c r="T32" s="6">
        <f>INDEX($AD$1:$AK$1,1,'第9章(計算用)'!T32+1)</f>
        <v>0</v>
      </c>
      <c r="U32" s="6">
        <f>INDEX($AD$1:$AK$1,1,'第9章(計算用)'!U32+1)</f>
        <v>1</v>
      </c>
      <c r="V32" s="6">
        <f>INDEX($AD$1:$AK$1,1,'第9章(計算用)'!V32+1)</f>
        <v>0</v>
      </c>
      <c r="W32" s="6">
        <f>INDEX($AD$1:$AK$1,1,'第9章(計算用)'!W32+1)</f>
        <v>1</v>
      </c>
      <c r="X32" s="6">
        <f>INDEX($AD$1:$AK$1,1,'第9章(計算用)'!X32+1)</f>
        <v>0</v>
      </c>
      <c r="Y32" s="6">
        <f>INDEX($AD$1:$AK$1,1,'第9章(計算用)'!Y32+1)</f>
        <v>1</v>
      </c>
      <c r="Z32" s="6">
        <f>INDEX($AD$1:$AK$1,1,'第9章(計算用)'!Z32+1)</f>
        <v>0</v>
      </c>
      <c r="AA32" s="7">
        <f t="shared" si="1"/>
        <v>0</v>
      </c>
    </row>
    <row r="33" spans="1:27" x14ac:dyDescent="0.15">
      <c r="A33" s="7">
        <f t="shared" si="0"/>
        <v>1</v>
      </c>
      <c r="B33" s="6">
        <f>INDEX($AD$1:$AK$1,1,'第9章(計算用)'!B33+1)</f>
        <v>1</v>
      </c>
      <c r="C33" s="6">
        <f>INDEX($AD$1:$AK$1,1,'第9章(計算用)'!C33+1)</f>
        <v>1</v>
      </c>
      <c r="D33" s="6">
        <f>INDEX($AD$1:$AK$1,1,'第9章(計算用)'!D33+1)</f>
        <v>0</v>
      </c>
      <c r="E33" s="6">
        <f>INDEX($AD$1:$AK$1,1,'第9章(計算用)'!E33+1)</f>
        <v>1</v>
      </c>
      <c r="F33" s="6">
        <f>INDEX($AD$1:$AK$1,1,'第9章(計算用)'!F33+1)</f>
        <v>0</v>
      </c>
      <c r="G33" s="6">
        <f>INDEX($AD$1:$AK$1,1,'第9章(計算用)'!G33+1)</f>
        <v>1</v>
      </c>
      <c r="H33" s="6">
        <f>INDEX($AD$1:$AK$1,1,'第9章(計算用)'!H33+1)</f>
        <v>0</v>
      </c>
      <c r="I33" s="6">
        <f>INDEX($AD$1:$AK$1,1,'第9章(計算用)'!I33+1)</f>
        <v>1</v>
      </c>
      <c r="J33" s="6">
        <f>INDEX($AD$1:$AK$1,1,'第9章(計算用)'!J33+1)</f>
        <v>0</v>
      </c>
      <c r="K33" s="6">
        <f>INDEX($AD$1:$AK$1,1,'第9章(計算用)'!K33+1)</f>
        <v>1</v>
      </c>
      <c r="L33" s="6">
        <f>INDEX($AD$1:$AK$1,1,'第9章(計算用)'!L33+1)</f>
        <v>0</v>
      </c>
      <c r="M33" s="6">
        <f>INDEX($AD$1:$AK$1,1,'第9章(計算用)'!M33+1)</f>
        <v>1</v>
      </c>
      <c r="N33" s="6">
        <f>INDEX($AD$1:$AK$1,1,'第9章(計算用)'!N33+1)</f>
        <v>0</v>
      </c>
      <c r="O33" s="6">
        <f>INDEX($AD$1:$AK$1,1,'第9章(計算用)'!O33+1)</f>
        <v>1</v>
      </c>
      <c r="P33" s="6">
        <f>INDEX($AD$1:$AK$1,1,'第9章(計算用)'!P33+1)</f>
        <v>0</v>
      </c>
      <c r="Q33" s="6">
        <f>INDEX($AD$1:$AK$1,1,'第9章(計算用)'!Q33+1)</f>
        <v>1</v>
      </c>
      <c r="R33" s="6">
        <f>INDEX($AD$1:$AK$1,1,'第9章(計算用)'!R33+1)</f>
        <v>0</v>
      </c>
      <c r="S33" s="6">
        <f>INDEX($AD$1:$AK$1,1,'第9章(計算用)'!S33+1)</f>
        <v>1</v>
      </c>
      <c r="T33" s="6">
        <f>INDEX($AD$1:$AK$1,1,'第9章(計算用)'!T33+1)</f>
        <v>0</v>
      </c>
      <c r="U33" s="6">
        <f>INDEX($AD$1:$AK$1,1,'第9章(計算用)'!U33+1)</f>
        <v>1</v>
      </c>
      <c r="V33" s="6">
        <f>INDEX($AD$1:$AK$1,1,'第9章(計算用)'!V33+1)</f>
        <v>0</v>
      </c>
      <c r="W33" s="6">
        <f>INDEX($AD$1:$AK$1,1,'第9章(計算用)'!W33+1)</f>
        <v>1</v>
      </c>
      <c r="X33" s="6">
        <f>INDEX($AD$1:$AK$1,1,'第9章(計算用)'!X33+1)</f>
        <v>0</v>
      </c>
      <c r="Y33" s="6">
        <f>INDEX($AD$1:$AK$1,1,'第9章(計算用)'!Y33+1)</f>
        <v>1</v>
      </c>
      <c r="Z33" s="6">
        <f>INDEX($AD$1:$AK$1,1,'第9章(計算用)'!Z33+1)</f>
        <v>1</v>
      </c>
      <c r="AA33" s="7">
        <f t="shared" si="1"/>
        <v>1</v>
      </c>
    </row>
    <row r="34" spans="1:27" x14ac:dyDescent="0.15">
      <c r="A34" s="7">
        <f t="shared" si="0"/>
        <v>0</v>
      </c>
      <c r="B34" s="6">
        <f>INDEX($AD$1:$AK$1,1,'第9章(計算用)'!B34+1)</f>
        <v>0</v>
      </c>
      <c r="C34" s="6">
        <f>INDEX($AD$1:$AK$1,1,'第9章(計算用)'!C34+1)</f>
        <v>1</v>
      </c>
      <c r="D34" s="6">
        <f>INDEX($AD$1:$AK$1,1,'第9章(計算用)'!D34+1)</f>
        <v>0</v>
      </c>
      <c r="E34" s="6">
        <f>INDEX($AD$1:$AK$1,1,'第9章(計算用)'!E34+1)</f>
        <v>1</v>
      </c>
      <c r="F34" s="6">
        <f>INDEX($AD$1:$AK$1,1,'第9章(計算用)'!F34+1)</f>
        <v>0</v>
      </c>
      <c r="G34" s="6">
        <f>INDEX($AD$1:$AK$1,1,'第9章(計算用)'!G34+1)</f>
        <v>1</v>
      </c>
      <c r="H34" s="6">
        <f>INDEX($AD$1:$AK$1,1,'第9章(計算用)'!H34+1)</f>
        <v>0</v>
      </c>
      <c r="I34" s="6">
        <f>INDEX($AD$1:$AK$1,1,'第9章(計算用)'!I34+1)</f>
        <v>1</v>
      </c>
      <c r="J34" s="6">
        <f>INDEX($AD$1:$AK$1,1,'第9章(計算用)'!J34+1)</f>
        <v>0</v>
      </c>
      <c r="K34" s="6">
        <f>INDEX($AD$1:$AK$1,1,'第9章(計算用)'!K34+1)</f>
        <v>1</v>
      </c>
      <c r="L34" s="6">
        <f>INDEX($AD$1:$AK$1,1,'第9章(計算用)'!L34+1)</f>
        <v>0</v>
      </c>
      <c r="M34" s="6">
        <f>INDEX($AD$1:$AK$1,1,'第9章(計算用)'!M34+1)</f>
        <v>1</v>
      </c>
      <c r="N34" s="6">
        <f>INDEX($AD$1:$AK$1,1,'第9章(計算用)'!N34+1)</f>
        <v>0</v>
      </c>
      <c r="O34" s="6">
        <f>INDEX($AD$1:$AK$1,1,'第9章(計算用)'!O34+1)</f>
        <v>1</v>
      </c>
      <c r="P34" s="6">
        <f>INDEX($AD$1:$AK$1,1,'第9章(計算用)'!P34+1)</f>
        <v>0</v>
      </c>
      <c r="Q34" s="6">
        <f>INDEX($AD$1:$AK$1,1,'第9章(計算用)'!Q34+1)</f>
        <v>1</v>
      </c>
      <c r="R34" s="6">
        <f>INDEX($AD$1:$AK$1,1,'第9章(計算用)'!R34+1)</f>
        <v>0</v>
      </c>
      <c r="S34" s="6">
        <f>INDEX($AD$1:$AK$1,1,'第9章(計算用)'!S34+1)</f>
        <v>1</v>
      </c>
      <c r="T34" s="6">
        <f>INDEX($AD$1:$AK$1,1,'第9章(計算用)'!T34+1)</f>
        <v>0</v>
      </c>
      <c r="U34" s="6">
        <f>INDEX($AD$1:$AK$1,1,'第9章(計算用)'!U34+1)</f>
        <v>1</v>
      </c>
      <c r="V34" s="6">
        <f>INDEX($AD$1:$AK$1,1,'第9章(計算用)'!V34+1)</f>
        <v>0</v>
      </c>
      <c r="W34" s="6">
        <f>INDEX($AD$1:$AK$1,1,'第9章(計算用)'!W34+1)</f>
        <v>1</v>
      </c>
      <c r="X34" s="6">
        <f>INDEX($AD$1:$AK$1,1,'第9章(計算用)'!X34+1)</f>
        <v>0</v>
      </c>
      <c r="Y34" s="6">
        <f>INDEX($AD$1:$AK$1,1,'第9章(計算用)'!Y34+1)</f>
        <v>1</v>
      </c>
      <c r="Z34" s="6">
        <f>INDEX($AD$1:$AK$1,1,'第9章(計算用)'!Z34+1)</f>
        <v>0</v>
      </c>
      <c r="AA34" s="7">
        <f t="shared" si="1"/>
        <v>0</v>
      </c>
    </row>
  </sheetData>
  <phoneticPr fontId="1"/>
  <conditionalFormatting sqref="B1:Z34">
    <cfRule type="cellIs" dxfId="27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Z34"/>
  <sheetViews>
    <sheetView workbookViewId="0">
      <selection activeCell="B2" sqref="B2"/>
    </sheetView>
  </sheetViews>
  <sheetFormatPr defaultColWidth="2.625" defaultRowHeight="13.5" x14ac:dyDescent="0.15"/>
  <sheetData>
    <row r="2" spans="2:26" x14ac:dyDescent="0.15">
      <c r="B2" s="6">
        <f>'第9章(セルオートマトン)'!A1*4+'第9章(セルオートマトン)'!B1*2+'第9章(セルオートマトン)'!C1</f>
        <v>0</v>
      </c>
      <c r="C2" s="6">
        <f>'第9章(セルオートマトン)'!B1*4+'第9章(セルオートマトン)'!C1*2+'第9章(セルオートマトン)'!D1</f>
        <v>0</v>
      </c>
      <c r="D2" s="6">
        <f>'第9章(セルオートマトン)'!C1*4+'第9章(セルオートマトン)'!D1*2+'第9章(セルオートマトン)'!E1</f>
        <v>0</v>
      </c>
      <c r="E2" s="6">
        <f>'第9章(セルオートマトン)'!D1*4+'第9章(セルオートマトン)'!E1*2+'第9章(セルオートマトン)'!F1</f>
        <v>0</v>
      </c>
      <c r="F2" s="6">
        <f>'第9章(セルオートマトン)'!E1*4+'第9章(セルオートマトン)'!F1*2+'第9章(セルオートマトン)'!G1</f>
        <v>0</v>
      </c>
      <c r="G2" s="6">
        <f>'第9章(セルオートマトン)'!F1*4+'第9章(セルオートマトン)'!G1*2+'第9章(セルオートマトン)'!H1</f>
        <v>0</v>
      </c>
      <c r="H2" s="6">
        <f>'第9章(セルオートマトン)'!G1*4+'第9章(セルオートマトン)'!H1*2+'第9章(セルオートマトン)'!I1</f>
        <v>0</v>
      </c>
      <c r="I2" s="6">
        <f>'第9章(セルオートマトン)'!H1*4+'第9章(セルオートマトン)'!I1*2+'第9章(セルオートマトン)'!J1</f>
        <v>0</v>
      </c>
      <c r="J2" s="6">
        <f>'第9章(セルオートマトン)'!I1*4+'第9章(セルオートマトン)'!J1*2+'第9章(セルオートマトン)'!K1</f>
        <v>0</v>
      </c>
      <c r="K2" s="6">
        <f>'第9章(セルオートマトン)'!J1*4+'第9章(セルオートマトン)'!K1*2+'第9章(セルオートマトン)'!L1</f>
        <v>0</v>
      </c>
      <c r="L2" s="6">
        <f>'第9章(セルオートマトン)'!K1*4+'第9章(セルオートマトン)'!L1*2+'第9章(セルオートマトン)'!M1</f>
        <v>0</v>
      </c>
      <c r="M2" s="6">
        <f>'第9章(セルオートマトン)'!L1*4+'第9章(セルオートマトン)'!M1*2+'第9章(セルオートマトン)'!N1</f>
        <v>1</v>
      </c>
      <c r="N2" s="6">
        <f>'第9章(セルオートマトン)'!M1*4+'第9章(セルオートマトン)'!N1*2+'第9章(セルオートマトン)'!O1</f>
        <v>2</v>
      </c>
      <c r="O2" s="6">
        <f>'第9章(セルオートマトン)'!N1*4+'第9章(セルオートマトン)'!O1*2+'第9章(セルオートマトン)'!P1</f>
        <v>4</v>
      </c>
      <c r="P2" s="6">
        <f>'第9章(セルオートマトン)'!O1*4+'第9章(セルオートマトン)'!P1*2+'第9章(セルオートマトン)'!Q1</f>
        <v>0</v>
      </c>
      <c r="Q2" s="6">
        <f>'第9章(セルオートマトン)'!P1*4+'第9章(セルオートマトン)'!Q1*2+'第9章(セルオートマトン)'!R1</f>
        <v>0</v>
      </c>
      <c r="R2" s="6">
        <f>'第9章(セルオートマトン)'!Q1*4+'第9章(セルオートマトン)'!R1*2+'第9章(セルオートマトン)'!S1</f>
        <v>0</v>
      </c>
      <c r="S2" s="6">
        <f>'第9章(セルオートマトン)'!R1*4+'第9章(セルオートマトン)'!S1*2+'第9章(セルオートマトン)'!T1</f>
        <v>0</v>
      </c>
      <c r="T2" s="6">
        <f>'第9章(セルオートマトン)'!S1*4+'第9章(セルオートマトン)'!T1*2+'第9章(セルオートマトン)'!U1</f>
        <v>0</v>
      </c>
      <c r="U2" s="6">
        <f>'第9章(セルオートマトン)'!T1*4+'第9章(セルオートマトン)'!U1*2+'第9章(セルオートマトン)'!V1</f>
        <v>0</v>
      </c>
      <c r="V2" s="6">
        <f>'第9章(セルオートマトン)'!U1*4+'第9章(セルオートマトン)'!V1*2+'第9章(セルオートマトン)'!W1</f>
        <v>0</v>
      </c>
      <c r="W2" s="6">
        <f>'第9章(セルオートマトン)'!V1*4+'第9章(セルオートマトン)'!W1*2+'第9章(セルオートマトン)'!X1</f>
        <v>0</v>
      </c>
      <c r="X2" s="6">
        <f>'第9章(セルオートマトン)'!W1*4+'第9章(セルオートマトン)'!X1*2+'第9章(セルオートマトン)'!Y1</f>
        <v>0</v>
      </c>
      <c r="Y2" s="6">
        <f>'第9章(セルオートマトン)'!X1*4+'第9章(セルオートマトン)'!Y1*2+'第9章(セルオートマトン)'!Z1</f>
        <v>0</v>
      </c>
      <c r="Z2" s="6">
        <f>'第9章(セルオートマトン)'!Y1*4+'第9章(セルオートマトン)'!Z1*2+'第9章(セルオートマトン)'!AA1</f>
        <v>0</v>
      </c>
    </row>
    <row r="3" spans="2:26" x14ac:dyDescent="0.15">
      <c r="B3" s="6">
        <f>'第9章(セルオートマトン)'!A2*4+'第9章(セルオートマトン)'!B2*2+'第9章(セルオートマトン)'!C2</f>
        <v>0</v>
      </c>
      <c r="C3" s="6">
        <f>'第9章(セルオートマトン)'!B2*4+'第9章(セルオートマトン)'!C2*2+'第9章(セルオートマトン)'!D2</f>
        <v>0</v>
      </c>
      <c r="D3" s="6">
        <f>'第9章(セルオートマトン)'!C2*4+'第9章(セルオートマトン)'!D2*2+'第9章(セルオートマトン)'!E2</f>
        <v>0</v>
      </c>
      <c r="E3" s="6">
        <f>'第9章(セルオートマトン)'!D2*4+'第9章(セルオートマトン)'!E2*2+'第9章(セルオートマトン)'!F2</f>
        <v>0</v>
      </c>
      <c r="F3" s="6">
        <f>'第9章(セルオートマトン)'!E2*4+'第9章(セルオートマトン)'!F2*2+'第9章(セルオートマトン)'!G2</f>
        <v>0</v>
      </c>
      <c r="G3" s="6">
        <f>'第9章(セルオートマトン)'!F2*4+'第9章(セルオートマトン)'!G2*2+'第9章(セルオートマトン)'!H2</f>
        <v>0</v>
      </c>
      <c r="H3" s="6">
        <f>'第9章(セルオートマトン)'!G2*4+'第9章(セルオートマトン)'!H2*2+'第9章(セルオートマトン)'!I2</f>
        <v>0</v>
      </c>
      <c r="I3" s="6">
        <f>'第9章(セルオートマトン)'!H2*4+'第9章(セルオートマトン)'!I2*2+'第9章(セルオートマトン)'!J2</f>
        <v>0</v>
      </c>
      <c r="J3" s="6">
        <f>'第9章(セルオートマトン)'!I2*4+'第9章(セルオートマトン)'!J2*2+'第9章(セルオートマトン)'!K2</f>
        <v>0</v>
      </c>
      <c r="K3" s="6">
        <f>'第9章(セルオートマトン)'!J2*4+'第9章(セルオートマトン)'!K2*2+'第9章(セルオートマトン)'!L2</f>
        <v>0</v>
      </c>
      <c r="L3" s="6">
        <f>'第9章(セルオートマトン)'!K2*4+'第9章(セルオートマトン)'!L2*2+'第9章(セルオートマトン)'!M2</f>
        <v>1</v>
      </c>
      <c r="M3" s="6">
        <f>'第9章(セルオートマトン)'!L2*4+'第9章(セルオートマトン)'!M2*2+'第9章(セルオートマトン)'!N2</f>
        <v>3</v>
      </c>
      <c r="N3" s="6">
        <f>'第9章(セルオートマトン)'!M2*4+'第9章(セルオートマトン)'!N2*2+'第9章(セルオートマトン)'!O2</f>
        <v>7</v>
      </c>
      <c r="O3" s="6">
        <f>'第9章(セルオートマトン)'!N2*4+'第9章(セルオートマトン)'!O2*2+'第9章(セルオートマトン)'!P2</f>
        <v>6</v>
      </c>
      <c r="P3" s="6">
        <f>'第9章(セルオートマトン)'!O2*4+'第9章(セルオートマトン)'!P2*2+'第9章(セルオートマトン)'!Q2</f>
        <v>4</v>
      </c>
      <c r="Q3" s="6">
        <f>'第9章(セルオートマトン)'!P2*4+'第9章(セルオートマトン)'!Q2*2+'第9章(セルオートマトン)'!R2</f>
        <v>0</v>
      </c>
      <c r="R3" s="6">
        <f>'第9章(セルオートマトン)'!Q2*4+'第9章(セルオートマトン)'!R2*2+'第9章(セルオートマトン)'!S2</f>
        <v>0</v>
      </c>
      <c r="S3" s="6">
        <f>'第9章(セルオートマトン)'!R2*4+'第9章(セルオートマトン)'!S2*2+'第9章(セルオートマトン)'!T2</f>
        <v>0</v>
      </c>
      <c r="T3" s="6">
        <f>'第9章(セルオートマトン)'!S2*4+'第9章(セルオートマトン)'!T2*2+'第9章(セルオートマトン)'!U2</f>
        <v>0</v>
      </c>
      <c r="U3" s="6">
        <f>'第9章(セルオートマトン)'!T2*4+'第9章(セルオートマトン)'!U2*2+'第9章(セルオートマトン)'!V2</f>
        <v>0</v>
      </c>
      <c r="V3" s="6">
        <f>'第9章(セルオートマトン)'!U2*4+'第9章(セルオートマトン)'!V2*2+'第9章(セルオートマトン)'!W2</f>
        <v>0</v>
      </c>
      <c r="W3" s="6">
        <f>'第9章(セルオートマトン)'!V2*4+'第9章(セルオートマトン)'!W2*2+'第9章(セルオートマトン)'!X2</f>
        <v>0</v>
      </c>
      <c r="X3" s="6">
        <f>'第9章(セルオートマトン)'!W2*4+'第9章(セルオートマトン)'!X2*2+'第9章(セルオートマトン)'!Y2</f>
        <v>0</v>
      </c>
      <c r="Y3" s="6">
        <f>'第9章(セルオートマトン)'!X2*4+'第9章(セルオートマトン)'!Y2*2+'第9章(セルオートマトン)'!Z2</f>
        <v>0</v>
      </c>
      <c r="Z3" s="6">
        <f>'第9章(セルオートマトン)'!Y2*4+'第9章(セルオートマトン)'!Z2*2+'第9章(セルオートマトン)'!AA2</f>
        <v>0</v>
      </c>
    </row>
    <row r="4" spans="2:26" x14ac:dyDescent="0.15">
      <c r="B4" s="6">
        <f>'第9章(セルオートマトン)'!A3*4+'第9章(セルオートマトン)'!B3*2+'第9章(セルオートマトン)'!C3</f>
        <v>0</v>
      </c>
      <c r="C4" s="6">
        <f>'第9章(セルオートマトン)'!B3*4+'第9章(セルオートマトン)'!C3*2+'第9章(セルオートマトン)'!D3</f>
        <v>0</v>
      </c>
      <c r="D4" s="6">
        <f>'第9章(セルオートマトン)'!C3*4+'第9章(セルオートマトン)'!D3*2+'第9章(セルオートマトン)'!E3</f>
        <v>0</v>
      </c>
      <c r="E4" s="6">
        <f>'第9章(セルオートマトン)'!D3*4+'第9章(セルオートマトン)'!E3*2+'第9章(セルオートマトン)'!F3</f>
        <v>0</v>
      </c>
      <c r="F4" s="6">
        <f>'第9章(セルオートマトン)'!E3*4+'第9章(セルオートマトン)'!F3*2+'第9章(セルオートマトン)'!G3</f>
        <v>0</v>
      </c>
      <c r="G4" s="6">
        <f>'第9章(セルオートマトン)'!F3*4+'第9章(セルオートマトン)'!G3*2+'第9章(セルオートマトン)'!H3</f>
        <v>0</v>
      </c>
      <c r="H4" s="6">
        <f>'第9章(セルオートマトン)'!G3*4+'第9章(セルオートマトン)'!H3*2+'第9章(セルオートマトン)'!I3</f>
        <v>0</v>
      </c>
      <c r="I4" s="6">
        <f>'第9章(セルオートマトン)'!H3*4+'第9章(セルオートマトン)'!I3*2+'第9章(セルオートマトン)'!J3</f>
        <v>0</v>
      </c>
      <c r="J4" s="6">
        <f>'第9章(セルオートマトン)'!I3*4+'第9章(セルオートマトン)'!J3*2+'第9章(セルオートマトン)'!K3</f>
        <v>0</v>
      </c>
      <c r="K4" s="6">
        <f>'第9章(セルオートマトン)'!J3*4+'第9章(セルオートマトン)'!K3*2+'第9章(セルオートマトン)'!L3</f>
        <v>1</v>
      </c>
      <c r="L4" s="6">
        <f>'第9章(セルオートマトン)'!K3*4+'第9章(セルオートマトン)'!L3*2+'第9章(セルオートマトン)'!M3</f>
        <v>3</v>
      </c>
      <c r="M4" s="6">
        <f>'第9章(セルオートマトン)'!L3*4+'第9章(セルオートマトン)'!M3*2+'第9章(セルオートマトン)'!N3</f>
        <v>6</v>
      </c>
      <c r="N4" s="6">
        <f>'第9章(セルオートマトン)'!M3*4+'第9章(セルオートマトン)'!N3*2+'第9章(セルオートマトン)'!O3</f>
        <v>5</v>
      </c>
      <c r="O4" s="6">
        <f>'第9章(セルオートマトン)'!N3*4+'第9章(セルオートマトン)'!O3*2+'第9章(セルオートマトン)'!P3</f>
        <v>3</v>
      </c>
      <c r="P4" s="6">
        <f>'第9章(セルオートマトン)'!O3*4+'第9章(セルオートマトン)'!P3*2+'第9章(セルオートマトン)'!Q3</f>
        <v>6</v>
      </c>
      <c r="Q4" s="6">
        <f>'第9章(セルオートマトン)'!P3*4+'第9章(セルオートマトン)'!Q3*2+'第9章(セルオートマトン)'!R3</f>
        <v>4</v>
      </c>
      <c r="R4" s="6">
        <f>'第9章(セルオートマトン)'!Q3*4+'第9章(セルオートマトン)'!R3*2+'第9章(セルオートマトン)'!S3</f>
        <v>0</v>
      </c>
      <c r="S4" s="6">
        <f>'第9章(セルオートマトン)'!R3*4+'第9章(セルオートマトン)'!S3*2+'第9章(セルオートマトン)'!T3</f>
        <v>0</v>
      </c>
      <c r="T4" s="6">
        <f>'第9章(セルオートマトン)'!S3*4+'第9章(セルオートマトン)'!T3*2+'第9章(セルオートマトン)'!U3</f>
        <v>0</v>
      </c>
      <c r="U4" s="6">
        <f>'第9章(セルオートマトン)'!T3*4+'第9章(セルオートマトン)'!U3*2+'第9章(セルオートマトン)'!V3</f>
        <v>0</v>
      </c>
      <c r="V4" s="6">
        <f>'第9章(セルオートマトン)'!U3*4+'第9章(セルオートマトン)'!V3*2+'第9章(セルオートマトン)'!W3</f>
        <v>0</v>
      </c>
      <c r="W4" s="6">
        <f>'第9章(セルオートマトン)'!V3*4+'第9章(セルオートマトン)'!W3*2+'第9章(セルオートマトン)'!X3</f>
        <v>0</v>
      </c>
      <c r="X4" s="6">
        <f>'第9章(セルオートマトン)'!W3*4+'第9章(セルオートマトン)'!X3*2+'第9章(セルオートマトン)'!Y3</f>
        <v>0</v>
      </c>
      <c r="Y4" s="6">
        <f>'第9章(セルオートマトン)'!X3*4+'第9章(セルオートマトン)'!Y3*2+'第9章(セルオートマトン)'!Z3</f>
        <v>0</v>
      </c>
      <c r="Z4" s="6">
        <f>'第9章(セルオートマトン)'!Y3*4+'第9章(セルオートマトン)'!Z3*2+'第9章(セルオートマトン)'!AA3</f>
        <v>0</v>
      </c>
    </row>
    <row r="5" spans="2:26" x14ac:dyDescent="0.15">
      <c r="B5" s="6">
        <f>'第9章(セルオートマトン)'!A4*4+'第9章(セルオートマトン)'!B4*2+'第9章(セルオートマトン)'!C4</f>
        <v>0</v>
      </c>
      <c r="C5" s="6">
        <f>'第9章(セルオートマトン)'!B4*4+'第9章(セルオートマトン)'!C4*2+'第9章(セルオートマトン)'!D4</f>
        <v>0</v>
      </c>
      <c r="D5" s="6">
        <f>'第9章(セルオートマトン)'!C4*4+'第9章(セルオートマトン)'!D4*2+'第9章(セルオートマトン)'!E4</f>
        <v>0</v>
      </c>
      <c r="E5" s="6">
        <f>'第9章(セルオートマトン)'!D4*4+'第9章(セルオートマトン)'!E4*2+'第9章(セルオートマトン)'!F4</f>
        <v>0</v>
      </c>
      <c r="F5" s="6">
        <f>'第9章(セルオートマトン)'!E4*4+'第9章(セルオートマトン)'!F4*2+'第9章(セルオートマトン)'!G4</f>
        <v>0</v>
      </c>
      <c r="G5" s="6">
        <f>'第9章(セルオートマトン)'!F4*4+'第9章(セルオートマトン)'!G4*2+'第9章(セルオートマトン)'!H4</f>
        <v>0</v>
      </c>
      <c r="H5" s="6">
        <f>'第9章(セルオートマトン)'!G4*4+'第9章(セルオートマトン)'!H4*2+'第9章(セルオートマトン)'!I4</f>
        <v>0</v>
      </c>
      <c r="I5" s="6">
        <f>'第9章(セルオートマトン)'!H4*4+'第9章(セルオートマトン)'!I4*2+'第9章(セルオートマトン)'!J4</f>
        <v>0</v>
      </c>
      <c r="J5" s="6">
        <f>'第9章(セルオートマトン)'!I4*4+'第9章(セルオートマトン)'!J4*2+'第9章(セルオートマトン)'!K4</f>
        <v>1</v>
      </c>
      <c r="K5" s="6">
        <f>'第9章(セルオートマトン)'!J4*4+'第9章(セルオートマトン)'!K4*2+'第9章(セルオートマトン)'!L4</f>
        <v>3</v>
      </c>
      <c r="L5" s="6">
        <f>'第9章(セルオートマトン)'!K4*4+'第9章(セルオートマトン)'!L4*2+'第9章(セルオートマトン)'!M4</f>
        <v>7</v>
      </c>
      <c r="M5" s="6">
        <f>'第9章(セルオートマトン)'!L4*4+'第9章(セルオートマトン)'!M4*2+'第9章(セルオートマトン)'!N4</f>
        <v>6</v>
      </c>
      <c r="N5" s="6">
        <f>'第9章(セルオートマトン)'!M4*4+'第9章(セルオートマトン)'!N4*2+'第9章(セルオートマトン)'!O4</f>
        <v>5</v>
      </c>
      <c r="O5" s="6">
        <f>'第9章(セルオートマトン)'!N4*4+'第9章(セルオートマトン)'!O4*2+'第9章(セルオートマトン)'!P4</f>
        <v>3</v>
      </c>
      <c r="P5" s="6">
        <f>'第9章(セルオートマトン)'!O4*4+'第9章(セルオートマトン)'!P4*2+'第9章(セルオートマトン)'!Q4</f>
        <v>7</v>
      </c>
      <c r="Q5" s="6">
        <f>'第9章(セルオートマトン)'!P4*4+'第9章(セルオートマトン)'!Q4*2+'第9章(セルオートマトン)'!R4</f>
        <v>6</v>
      </c>
      <c r="R5" s="6">
        <f>'第9章(セルオートマトン)'!Q4*4+'第9章(セルオートマトン)'!R4*2+'第9章(セルオートマトン)'!S4</f>
        <v>4</v>
      </c>
      <c r="S5" s="6">
        <f>'第9章(セルオートマトン)'!R4*4+'第9章(セルオートマトン)'!S4*2+'第9章(セルオートマトン)'!T4</f>
        <v>0</v>
      </c>
      <c r="T5" s="6">
        <f>'第9章(セルオートマトン)'!S4*4+'第9章(セルオートマトン)'!T4*2+'第9章(セルオートマトン)'!U4</f>
        <v>0</v>
      </c>
      <c r="U5" s="6">
        <f>'第9章(セルオートマトン)'!T4*4+'第9章(セルオートマトン)'!U4*2+'第9章(セルオートマトン)'!V4</f>
        <v>0</v>
      </c>
      <c r="V5" s="6">
        <f>'第9章(セルオートマトン)'!U4*4+'第9章(セルオートマトン)'!V4*2+'第9章(セルオートマトン)'!W4</f>
        <v>0</v>
      </c>
      <c r="W5" s="6">
        <f>'第9章(セルオートマトン)'!V4*4+'第9章(セルオートマトン)'!W4*2+'第9章(セルオートマトン)'!X4</f>
        <v>0</v>
      </c>
      <c r="X5" s="6">
        <f>'第9章(セルオートマトン)'!W4*4+'第9章(セルオートマトン)'!X4*2+'第9章(セルオートマトン)'!Y4</f>
        <v>0</v>
      </c>
      <c r="Y5" s="6">
        <f>'第9章(セルオートマトン)'!X4*4+'第9章(セルオートマトン)'!Y4*2+'第9章(セルオートマトン)'!Z4</f>
        <v>0</v>
      </c>
      <c r="Z5" s="6">
        <f>'第9章(セルオートマトン)'!Y4*4+'第9章(セルオートマトン)'!Z4*2+'第9章(セルオートマトン)'!AA4</f>
        <v>0</v>
      </c>
    </row>
    <row r="6" spans="2:26" x14ac:dyDescent="0.15">
      <c r="B6" s="6">
        <f>'第9章(セルオートマトン)'!A5*4+'第9章(セルオートマトン)'!B5*2+'第9章(セルオートマトン)'!C5</f>
        <v>0</v>
      </c>
      <c r="C6" s="6">
        <f>'第9章(セルオートマトン)'!B5*4+'第9章(セルオートマトン)'!C5*2+'第9章(セルオートマトン)'!D5</f>
        <v>0</v>
      </c>
      <c r="D6" s="6">
        <f>'第9章(セルオートマトン)'!C5*4+'第9章(セルオートマトン)'!D5*2+'第9章(セルオートマトン)'!E5</f>
        <v>0</v>
      </c>
      <c r="E6" s="6">
        <f>'第9章(セルオートマトン)'!D5*4+'第9章(セルオートマトン)'!E5*2+'第9章(セルオートマトン)'!F5</f>
        <v>0</v>
      </c>
      <c r="F6" s="6">
        <f>'第9章(セルオートマトン)'!E5*4+'第9章(セルオートマトン)'!F5*2+'第9章(セルオートマトン)'!G5</f>
        <v>0</v>
      </c>
      <c r="G6" s="6">
        <f>'第9章(セルオートマトン)'!F5*4+'第9章(セルオートマトン)'!G5*2+'第9章(セルオートマトン)'!H5</f>
        <v>0</v>
      </c>
      <c r="H6" s="6">
        <f>'第9章(セルオートマトン)'!G5*4+'第9章(セルオートマトン)'!H5*2+'第9章(セルオートマトン)'!I5</f>
        <v>0</v>
      </c>
      <c r="I6" s="6">
        <f>'第9章(セルオートマトン)'!H5*4+'第9章(セルオートマトン)'!I5*2+'第9章(セルオートマトン)'!J5</f>
        <v>1</v>
      </c>
      <c r="J6" s="6">
        <f>'第9章(セルオートマトン)'!I5*4+'第9章(セルオートマトン)'!J5*2+'第9章(セルオートマトン)'!K5</f>
        <v>3</v>
      </c>
      <c r="K6" s="6">
        <f>'第9章(セルオートマトン)'!J5*4+'第9章(セルオートマトン)'!K5*2+'第9章(セルオートマトン)'!L5</f>
        <v>6</v>
      </c>
      <c r="L6" s="6">
        <f>'第9章(セルオートマトン)'!K5*4+'第9章(セルオートマトン)'!L5*2+'第9章(セルオートマトン)'!M5</f>
        <v>5</v>
      </c>
      <c r="M6" s="6">
        <f>'第9章(セルオートマトン)'!L5*4+'第9章(セルオートマトン)'!M5*2+'第9章(セルオートマトン)'!N5</f>
        <v>2</v>
      </c>
      <c r="N6" s="6">
        <f>'第9章(セルオートマトン)'!M5*4+'第9章(セルオートマトン)'!N5*2+'第9章(セルオートマトン)'!O5</f>
        <v>5</v>
      </c>
      <c r="O6" s="6">
        <f>'第9章(セルオートマトン)'!N5*4+'第9章(セルオートマトン)'!O5*2+'第9章(セルオートマトン)'!P5</f>
        <v>2</v>
      </c>
      <c r="P6" s="6">
        <f>'第9章(セルオートマトン)'!O5*4+'第9章(セルオートマトン)'!P5*2+'第9章(セルオートマトン)'!Q5</f>
        <v>5</v>
      </c>
      <c r="Q6" s="6">
        <f>'第9章(セルオートマトン)'!P5*4+'第9章(セルオートマトン)'!Q5*2+'第9章(セルオートマトン)'!R5</f>
        <v>3</v>
      </c>
      <c r="R6" s="6">
        <f>'第9章(セルオートマトン)'!Q5*4+'第9章(セルオートマトン)'!R5*2+'第9章(セルオートマトン)'!S5</f>
        <v>6</v>
      </c>
      <c r="S6" s="6">
        <f>'第9章(セルオートマトン)'!R5*4+'第9章(セルオートマトン)'!S5*2+'第9章(セルオートマトン)'!T5</f>
        <v>4</v>
      </c>
      <c r="T6" s="6">
        <f>'第9章(セルオートマトン)'!S5*4+'第9章(セルオートマトン)'!T5*2+'第9章(セルオートマトン)'!U5</f>
        <v>0</v>
      </c>
      <c r="U6" s="6">
        <f>'第9章(セルオートマトン)'!T5*4+'第9章(セルオートマトン)'!U5*2+'第9章(セルオートマトン)'!V5</f>
        <v>0</v>
      </c>
      <c r="V6" s="6">
        <f>'第9章(セルオートマトン)'!U5*4+'第9章(セルオートマトン)'!V5*2+'第9章(セルオートマトン)'!W5</f>
        <v>0</v>
      </c>
      <c r="W6" s="6">
        <f>'第9章(セルオートマトン)'!V5*4+'第9章(セルオートマトン)'!W5*2+'第9章(セルオートマトン)'!X5</f>
        <v>0</v>
      </c>
      <c r="X6" s="6">
        <f>'第9章(セルオートマトン)'!W5*4+'第9章(セルオートマトン)'!X5*2+'第9章(セルオートマトン)'!Y5</f>
        <v>0</v>
      </c>
      <c r="Y6" s="6">
        <f>'第9章(セルオートマトン)'!X5*4+'第9章(セルオートマトン)'!Y5*2+'第9章(セルオートマトン)'!Z5</f>
        <v>0</v>
      </c>
      <c r="Z6" s="6">
        <f>'第9章(セルオートマトン)'!Y5*4+'第9章(セルオートマトン)'!Z5*2+'第9章(セルオートマトン)'!AA5</f>
        <v>0</v>
      </c>
    </row>
    <row r="7" spans="2:26" x14ac:dyDescent="0.15">
      <c r="B7" s="6">
        <f>'第9章(セルオートマトン)'!A6*4+'第9章(セルオートマトン)'!B6*2+'第9章(セルオートマトン)'!C6</f>
        <v>0</v>
      </c>
      <c r="C7" s="6">
        <f>'第9章(セルオートマトン)'!B6*4+'第9章(セルオートマトン)'!C6*2+'第9章(セルオートマトン)'!D6</f>
        <v>0</v>
      </c>
      <c r="D7" s="6">
        <f>'第9章(セルオートマトン)'!C6*4+'第9章(セルオートマトン)'!D6*2+'第9章(セルオートマトン)'!E6</f>
        <v>0</v>
      </c>
      <c r="E7" s="6">
        <f>'第9章(セルオートマトン)'!D6*4+'第9章(セルオートマトン)'!E6*2+'第9章(セルオートマトン)'!F6</f>
        <v>0</v>
      </c>
      <c r="F7" s="6">
        <f>'第9章(セルオートマトン)'!E6*4+'第9章(セルオートマトン)'!F6*2+'第9章(セルオートマトン)'!G6</f>
        <v>0</v>
      </c>
      <c r="G7" s="6">
        <f>'第9章(セルオートマトン)'!F6*4+'第9章(セルオートマトン)'!G6*2+'第9章(セルオートマトン)'!H6</f>
        <v>0</v>
      </c>
      <c r="H7" s="6">
        <f>'第9章(セルオートマトン)'!G6*4+'第9章(セルオートマトン)'!H6*2+'第9章(セルオートマトン)'!I6</f>
        <v>1</v>
      </c>
      <c r="I7" s="6">
        <f>'第9章(セルオートマトン)'!H6*4+'第9章(セルオートマトン)'!I6*2+'第9章(セルオートマトン)'!J6</f>
        <v>3</v>
      </c>
      <c r="J7" s="6">
        <f>'第9章(セルオートマトン)'!I6*4+'第9章(セルオートマトン)'!J6*2+'第9章(セルオートマトン)'!K6</f>
        <v>7</v>
      </c>
      <c r="K7" s="6">
        <f>'第9章(セルオートマトン)'!J6*4+'第9章(セルオートマトン)'!K6*2+'第9章(セルオートマトン)'!L6</f>
        <v>6</v>
      </c>
      <c r="L7" s="6">
        <f>'第9章(セルオートマトン)'!K6*4+'第9章(セルオートマトン)'!L6*2+'第9章(セルオートマトン)'!M6</f>
        <v>5</v>
      </c>
      <c r="M7" s="6">
        <f>'第9章(セルオートマトン)'!L6*4+'第9章(セルオートマトン)'!M6*2+'第9章(セルオートマトン)'!N6</f>
        <v>2</v>
      </c>
      <c r="N7" s="6">
        <f>'第9章(セルオートマトン)'!M6*4+'第9章(セルオートマトン)'!N6*2+'第9章(セルオートマトン)'!O6</f>
        <v>5</v>
      </c>
      <c r="O7" s="6">
        <f>'第9章(セルオートマトン)'!N6*4+'第9章(セルオートマトン)'!O6*2+'第9章(セルオートマトン)'!P6</f>
        <v>2</v>
      </c>
      <c r="P7" s="6">
        <f>'第9章(セルオートマトン)'!O6*4+'第9章(セルオートマトン)'!P6*2+'第9章(セルオートマトン)'!Q6</f>
        <v>5</v>
      </c>
      <c r="Q7" s="6">
        <f>'第9章(セルオートマトン)'!P6*4+'第9章(セルオートマトン)'!Q6*2+'第9章(セルオートマトン)'!R6</f>
        <v>3</v>
      </c>
      <c r="R7" s="6">
        <f>'第9章(セルオートマトン)'!Q6*4+'第9章(セルオートマトン)'!R6*2+'第9章(セルオートマトン)'!S6</f>
        <v>7</v>
      </c>
      <c r="S7" s="6">
        <f>'第9章(セルオートマトン)'!R6*4+'第9章(セルオートマトン)'!S6*2+'第9章(セルオートマトン)'!T6</f>
        <v>6</v>
      </c>
      <c r="T7" s="6">
        <f>'第9章(セルオートマトン)'!S6*4+'第9章(セルオートマトン)'!T6*2+'第9章(セルオートマトン)'!U6</f>
        <v>4</v>
      </c>
      <c r="U7" s="6">
        <f>'第9章(セルオートマトン)'!T6*4+'第9章(セルオートマトン)'!U6*2+'第9章(セルオートマトン)'!V6</f>
        <v>0</v>
      </c>
      <c r="V7" s="6">
        <f>'第9章(セルオートマトン)'!U6*4+'第9章(セルオートマトン)'!V6*2+'第9章(セルオートマトン)'!W6</f>
        <v>0</v>
      </c>
      <c r="W7" s="6">
        <f>'第9章(セルオートマトン)'!V6*4+'第9章(セルオートマトン)'!W6*2+'第9章(セルオートマトン)'!X6</f>
        <v>0</v>
      </c>
      <c r="X7" s="6">
        <f>'第9章(セルオートマトン)'!W6*4+'第9章(セルオートマトン)'!X6*2+'第9章(セルオートマトン)'!Y6</f>
        <v>0</v>
      </c>
      <c r="Y7" s="6">
        <f>'第9章(セルオートマトン)'!X6*4+'第9章(セルオートマトン)'!Y6*2+'第9章(セルオートマトン)'!Z6</f>
        <v>0</v>
      </c>
      <c r="Z7" s="6">
        <f>'第9章(セルオートマトン)'!Y6*4+'第9章(セルオートマトン)'!Z6*2+'第9章(セルオートマトン)'!AA6</f>
        <v>0</v>
      </c>
    </row>
    <row r="8" spans="2:26" x14ac:dyDescent="0.15">
      <c r="B8" s="6">
        <f>'第9章(セルオートマトン)'!A7*4+'第9章(セルオートマトン)'!B7*2+'第9章(セルオートマトン)'!C7</f>
        <v>0</v>
      </c>
      <c r="C8" s="6">
        <f>'第9章(セルオートマトン)'!B7*4+'第9章(セルオートマトン)'!C7*2+'第9章(セルオートマトン)'!D7</f>
        <v>0</v>
      </c>
      <c r="D8" s="6">
        <f>'第9章(セルオートマトン)'!C7*4+'第9章(セルオートマトン)'!D7*2+'第9章(セルオートマトン)'!E7</f>
        <v>0</v>
      </c>
      <c r="E8" s="6">
        <f>'第9章(セルオートマトン)'!D7*4+'第9章(セルオートマトン)'!E7*2+'第9章(セルオートマトン)'!F7</f>
        <v>0</v>
      </c>
      <c r="F8" s="6">
        <f>'第9章(セルオートマトン)'!E7*4+'第9章(セルオートマトン)'!F7*2+'第9章(セルオートマトン)'!G7</f>
        <v>0</v>
      </c>
      <c r="G8" s="6">
        <f>'第9章(セルオートマトン)'!F7*4+'第9章(セルオートマトン)'!G7*2+'第9章(セルオートマトン)'!H7</f>
        <v>1</v>
      </c>
      <c r="H8" s="6">
        <f>'第9章(セルオートマトン)'!G7*4+'第9章(セルオートマトン)'!H7*2+'第9章(セルオートマトン)'!I7</f>
        <v>3</v>
      </c>
      <c r="I8" s="6">
        <f>'第9章(セルオートマトン)'!H7*4+'第9章(セルオートマトン)'!I7*2+'第9章(セルオートマトン)'!J7</f>
        <v>6</v>
      </c>
      <c r="J8" s="6">
        <f>'第9章(セルオートマトン)'!I7*4+'第9章(セルオートマトン)'!J7*2+'第9章(セルオートマトン)'!K7</f>
        <v>5</v>
      </c>
      <c r="K8" s="6">
        <f>'第9章(セルオートマトン)'!J7*4+'第9章(セルオートマトン)'!K7*2+'第9章(セルオートマトン)'!L7</f>
        <v>2</v>
      </c>
      <c r="L8" s="6">
        <f>'第9章(セルオートマトン)'!K7*4+'第9章(セルオートマトン)'!L7*2+'第9章(セルオートマトン)'!M7</f>
        <v>5</v>
      </c>
      <c r="M8" s="6">
        <f>'第9章(セルオートマトン)'!L7*4+'第9章(セルオートマトン)'!M7*2+'第9章(セルオートマトン)'!N7</f>
        <v>2</v>
      </c>
      <c r="N8" s="6">
        <f>'第9章(セルオートマトン)'!M7*4+'第9章(セルオートマトン)'!N7*2+'第9章(セルオートマトン)'!O7</f>
        <v>5</v>
      </c>
      <c r="O8" s="6">
        <f>'第9章(セルオートマトン)'!N7*4+'第9章(セルオートマトン)'!O7*2+'第9章(セルオートマトン)'!P7</f>
        <v>2</v>
      </c>
      <c r="P8" s="6">
        <f>'第9章(セルオートマトン)'!O7*4+'第9章(セルオートマトン)'!P7*2+'第9章(セルオートマトン)'!Q7</f>
        <v>5</v>
      </c>
      <c r="Q8" s="6">
        <f>'第9章(セルオートマトン)'!P7*4+'第9章(セルオートマトン)'!Q7*2+'第9章(セルオートマトン)'!R7</f>
        <v>2</v>
      </c>
      <c r="R8" s="6">
        <f>'第9章(セルオートマトン)'!Q7*4+'第9章(セルオートマトン)'!R7*2+'第9章(セルオートマトン)'!S7</f>
        <v>5</v>
      </c>
      <c r="S8" s="6">
        <f>'第9章(セルオートマトン)'!R7*4+'第9章(セルオートマトン)'!S7*2+'第9章(セルオートマトン)'!T7</f>
        <v>3</v>
      </c>
      <c r="T8" s="6">
        <f>'第9章(セルオートマトン)'!S7*4+'第9章(セルオートマトン)'!T7*2+'第9章(セルオートマトン)'!U7</f>
        <v>6</v>
      </c>
      <c r="U8" s="6">
        <f>'第9章(セルオートマトン)'!T7*4+'第9章(セルオートマトン)'!U7*2+'第9章(セルオートマトン)'!V7</f>
        <v>4</v>
      </c>
      <c r="V8" s="6">
        <f>'第9章(セルオートマトン)'!U7*4+'第9章(セルオートマトン)'!V7*2+'第9章(セルオートマトン)'!W7</f>
        <v>0</v>
      </c>
      <c r="W8" s="6">
        <f>'第9章(セルオートマトン)'!V7*4+'第9章(セルオートマトン)'!W7*2+'第9章(セルオートマトン)'!X7</f>
        <v>0</v>
      </c>
      <c r="X8" s="6">
        <f>'第9章(セルオートマトン)'!W7*4+'第9章(セルオートマトン)'!X7*2+'第9章(セルオートマトン)'!Y7</f>
        <v>0</v>
      </c>
      <c r="Y8" s="6">
        <f>'第9章(セルオートマトン)'!X7*4+'第9章(セルオートマトン)'!Y7*2+'第9章(セルオートマトン)'!Z7</f>
        <v>0</v>
      </c>
      <c r="Z8" s="6">
        <f>'第9章(セルオートマトン)'!Y7*4+'第9章(セルオートマトン)'!Z7*2+'第9章(セルオートマトン)'!AA7</f>
        <v>0</v>
      </c>
    </row>
    <row r="9" spans="2:26" x14ac:dyDescent="0.15">
      <c r="B9" s="6">
        <f>'第9章(セルオートマトン)'!A8*4+'第9章(セルオートマトン)'!B8*2+'第9章(セルオートマトン)'!C8</f>
        <v>0</v>
      </c>
      <c r="C9" s="6">
        <f>'第9章(セルオートマトン)'!B8*4+'第9章(セルオートマトン)'!C8*2+'第9章(セルオートマトン)'!D8</f>
        <v>0</v>
      </c>
      <c r="D9" s="6">
        <f>'第9章(セルオートマトン)'!C8*4+'第9章(セルオートマトン)'!D8*2+'第9章(セルオートマトン)'!E8</f>
        <v>0</v>
      </c>
      <c r="E9" s="6">
        <f>'第9章(セルオートマトン)'!D8*4+'第9章(セルオートマトン)'!E8*2+'第9章(セルオートマトン)'!F8</f>
        <v>0</v>
      </c>
      <c r="F9" s="6">
        <f>'第9章(セルオートマトン)'!E8*4+'第9章(セルオートマトン)'!F8*2+'第9章(セルオートマトン)'!G8</f>
        <v>1</v>
      </c>
      <c r="G9" s="6">
        <f>'第9章(セルオートマトン)'!F8*4+'第9章(セルオートマトン)'!G8*2+'第9章(セルオートマトン)'!H8</f>
        <v>3</v>
      </c>
      <c r="H9" s="6">
        <f>'第9章(セルオートマトン)'!G8*4+'第9章(セルオートマトン)'!H8*2+'第9章(セルオートマトン)'!I8</f>
        <v>7</v>
      </c>
      <c r="I9" s="6">
        <f>'第9章(セルオートマトン)'!H8*4+'第9章(セルオートマトン)'!I8*2+'第9章(セルオートマトン)'!J8</f>
        <v>6</v>
      </c>
      <c r="J9" s="6">
        <f>'第9章(セルオートマトン)'!I8*4+'第9章(セルオートマトン)'!J8*2+'第9章(セルオートマトン)'!K8</f>
        <v>5</v>
      </c>
      <c r="K9" s="6">
        <f>'第9章(セルオートマトン)'!J8*4+'第9章(セルオートマトン)'!K8*2+'第9章(セルオートマトン)'!L8</f>
        <v>2</v>
      </c>
      <c r="L9" s="6">
        <f>'第9章(セルオートマトン)'!K8*4+'第9章(セルオートマトン)'!L8*2+'第9章(セルオートマトン)'!M8</f>
        <v>5</v>
      </c>
      <c r="M9" s="6">
        <f>'第9章(セルオートマトン)'!L8*4+'第9章(セルオートマトン)'!M8*2+'第9章(セルオートマトン)'!N8</f>
        <v>2</v>
      </c>
      <c r="N9" s="6">
        <f>'第9章(セルオートマトン)'!M8*4+'第9章(セルオートマトン)'!N8*2+'第9章(セルオートマトン)'!O8</f>
        <v>5</v>
      </c>
      <c r="O9" s="6">
        <f>'第9章(セルオートマトン)'!N8*4+'第9章(セルオートマトン)'!O8*2+'第9章(セルオートマトン)'!P8</f>
        <v>2</v>
      </c>
      <c r="P9" s="6">
        <f>'第9章(セルオートマトン)'!O8*4+'第9章(セルオートマトン)'!P8*2+'第9章(セルオートマトン)'!Q8</f>
        <v>5</v>
      </c>
      <c r="Q9" s="6">
        <f>'第9章(セルオートマトン)'!P8*4+'第9章(セルオートマトン)'!Q8*2+'第9章(セルオートマトン)'!R8</f>
        <v>2</v>
      </c>
      <c r="R9" s="6">
        <f>'第9章(セルオートマトン)'!Q8*4+'第9章(セルオートマトン)'!R8*2+'第9章(セルオートマトン)'!S8</f>
        <v>5</v>
      </c>
      <c r="S9" s="6">
        <f>'第9章(セルオートマトン)'!R8*4+'第9章(セルオートマトン)'!S8*2+'第9章(セルオートマトン)'!T8</f>
        <v>3</v>
      </c>
      <c r="T9" s="6">
        <f>'第9章(セルオートマトン)'!S8*4+'第9章(セルオートマトン)'!T8*2+'第9章(セルオートマトン)'!U8</f>
        <v>7</v>
      </c>
      <c r="U9" s="6">
        <f>'第9章(セルオートマトン)'!T8*4+'第9章(セルオートマトン)'!U8*2+'第9章(セルオートマトン)'!V8</f>
        <v>6</v>
      </c>
      <c r="V9" s="6">
        <f>'第9章(セルオートマトン)'!U8*4+'第9章(セルオートマトン)'!V8*2+'第9章(セルオートマトン)'!W8</f>
        <v>4</v>
      </c>
      <c r="W9" s="6">
        <f>'第9章(セルオートマトン)'!V8*4+'第9章(セルオートマトン)'!W8*2+'第9章(セルオートマトン)'!X8</f>
        <v>0</v>
      </c>
      <c r="X9" s="6">
        <f>'第9章(セルオートマトン)'!W8*4+'第9章(セルオートマトン)'!X8*2+'第9章(セルオートマトン)'!Y8</f>
        <v>0</v>
      </c>
      <c r="Y9" s="6">
        <f>'第9章(セルオートマトン)'!X8*4+'第9章(セルオートマトン)'!Y8*2+'第9章(セルオートマトン)'!Z8</f>
        <v>0</v>
      </c>
      <c r="Z9" s="6">
        <f>'第9章(セルオートマトン)'!Y8*4+'第9章(セルオートマトン)'!Z8*2+'第9章(セルオートマトン)'!AA8</f>
        <v>0</v>
      </c>
    </row>
    <row r="10" spans="2:26" x14ac:dyDescent="0.15">
      <c r="B10" s="6">
        <f>'第9章(セルオートマトン)'!A9*4+'第9章(セルオートマトン)'!B9*2+'第9章(セルオートマトン)'!C9</f>
        <v>0</v>
      </c>
      <c r="C10" s="6">
        <f>'第9章(セルオートマトン)'!B9*4+'第9章(セルオートマトン)'!C9*2+'第9章(セルオートマトン)'!D9</f>
        <v>0</v>
      </c>
      <c r="D10" s="6">
        <f>'第9章(セルオートマトン)'!C9*4+'第9章(セルオートマトン)'!D9*2+'第9章(セルオートマトン)'!E9</f>
        <v>0</v>
      </c>
      <c r="E10" s="6">
        <f>'第9章(セルオートマトン)'!D9*4+'第9章(セルオートマトン)'!E9*2+'第9章(セルオートマトン)'!F9</f>
        <v>1</v>
      </c>
      <c r="F10" s="6">
        <f>'第9章(セルオートマトン)'!E9*4+'第9章(セルオートマトン)'!F9*2+'第9章(セルオートマトン)'!G9</f>
        <v>3</v>
      </c>
      <c r="G10" s="6">
        <f>'第9章(セルオートマトン)'!F9*4+'第9章(セルオートマトン)'!G9*2+'第9章(セルオートマトン)'!H9</f>
        <v>6</v>
      </c>
      <c r="H10" s="6">
        <f>'第9章(セルオートマトン)'!G9*4+'第9章(セルオートマトン)'!H9*2+'第9章(セルオートマトン)'!I9</f>
        <v>5</v>
      </c>
      <c r="I10" s="6">
        <f>'第9章(セルオートマトン)'!H9*4+'第9章(セルオートマトン)'!I9*2+'第9章(セルオートマトン)'!J9</f>
        <v>2</v>
      </c>
      <c r="J10" s="6">
        <f>'第9章(セルオートマトン)'!I9*4+'第9章(セルオートマトン)'!J9*2+'第9章(セルオートマトン)'!K9</f>
        <v>5</v>
      </c>
      <c r="K10" s="6">
        <f>'第9章(セルオートマトン)'!J9*4+'第9章(セルオートマトン)'!K9*2+'第9章(セルオートマトン)'!L9</f>
        <v>2</v>
      </c>
      <c r="L10" s="6">
        <f>'第9章(セルオートマトン)'!K9*4+'第9章(セルオートマトン)'!L9*2+'第9章(セルオートマトン)'!M9</f>
        <v>5</v>
      </c>
      <c r="M10" s="6">
        <f>'第9章(セルオートマトン)'!L9*4+'第9章(セルオートマトン)'!M9*2+'第9章(セルオートマトン)'!N9</f>
        <v>2</v>
      </c>
      <c r="N10" s="6">
        <f>'第9章(セルオートマトン)'!M9*4+'第9章(セルオートマトン)'!N9*2+'第9章(セルオートマトン)'!O9</f>
        <v>5</v>
      </c>
      <c r="O10" s="6">
        <f>'第9章(セルオートマトン)'!N9*4+'第9章(セルオートマトン)'!O9*2+'第9章(セルオートマトン)'!P9</f>
        <v>2</v>
      </c>
      <c r="P10" s="6">
        <f>'第9章(セルオートマトン)'!O9*4+'第9章(セルオートマトン)'!P9*2+'第9章(セルオートマトン)'!Q9</f>
        <v>5</v>
      </c>
      <c r="Q10" s="6">
        <f>'第9章(セルオートマトン)'!P9*4+'第9章(セルオートマトン)'!Q9*2+'第9章(セルオートマトン)'!R9</f>
        <v>2</v>
      </c>
      <c r="R10" s="6">
        <f>'第9章(セルオートマトン)'!Q9*4+'第9章(セルオートマトン)'!R9*2+'第9章(セルオートマトン)'!S9</f>
        <v>5</v>
      </c>
      <c r="S10" s="6">
        <f>'第9章(セルオートマトン)'!R9*4+'第9章(セルオートマトン)'!S9*2+'第9章(セルオートマトン)'!T9</f>
        <v>2</v>
      </c>
      <c r="T10" s="6">
        <f>'第9章(セルオートマトン)'!S9*4+'第9章(セルオートマトン)'!T9*2+'第9章(セルオートマトン)'!U9</f>
        <v>5</v>
      </c>
      <c r="U10" s="6">
        <f>'第9章(セルオートマトン)'!T9*4+'第9章(セルオートマトン)'!U9*2+'第9章(セルオートマトン)'!V9</f>
        <v>3</v>
      </c>
      <c r="V10" s="6">
        <f>'第9章(セルオートマトン)'!U9*4+'第9章(セルオートマトン)'!V9*2+'第9章(セルオートマトン)'!W9</f>
        <v>6</v>
      </c>
      <c r="W10" s="6">
        <f>'第9章(セルオートマトン)'!V9*4+'第9章(セルオートマトン)'!W9*2+'第9章(セルオートマトン)'!X9</f>
        <v>4</v>
      </c>
      <c r="X10" s="6">
        <f>'第9章(セルオートマトン)'!W9*4+'第9章(セルオートマトン)'!X9*2+'第9章(セルオートマトン)'!Y9</f>
        <v>0</v>
      </c>
      <c r="Y10" s="6">
        <f>'第9章(セルオートマトン)'!X9*4+'第9章(セルオートマトン)'!Y9*2+'第9章(セルオートマトン)'!Z9</f>
        <v>0</v>
      </c>
      <c r="Z10" s="6">
        <f>'第9章(セルオートマトン)'!Y9*4+'第9章(セルオートマトン)'!Z9*2+'第9章(セルオートマトン)'!AA9</f>
        <v>0</v>
      </c>
    </row>
    <row r="11" spans="2:26" x14ac:dyDescent="0.15">
      <c r="B11" s="6">
        <f>'第9章(セルオートマトン)'!A10*4+'第9章(セルオートマトン)'!B10*2+'第9章(セルオートマトン)'!C10</f>
        <v>0</v>
      </c>
      <c r="C11" s="6">
        <f>'第9章(セルオートマトン)'!B10*4+'第9章(セルオートマトン)'!C10*2+'第9章(セルオートマトン)'!D10</f>
        <v>0</v>
      </c>
      <c r="D11" s="6">
        <f>'第9章(セルオートマトン)'!C10*4+'第9章(セルオートマトン)'!D10*2+'第9章(セルオートマトン)'!E10</f>
        <v>1</v>
      </c>
      <c r="E11" s="6">
        <f>'第9章(セルオートマトン)'!D10*4+'第9章(セルオートマトン)'!E10*2+'第9章(セルオートマトン)'!F10</f>
        <v>3</v>
      </c>
      <c r="F11" s="6">
        <f>'第9章(セルオートマトン)'!E10*4+'第9章(セルオートマトン)'!F10*2+'第9章(セルオートマトン)'!G10</f>
        <v>7</v>
      </c>
      <c r="G11" s="6">
        <f>'第9章(セルオートマトン)'!F10*4+'第9章(セルオートマトン)'!G10*2+'第9章(セルオートマトン)'!H10</f>
        <v>6</v>
      </c>
      <c r="H11" s="6">
        <f>'第9章(セルオートマトン)'!G10*4+'第9章(セルオートマトン)'!H10*2+'第9章(セルオートマトン)'!I10</f>
        <v>5</v>
      </c>
      <c r="I11" s="6">
        <f>'第9章(セルオートマトン)'!H10*4+'第9章(セルオートマトン)'!I10*2+'第9章(セルオートマトン)'!J10</f>
        <v>2</v>
      </c>
      <c r="J11" s="6">
        <f>'第9章(セルオートマトン)'!I10*4+'第9章(セルオートマトン)'!J10*2+'第9章(セルオートマトン)'!K10</f>
        <v>5</v>
      </c>
      <c r="K11" s="6">
        <f>'第9章(セルオートマトン)'!J10*4+'第9章(セルオートマトン)'!K10*2+'第9章(セルオートマトン)'!L10</f>
        <v>2</v>
      </c>
      <c r="L11" s="6">
        <f>'第9章(セルオートマトン)'!K10*4+'第9章(セルオートマトン)'!L10*2+'第9章(セルオートマトン)'!M10</f>
        <v>5</v>
      </c>
      <c r="M11" s="6">
        <f>'第9章(セルオートマトン)'!L10*4+'第9章(セルオートマトン)'!M10*2+'第9章(セルオートマトン)'!N10</f>
        <v>2</v>
      </c>
      <c r="N11" s="6">
        <f>'第9章(セルオートマトン)'!M10*4+'第9章(セルオートマトン)'!N10*2+'第9章(セルオートマトン)'!O10</f>
        <v>5</v>
      </c>
      <c r="O11" s="6">
        <f>'第9章(セルオートマトン)'!N10*4+'第9章(セルオートマトン)'!O10*2+'第9章(セルオートマトン)'!P10</f>
        <v>2</v>
      </c>
      <c r="P11" s="6">
        <f>'第9章(セルオートマトン)'!O10*4+'第9章(セルオートマトン)'!P10*2+'第9章(セルオートマトン)'!Q10</f>
        <v>5</v>
      </c>
      <c r="Q11" s="6">
        <f>'第9章(セルオートマトン)'!P10*4+'第9章(セルオートマトン)'!Q10*2+'第9章(セルオートマトン)'!R10</f>
        <v>2</v>
      </c>
      <c r="R11" s="6">
        <f>'第9章(セルオートマトン)'!Q10*4+'第9章(セルオートマトン)'!R10*2+'第9章(セルオートマトン)'!S10</f>
        <v>5</v>
      </c>
      <c r="S11" s="6">
        <f>'第9章(セルオートマトン)'!R10*4+'第9章(セルオートマトン)'!S10*2+'第9章(セルオートマトン)'!T10</f>
        <v>2</v>
      </c>
      <c r="T11" s="6">
        <f>'第9章(セルオートマトン)'!S10*4+'第9章(セルオートマトン)'!T10*2+'第9章(セルオートマトン)'!U10</f>
        <v>5</v>
      </c>
      <c r="U11" s="6">
        <f>'第9章(セルオートマトン)'!T10*4+'第9章(セルオートマトン)'!U10*2+'第9章(セルオートマトン)'!V10</f>
        <v>3</v>
      </c>
      <c r="V11" s="6">
        <f>'第9章(セルオートマトン)'!U10*4+'第9章(セルオートマトン)'!V10*2+'第9章(セルオートマトン)'!W10</f>
        <v>7</v>
      </c>
      <c r="W11" s="6">
        <f>'第9章(セルオートマトン)'!V10*4+'第9章(セルオートマトン)'!W10*2+'第9章(セルオートマトン)'!X10</f>
        <v>6</v>
      </c>
      <c r="X11" s="6">
        <f>'第9章(セルオートマトン)'!W10*4+'第9章(セルオートマトン)'!X10*2+'第9章(セルオートマトン)'!Y10</f>
        <v>4</v>
      </c>
      <c r="Y11" s="6">
        <f>'第9章(セルオートマトン)'!X10*4+'第9章(セルオートマトン)'!Y10*2+'第9章(セルオートマトン)'!Z10</f>
        <v>0</v>
      </c>
      <c r="Z11" s="6">
        <f>'第9章(セルオートマトン)'!Y10*4+'第9章(セルオートマトン)'!Z10*2+'第9章(セルオートマトン)'!AA10</f>
        <v>0</v>
      </c>
    </row>
    <row r="12" spans="2:26" x14ac:dyDescent="0.15">
      <c r="B12" s="6">
        <f>'第9章(セルオートマトン)'!A11*4+'第9章(セルオートマトン)'!B11*2+'第9章(セルオートマトン)'!C11</f>
        <v>0</v>
      </c>
      <c r="C12" s="6">
        <f>'第9章(セルオートマトン)'!B11*4+'第9章(セルオートマトン)'!C11*2+'第9章(セルオートマトン)'!D11</f>
        <v>1</v>
      </c>
      <c r="D12" s="6">
        <f>'第9章(セルオートマトン)'!C11*4+'第9章(セルオートマトン)'!D11*2+'第9章(セルオートマトン)'!E11</f>
        <v>3</v>
      </c>
      <c r="E12" s="6">
        <f>'第9章(セルオートマトン)'!D11*4+'第9章(セルオートマトン)'!E11*2+'第9章(セルオートマトン)'!F11</f>
        <v>6</v>
      </c>
      <c r="F12" s="6">
        <f>'第9章(セルオートマトン)'!E11*4+'第9章(セルオートマトン)'!F11*2+'第9章(セルオートマトン)'!G11</f>
        <v>5</v>
      </c>
      <c r="G12" s="6">
        <f>'第9章(セルオートマトン)'!F11*4+'第9章(セルオートマトン)'!G11*2+'第9章(セルオートマトン)'!H11</f>
        <v>2</v>
      </c>
      <c r="H12" s="6">
        <f>'第9章(セルオートマトン)'!G11*4+'第9章(セルオートマトン)'!H11*2+'第9章(セルオートマトン)'!I11</f>
        <v>5</v>
      </c>
      <c r="I12" s="6">
        <f>'第9章(セルオートマトン)'!H11*4+'第9章(セルオートマトン)'!I11*2+'第9章(セルオートマトン)'!J11</f>
        <v>2</v>
      </c>
      <c r="J12" s="6">
        <f>'第9章(セルオートマトン)'!I11*4+'第9章(セルオートマトン)'!J11*2+'第9章(セルオートマトン)'!K11</f>
        <v>5</v>
      </c>
      <c r="K12" s="6">
        <f>'第9章(セルオートマトン)'!J11*4+'第9章(セルオートマトン)'!K11*2+'第9章(セルオートマトン)'!L11</f>
        <v>2</v>
      </c>
      <c r="L12" s="6">
        <f>'第9章(セルオートマトン)'!K11*4+'第9章(セルオートマトン)'!L11*2+'第9章(セルオートマトン)'!M11</f>
        <v>5</v>
      </c>
      <c r="M12" s="6">
        <f>'第9章(セルオートマトン)'!L11*4+'第9章(セルオートマトン)'!M11*2+'第9章(セルオートマトン)'!N11</f>
        <v>2</v>
      </c>
      <c r="N12" s="6">
        <f>'第9章(セルオートマトン)'!M11*4+'第9章(セルオートマトン)'!N11*2+'第9章(セルオートマトン)'!O11</f>
        <v>5</v>
      </c>
      <c r="O12" s="6">
        <f>'第9章(セルオートマトン)'!N11*4+'第9章(セルオートマトン)'!O11*2+'第9章(セルオートマトン)'!P11</f>
        <v>2</v>
      </c>
      <c r="P12" s="6">
        <f>'第9章(セルオートマトン)'!O11*4+'第9章(セルオートマトン)'!P11*2+'第9章(セルオートマトン)'!Q11</f>
        <v>5</v>
      </c>
      <c r="Q12" s="6">
        <f>'第9章(セルオートマトン)'!P11*4+'第9章(セルオートマトン)'!Q11*2+'第9章(セルオートマトン)'!R11</f>
        <v>2</v>
      </c>
      <c r="R12" s="6">
        <f>'第9章(セルオートマトン)'!Q11*4+'第9章(セルオートマトン)'!R11*2+'第9章(セルオートマトン)'!S11</f>
        <v>5</v>
      </c>
      <c r="S12" s="6">
        <f>'第9章(セルオートマトン)'!R11*4+'第9章(セルオートマトン)'!S11*2+'第9章(セルオートマトン)'!T11</f>
        <v>2</v>
      </c>
      <c r="T12" s="6">
        <f>'第9章(セルオートマトン)'!S11*4+'第9章(セルオートマトン)'!T11*2+'第9章(セルオートマトン)'!U11</f>
        <v>5</v>
      </c>
      <c r="U12" s="6">
        <f>'第9章(セルオートマトン)'!T11*4+'第9章(セルオートマトン)'!U11*2+'第9章(セルオートマトン)'!V11</f>
        <v>2</v>
      </c>
      <c r="V12" s="6">
        <f>'第9章(セルオートマトン)'!U11*4+'第9章(セルオートマトン)'!V11*2+'第9章(セルオートマトン)'!W11</f>
        <v>5</v>
      </c>
      <c r="W12" s="6">
        <f>'第9章(セルオートマトン)'!V11*4+'第9章(セルオートマトン)'!W11*2+'第9章(セルオートマトン)'!X11</f>
        <v>3</v>
      </c>
      <c r="X12" s="6">
        <f>'第9章(セルオートマトン)'!W11*4+'第9章(セルオートマトン)'!X11*2+'第9章(セルオートマトン)'!Y11</f>
        <v>6</v>
      </c>
      <c r="Y12" s="6">
        <f>'第9章(セルオートマトン)'!X11*4+'第9章(セルオートマトン)'!Y11*2+'第9章(セルオートマトン)'!Z11</f>
        <v>4</v>
      </c>
      <c r="Z12" s="6">
        <f>'第9章(セルオートマトン)'!Y11*4+'第9章(セルオートマトン)'!Z11*2+'第9章(セルオートマトン)'!AA11</f>
        <v>0</v>
      </c>
    </row>
    <row r="13" spans="2:26" x14ac:dyDescent="0.15">
      <c r="B13" s="6">
        <f>'第9章(セルオートマトン)'!A12*4+'第9章(セルオートマトン)'!B12*2+'第9章(セルオートマトン)'!C12</f>
        <v>1</v>
      </c>
      <c r="C13" s="6">
        <f>'第9章(セルオートマトン)'!B12*4+'第9章(セルオートマトン)'!C12*2+'第9章(セルオートマトン)'!D12</f>
        <v>3</v>
      </c>
      <c r="D13" s="6">
        <f>'第9章(セルオートマトン)'!C12*4+'第9章(セルオートマトン)'!D12*2+'第9章(セルオートマトン)'!E12</f>
        <v>7</v>
      </c>
      <c r="E13" s="6">
        <f>'第9章(セルオートマトン)'!D12*4+'第9章(セルオートマトン)'!E12*2+'第9章(セルオートマトン)'!F12</f>
        <v>6</v>
      </c>
      <c r="F13" s="6">
        <f>'第9章(セルオートマトン)'!E12*4+'第9章(セルオートマトン)'!F12*2+'第9章(セルオートマトン)'!G12</f>
        <v>5</v>
      </c>
      <c r="G13" s="6">
        <f>'第9章(セルオートマトン)'!F12*4+'第9章(セルオートマトン)'!G12*2+'第9章(セルオートマトン)'!H12</f>
        <v>2</v>
      </c>
      <c r="H13" s="6">
        <f>'第9章(セルオートマトン)'!G12*4+'第9章(セルオートマトン)'!H12*2+'第9章(セルオートマトン)'!I12</f>
        <v>5</v>
      </c>
      <c r="I13" s="6">
        <f>'第9章(セルオートマトン)'!H12*4+'第9章(セルオートマトン)'!I12*2+'第9章(セルオートマトン)'!J12</f>
        <v>2</v>
      </c>
      <c r="J13" s="6">
        <f>'第9章(セルオートマトン)'!I12*4+'第9章(セルオートマトン)'!J12*2+'第9章(セルオートマトン)'!K12</f>
        <v>5</v>
      </c>
      <c r="K13" s="6">
        <f>'第9章(セルオートマトン)'!J12*4+'第9章(セルオートマトン)'!K12*2+'第9章(セルオートマトン)'!L12</f>
        <v>2</v>
      </c>
      <c r="L13" s="6">
        <f>'第9章(セルオートマトン)'!K12*4+'第9章(セルオートマトン)'!L12*2+'第9章(セルオートマトン)'!M12</f>
        <v>5</v>
      </c>
      <c r="M13" s="6">
        <f>'第9章(セルオートマトン)'!L12*4+'第9章(セルオートマトン)'!M12*2+'第9章(セルオートマトン)'!N12</f>
        <v>2</v>
      </c>
      <c r="N13" s="6">
        <f>'第9章(セルオートマトン)'!M12*4+'第9章(セルオートマトン)'!N12*2+'第9章(セルオートマトン)'!O12</f>
        <v>5</v>
      </c>
      <c r="O13" s="6">
        <f>'第9章(セルオートマトン)'!N12*4+'第9章(セルオートマトン)'!O12*2+'第9章(セルオートマトン)'!P12</f>
        <v>2</v>
      </c>
      <c r="P13" s="6">
        <f>'第9章(セルオートマトン)'!O12*4+'第9章(セルオートマトン)'!P12*2+'第9章(セルオートマトン)'!Q12</f>
        <v>5</v>
      </c>
      <c r="Q13" s="6">
        <f>'第9章(セルオートマトン)'!P12*4+'第9章(セルオートマトン)'!Q12*2+'第9章(セルオートマトン)'!R12</f>
        <v>2</v>
      </c>
      <c r="R13" s="6">
        <f>'第9章(セルオートマトン)'!Q12*4+'第9章(セルオートマトン)'!R12*2+'第9章(セルオートマトン)'!S12</f>
        <v>5</v>
      </c>
      <c r="S13" s="6">
        <f>'第9章(セルオートマトン)'!R12*4+'第9章(セルオートマトン)'!S12*2+'第9章(セルオートマトン)'!T12</f>
        <v>2</v>
      </c>
      <c r="T13" s="6">
        <f>'第9章(セルオートマトン)'!S12*4+'第9章(セルオートマトン)'!T12*2+'第9章(セルオートマトン)'!U12</f>
        <v>5</v>
      </c>
      <c r="U13" s="6">
        <f>'第9章(セルオートマトン)'!T12*4+'第9章(セルオートマトン)'!U12*2+'第9章(セルオートマトン)'!V12</f>
        <v>2</v>
      </c>
      <c r="V13" s="6">
        <f>'第9章(セルオートマトン)'!U12*4+'第9章(セルオートマトン)'!V12*2+'第9章(セルオートマトン)'!W12</f>
        <v>5</v>
      </c>
      <c r="W13" s="6">
        <f>'第9章(セルオートマトン)'!V12*4+'第9章(セルオートマトン)'!W12*2+'第9章(セルオートマトン)'!X12</f>
        <v>3</v>
      </c>
      <c r="X13" s="6">
        <f>'第9章(セルオートマトン)'!W12*4+'第9章(セルオートマトン)'!X12*2+'第9章(セルオートマトン)'!Y12</f>
        <v>7</v>
      </c>
      <c r="Y13" s="6">
        <f>'第9章(セルオートマトン)'!X12*4+'第9章(セルオートマトン)'!Y12*2+'第9章(セルオートマトン)'!Z12</f>
        <v>6</v>
      </c>
      <c r="Z13" s="6">
        <f>'第9章(セルオートマトン)'!Y12*4+'第9章(セルオートマトン)'!Z12*2+'第9章(セルオートマトン)'!AA12</f>
        <v>4</v>
      </c>
    </row>
    <row r="14" spans="2:26" x14ac:dyDescent="0.15">
      <c r="B14" s="6">
        <f>'第9章(セルオートマトン)'!A13*4+'第9章(セルオートマトン)'!B13*2+'第9章(セルオートマトン)'!C13</f>
        <v>7</v>
      </c>
      <c r="C14" s="6">
        <f>'第9章(セルオートマトン)'!B13*4+'第9章(セルオートマトン)'!C13*2+'第9章(セルオートマトン)'!D13</f>
        <v>6</v>
      </c>
      <c r="D14" s="6">
        <f>'第9章(セルオートマトン)'!C13*4+'第9章(セルオートマトン)'!D13*2+'第9章(セルオートマトン)'!E13</f>
        <v>5</v>
      </c>
      <c r="E14" s="6">
        <f>'第9章(セルオートマトン)'!D13*4+'第9章(セルオートマトン)'!E13*2+'第9章(セルオートマトン)'!F13</f>
        <v>2</v>
      </c>
      <c r="F14" s="6">
        <f>'第9章(セルオートマトン)'!E13*4+'第9章(セルオートマトン)'!F13*2+'第9章(セルオートマトン)'!G13</f>
        <v>5</v>
      </c>
      <c r="G14" s="6">
        <f>'第9章(セルオートマトン)'!F13*4+'第9章(セルオートマトン)'!G13*2+'第9章(セルオートマトン)'!H13</f>
        <v>2</v>
      </c>
      <c r="H14" s="6">
        <f>'第9章(セルオートマトン)'!G13*4+'第9章(セルオートマトン)'!H13*2+'第9章(セルオートマトン)'!I13</f>
        <v>5</v>
      </c>
      <c r="I14" s="6">
        <f>'第9章(セルオートマトン)'!H13*4+'第9章(セルオートマトン)'!I13*2+'第9章(セルオートマトン)'!J13</f>
        <v>2</v>
      </c>
      <c r="J14" s="6">
        <f>'第9章(セルオートマトン)'!I13*4+'第9章(セルオートマトン)'!J13*2+'第9章(セルオートマトン)'!K13</f>
        <v>5</v>
      </c>
      <c r="K14" s="6">
        <f>'第9章(セルオートマトン)'!J13*4+'第9章(セルオートマトン)'!K13*2+'第9章(セルオートマトン)'!L13</f>
        <v>2</v>
      </c>
      <c r="L14" s="6">
        <f>'第9章(セルオートマトン)'!K13*4+'第9章(セルオートマトン)'!L13*2+'第9章(セルオートマトン)'!M13</f>
        <v>5</v>
      </c>
      <c r="M14" s="6">
        <f>'第9章(セルオートマトン)'!L13*4+'第9章(セルオートマトン)'!M13*2+'第9章(セルオートマトン)'!N13</f>
        <v>2</v>
      </c>
      <c r="N14" s="6">
        <f>'第9章(セルオートマトン)'!M13*4+'第9章(セルオートマトン)'!N13*2+'第9章(セルオートマトン)'!O13</f>
        <v>5</v>
      </c>
      <c r="O14" s="6">
        <f>'第9章(セルオートマトン)'!N13*4+'第9章(セルオートマトン)'!O13*2+'第9章(セルオートマトン)'!P13</f>
        <v>2</v>
      </c>
      <c r="P14" s="6">
        <f>'第9章(セルオートマトン)'!O13*4+'第9章(セルオートマトン)'!P13*2+'第9章(セルオートマトン)'!Q13</f>
        <v>5</v>
      </c>
      <c r="Q14" s="6">
        <f>'第9章(セルオートマトン)'!P13*4+'第9章(セルオートマトン)'!Q13*2+'第9章(セルオートマトン)'!R13</f>
        <v>2</v>
      </c>
      <c r="R14" s="6">
        <f>'第9章(セルオートマトン)'!Q13*4+'第9章(セルオートマトン)'!R13*2+'第9章(セルオートマトン)'!S13</f>
        <v>5</v>
      </c>
      <c r="S14" s="6">
        <f>'第9章(セルオートマトン)'!R13*4+'第9章(セルオートマトン)'!S13*2+'第9章(セルオートマトン)'!T13</f>
        <v>2</v>
      </c>
      <c r="T14" s="6">
        <f>'第9章(セルオートマトン)'!S13*4+'第9章(セルオートマトン)'!T13*2+'第9章(セルオートマトン)'!U13</f>
        <v>5</v>
      </c>
      <c r="U14" s="6">
        <f>'第9章(セルオートマトン)'!T13*4+'第9章(セルオートマトン)'!U13*2+'第9章(セルオートマトン)'!V13</f>
        <v>2</v>
      </c>
      <c r="V14" s="6">
        <f>'第9章(セルオートマトン)'!U13*4+'第9章(セルオートマトン)'!V13*2+'第9章(セルオートマトン)'!W13</f>
        <v>5</v>
      </c>
      <c r="W14" s="6">
        <f>'第9章(セルオートマトン)'!V13*4+'第9章(セルオートマトン)'!W13*2+'第9章(セルオートマトン)'!X13</f>
        <v>2</v>
      </c>
      <c r="X14" s="6">
        <f>'第9章(セルオートマトン)'!W13*4+'第9章(セルオートマトン)'!X13*2+'第9章(セルオートマトン)'!Y13</f>
        <v>5</v>
      </c>
      <c r="Y14" s="6">
        <f>'第9章(セルオートマトン)'!X13*4+'第9章(セルオートマトン)'!Y13*2+'第9章(セルオートマトン)'!Z13</f>
        <v>3</v>
      </c>
      <c r="Z14" s="6">
        <f>'第9章(セルオートマトン)'!Y13*4+'第9章(セルオートマトン)'!Z13*2+'第9章(セルオートマトン)'!AA13</f>
        <v>7</v>
      </c>
    </row>
    <row r="15" spans="2:26" x14ac:dyDescent="0.15">
      <c r="B15" s="6">
        <f>'第9章(セルオートマトン)'!A14*4+'第9章(セルオートマトン)'!B14*2+'第9章(セルオートマトン)'!C14</f>
        <v>1</v>
      </c>
      <c r="C15" s="6">
        <f>'第9章(セルオートマトン)'!B14*4+'第9章(セルオートマトン)'!C14*2+'第9章(セルオートマトン)'!D14</f>
        <v>2</v>
      </c>
      <c r="D15" s="6">
        <f>'第9章(セルオートマトン)'!C14*4+'第9章(セルオートマトン)'!D14*2+'第9章(セルオートマトン)'!E14</f>
        <v>5</v>
      </c>
      <c r="E15" s="6">
        <f>'第9章(セルオートマトン)'!D14*4+'第9章(セルオートマトン)'!E14*2+'第9章(セルオートマトン)'!F14</f>
        <v>2</v>
      </c>
      <c r="F15" s="6">
        <f>'第9章(セルオートマトン)'!E14*4+'第9章(セルオートマトン)'!F14*2+'第9章(セルオートマトン)'!G14</f>
        <v>5</v>
      </c>
      <c r="G15" s="6">
        <f>'第9章(セルオートマトン)'!F14*4+'第9章(セルオートマトン)'!G14*2+'第9章(セルオートマトン)'!H14</f>
        <v>2</v>
      </c>
      <c r="H15" s="6">
        <f>'第9章(セルオートマトン)'!G14*4+'第9章(セルオートマトン)'!H14*2+'第9章(セルオートマトン)'!I14</f>
        <v>5</v>
      </c>
      <c r="I15" s="6">
        <f>'第9章(セルオートマトン)'!H14*4+'第9章(セルオートマトン)'!I14*2+'第9章(セルオートマトン)'!J14</f>
        <v>2</v>
      </c>
      <c r="J15" s="6">
        <f>'第9章(セルオートマトン)'!I14*4+'第9章(セルオートマトン)'!J14*2+'第9章(セルオートマトン)'!K14</f>
        <v>5</v>
      </c>
      <c r="K15" s="6">
        <f>'第9章(セルオートマトン)'!J14*4+'第9章(セルオートマトン)'!K14*2+'第9章(セルオートマトン)'!L14</f>
        <v>2</v>
      </c>
      <c r="L15" s="6">
        <f>'第9章(セルオートマトン)'!K14*4+'第9章(セルオートマトン)'!L14*2+'第9章(セルオートマトン)'!M14</f>
        <v>5</v>
      </c>
      <c r="M15" s="6">
        <f>'第9章(セルオートマトン)'!L14*4+'第9章(セルオートマトン)'!M14*2+'第9章(セルオートマトン)'!N14</f>
        <v>2</v>
      </c>
      <c r="N15" s="6">
        <f>'第9章(セルオートマトン)'!M14*4+'第9章(セルオートマトン)'!N14*2+'第9章(セルオートマトン)'!O14</f>
        <v>5</v>
      </c>
      <c r="O15" s="6">
        <f>'第9章(セルオートマトン)'!N14*4+'第9章(セルオートマトン)'!O14*2+'第9章(セルオートマトン)'!P14</f>
        <v>2</v>
      </c>
      <c r="P15" s="6">
        <f>'第9章(セルオートマトン)'!O14*4+'第9章(セルオートマトン)'!P14*2+'第9章(セルオートマトン)'!Q14</f>
        <v>5</v>
      </c>
      <c r="Q15" s="6">
        <f>'第9章(セルオートマトン)'!P14*4+'第9章(セルオートマトン)'!Q14*2+'第9章(セルオートマトン)'!R14</f>
        <v>2</v>
      </c>
      <c r="R15" s="6">
        <f>'第9章(セルオートマトン)'!Q14*4+'第9章(セルオートマトン)'!R14*2+'第9章(セルオートマトン)'!S14</f>
        <v>5</v>
      </c>
      <c r="S15" s="6">
        <f>'第9章(セルオートマトン)'!R14*4+'第9章(セルオートマトン)'!S14*2+'第9章(セルオートマトン)'!T14</f>
        <v>2</v>
      </c>
      <c r="T15" s="6">
        <f>'第9章(セルオートマトン)'!S14*4+'第9章(セルオートマトン)'!T14*2+'第9章(セルオートマトン)'!U14</f>
        <v>5</v>
      </c>
      <c r="U15" s="6">
        <f>'第9章(セルオートマトン)'!T14*4+'第9章(セルオートマトン)'!U14*2+'第9章(セルオートマトン)'!V14</f>
        <v>2</v>
      </c>
      <c r="V15" s="6">
        <f>'第9章(セルオートマトン)'!U14*4+'第9章(セルオートマトン)'!V14*2+'第9章(セルオートマトン)'!W14</f>
        <v>5</v>
      </c>
      <c r="W15" s="6">
        <f>'第9章(セルオートマトン)'!V14*4+'第9章(セルオートマトン)'!W14*2+'第9章(セルオートマトン)'!X14</f>
        <v>2</v>
      </c>
      <c r="X15" s="6">
        <f>'第9章(セルオートマトン)'!W14*4+'第9章(セルオートマトン)'!X14*2+'第9章(セルオートマトン)'!Y14</f>
        <v>5</v>
      </c>
      <c r="Y15" s="6">
        <f>'第9章(セルオートマトン)'!X14*4+'第9章(セルオートマトン)'!Y14*2+'第9章(セルオートマトン)'!Z14</f>
        <v>2</v>
      </c>
      <c r="Z15" s="6">
        <f>'第9章(セルオートマトン)'!Y14*4+'第9章(セルオートマトン)'!Z14*2+'第9章(セルオートマトン)'!AA14</f>
        <v>4</v>
      </c>
    </row>
    <row r="16" spans="2:26" x14ac:dyDescent="0.15">
      <c r="B16" s="6">
        <f>'第9章(セルオートマトン)'!A15*4+'第9章(セルオートマトン)'!B15*2+'第9章(セルオートマトン)'!C15</f>
        <v>7</v>
      </c>
      <c r="C16" s="6">
        <f>'第9章(セルオートマトン)'!B15*4+'第9章(セルオートマトン)'!C15*2+'第9章(セルオートマトン)'!D15</f>
        <v>6</v>
      </c>
      <c r="D16" s="6">
        <f>'第9章(セルオートマトン)'!C15*4+'第9章(セルオートマトン)'!D15*2+'第9章(セルオートマトン)'!E15</f>
        <v>5</v>
      </c>
      <c r="E16" s="6">
        <f>'第9章(セルオートマトン)'!D15*4+'第9章(セルオートマトン)'!E15*2+'第9章(セルオートマトン)'!F15</f>
        <v>2</v>
      </c>
      <c r="F16" s="6">
        <f>'第9章(セルオートマトン)'!E15*4+'第9章(セルオートマトン)'!F15*2+'第9章(セルオートマトン)'!G15</f>
        <v>5</v>
      </c>
      <c r="G16" s="6">
        <f>'第9章(セルオートマトン)'!F15*4+'第9章(セルオートマトン)'!G15*2+'第9章(セルオートマトン)'!H15</f>
        <v>2</v>
      </c>
      <c r="H16" s="6">
        <f>'第9章(セルオートマトン)'!G15*4+'第9章(セルオートマトン)'!H15*2+'第9章(セルオートマトン)'!I15</f>
        <v>5</v>
      </c>
      <c r="I16" s="6">
        <f>'第9章(セルオートマトン)'!H15*4+'第9章(セルオートマトン)'!I15*2+'第9章(セルオートマトン)'!J15</f>
        <v>2</v>
      </c>
      <c r="J16" s="6">
        <f>'第9章(セルオートマトン)'!I15*4+'第9章(セルオートマトン)'!J15*2+'第9章(セルオートマトン)'!K15</f>
        <v>5</v>
      </c>
      <c r="K16" s="6">
        <f>'第9章(セルオートマトン)'!J15*4+'第9章(セルオートマトン)'!K15*2+'第9章(セルオートマトン)'!L15</f>
        <v>2</v>
      </c>
      <c r="L16" s="6">
        <f>'第9章(セルオートマトン)'!K15*4+'第9章(セルオートマトン)'!L15*2+'第9章(セルオートマトン)'!M15</f>
        <v>5</v>
      </c>
      <c r="M16" s="6">
        <f>'第9章(セルオートマトン)'!L15*4+'第9章(セルオートマトン)'!M15*2+'第9章(セルオートマトン)'!N15</f>
        <v>2</v>
      </c>
      <c r="N16" s="6">
        <f>'第9章(セルオートマトン)'!M15*4+'第9章(セルオートマトン)'!N15*2+'第9章(セルオートマトン)'!O15</f>
        <v>5</v>
      </c>
      <c r="O16" s="6">
        <f>'第9章(セルオートマトン)'!N15*4+'第9章(セルオートマトン)'!O15*2+'第9章(セルオートマトン)'!P15</f>
        <v>2</v>
      </c>
      <c r="P16" s="6">
        <f>'第9章(セルオートマトン)'!O15*4+'第9章(セルオートマトン)'!P15*2+'第9章(セルオートマトン)'!Q15</f>
        <v>5</v>
      </c>
      <c r="Q16" s="6">
        <f>'第9章(セルオートマトン)'!P15*4+'第9章(セルオートマトン)'!Q15*2+'第9章(セルオートマトン)'!R15</f>
        <v>2</v>
      </c>
      <c r="R16" s="6">
        <f>'第9章(セルオートマトン)'!Q15*4+'第9章(セルオートマトン)'!R15*2+'第9章(セルオートマトン)'!S15</f>
        <v>5</v>
      </c>
      <c r="S16" s="6">
        <f>'第9章(セルオートマトン)'!R15*4+'第9章(セルオートマトン)'!S15*2+'第9章(セルオートマトン)'!T15</f>
        <v>2</v>
      </c>
      <c r="T16" s="6">
        <f>'第9章(セルオートマトン)'!S15*4+'第9章(セルオートマトン)'!T15*2+'第9章(セルオートマトン)'!U15</f>
        <v>5</v>
      </c>
      <c r="U16" s="6">
        <f>'第9章(セルオートマトン)'!T15*4+'第9章(セルオートマトン)'!U15*2+'第9章(セルオートマトン)'!V15</f>
        <v>2</v>
      </c>
      <c r="V16" s="6">
        <f>'第9章(セルオートマトン)'!U15*4+'第9章(セルオートマトン)'!V15*2+'第9章(セルオートマトン)'!W15</f>
        <v>5</v>
      </c>
      <c r="W16" s="6">
        <f>'第9章(セルオートマトン)'!V15*4+'第9章(セルオートマトン)'!W15*2+'第9章(セルオートマトン)'!X15</f>
        <v>2</v>
      </c>
      <c r="X16" s="6">
        <f>'第9章(セルオートマトン)'!W15*4+'第9章(セルオートマトン)'!X15*2+'第9章(セルオートマトン)'!Y15</f>
        <v>5</v>
      </c>
      <c r="Y16" s="6">
        <f>'第9章(セルオートマトン)'!X15*4+'第9章(セルオートマトン)'!Y15*2+'第9章(セルオートマトン)'!Z15</f>
        <v>3</v>
      </c>
      <c r="Z16" s="6">
        <f>'第9章(セルオートマトン)'!Y15*4+'第9章(セルオートマトン)'!Z15*2+'第9章(セルオートマトン)'!AA15</f>
        <v>7</v>
      </c>
    </row>
    <row r="17" spans="2:26" x14ac:dyDescent="0.15">
      <c r="B17" s="6">
        <f>'第9章(セルオートマトン)'!A16*4+'第9章(セルオートマトン)'!B16*2+'第9章(セルオートマトン)'!C16</f>
        <v>1</v>
      </c>
      <c r="C17" s="6">
        <f>'第9章(セルオートマトン)'!B16*4+'第9章(セルオートマトン)'!C16*2+'第9章(セルオートマトン)'!D16</f>
        <v>2</v>
      </c>
      <c r="D17" s="6">
        <f>'第9章(セルオートマトン)'!C16*4+'第9章(セルオートマトン)'!D16*2+'第9章(セルオートマトン)'!E16</f>
        <v>5</v>
      </c>
      <c r="E17" s="6">
        <f>'第9章(セルオートマトン)'!D16*4+'第9章(セルオートマトン)'!E16*2+'第9章(セルオートマトン)'!F16</f>
        <v>2</v>
      </c>
      <c r="F17" s="6">
        <f>'第9章(セルオートマトン)'!E16*4+'第9章(セルオートマトン)'!F16*2+'第9章(セルオートマトン)'!G16</f>
        <v>5</v>
      </c>
      <c r="G17" s="6">
        <f>'第9章(セルオートマトン)'!F16*4+'第9章(セルオートマトン)'!G16*2+'第9章(セルオートマトン)'!H16</f>
        <v>2</v>
      </c>
      <c r="H17" s="6">
        <f>'第9章(セルオートマトン)'!G16*4+'第9章(セルオートマトン)'!H16*2+'第9章(セルオートマトン)'!I16</f>
        <v>5</v>
      </c>
      <c r="I17" s="6">
        <f>'第9章(セルオートマトン)'!H16*4+'第9章(セルオートマトン)'!I16*2+'第9章(セルオートマトン)'!J16</f>
        <v>2</v>
      </c>
      <c r="J17" s="6">
        <f>'第9章(セルオートマトン)'!I16*4+'第9章(セルオートマトン)'!J16*2+'第9章(セルオートマトン)'!K16</f>
        <v>5</v>
      </c>
      <c r="K17" s="6">
        <f>'第9章(セルオートマトン)'!J16*4+'第9章(セルオートマトン)'!K16*2+'第9章(セルオートマトン)'!L16</f>
        <v>2</v>
      </c>
      <c r="L17" s="6">
        <f>'第9章(セルオートマトン)'!K16*4+'第9章(セルオートマトン)'!L16*2+'第9章(セルオートマトン)'!M16</f>
        <v>5</v>
      </c>
      <c r="M17" s="6">
        <f>'第9章(セルオートマトン)'!L16*4+'第9章(セルオートマトン)'!M16*2+'第9章(セルオートマトン)'!N16</f>
        <v>2</v>
      </c>
      <c r="N17" s="6">
        <f>'第9章(セルオートマトン)'!M16*4+'第9章(セルオートマトン)'!N16*2+'第9章(セルオートマトン)'!O16</f>
        <v>5</v>
      </c>
      <c r="O17" s="6">
        <f>'第9章(セルオートマトン)'!N16*4+'第9章(セルオートマトン)'!O16*2+'第9章(セルオートマトン)'!P16</f>
        <v>2</v>
      </c>
      <c r="P17" s="6">
        <f>'第9章(セルオートマトン)'!O16*4+'第9章(セルオートマトン)'!P16*2+'第9章(セルオートマトン)'!Q16</f>
        <v>5</v>
      </c>
      <c r="Q17" s="6">
        <f>'第9章(セルオートマトン)'!P16*4+'第9章(セルオートマトン)'!Q16*2+'第9章(セルオートマトン)'!R16</f>
        <v>2</v>
      </c>
      <c r="R17" s="6">
        <f>'第9章(セルオートマトン)'!Q16*4+'第9章(セルオートマトン)'!R16*2+'第9章(セルオートマトン)'!S16</f>
        <v>5</v>
      </c>
      <c r="S17" s="6">
        <f>'第9章(セルオートマトン)'!R16*4+'第9章(セルオートマトン)'!S16*2+'第9章(セルオートマトン)'!T16</f>
        <v>2</v>
      </c>
      <c r="T17" s="6">
        <f>'第9章(セルオートマトン)'!S16*4+'第9章(セルオートマトン)'!T16*2+'第9章(セルオートマトン)'!U16</f>
        <v>5</v>
      </c>
      <c r="U17" s="6">
        <f>'第9章(セルオートマトン)'!T16*4+'第9章(セルオートマトン)'!U16*2+'第9章(セルオートマトン)'!V16</f>
        <v>2</v>
      </c>
      <c r="V17" s="6">
        <f>'第9章(セルオートマトン)'!U16*4+'第9章(セルオートマトン)'!V16*2+'第9章(セルオートマトン)'!W16</f>
        <v>5</v>
      </c>
      <c r="W17" s="6">
        <f>'第9章(セルオートマトン)'!V16*4+'第9章(セルオートマトン)'!W16*2+'第9章(セルオートマトン)'!X16</f>
        <v>2</v>
      </c>
      <c r="X17" s="6">
        <f>'第9章(セルオートマトン)'!W16*4+'第9章(セルオートマトン)'!X16*2+'第9章(セルオートマトン)'!Y16</f>
        <v>5</v>
      </c>
      <c r="Y17" s="6">
        <f>'第9章(セルオートマトン)'!X16*4+'第9章(セルオートマトン)'!Y16*2+'第9章(セルオートマトン)'!Z16</f>
        <v>2</v>
      </c>
      <c r="Z17" s="6">
        <f>'第9章(セルオートマトン)'!Y16*4+'第9章(セルオートマトン)'!Z16*2+'第9章(セルオートマトン)'!AA16</f>
        <v>4</v>
      </c>
    </row>
    <row r="18" spans="2:26" x14ac:dyDescent="0.15">
      <c r="B18" s="6">
        <f>'第9章(セルオートマトン)'!A17*4+'第9章(セルオートマトン)'!B17*2+'第9章(セルオートマトン)'!C17</f>
        <v>7</v>
      </c>
      <c r="C18" s="6">
        <f>'第9章(セルオートマトン)'!B17*4+'第9章(セルオートマトン)'!C17*2+'第9章(セルオートマトン)'!D17</f>
        <v>6</v>
      </c>
      <c r="D18" s="6">
        <f>'第9章(セルオートマトン)'!C17*4+'第9章(セルオートマトン)'!D17*2+'第9章(セルオートマトン)'!E17</f>
        <v>5</v>
      </c>
      <c r="E18" s="6">
        <f>'第9章(セルオートマトン)'!D17*4+'第9章(セルオートマトン)'!E17*2+'第9章(セルオートマトン)'!F17</f>
        <v>2</v>
      </c>
      <c r="F18" s="6">
        <f>'第9章(セルオートマトン)'!E17*4+'第9章(セルオートマトン)'!F17*2+'第9章(セルオートマトン)'!G17</f>
        <v>5</v>
      </c>
      <c r="G18" s="6">
        <f>'第9章(セルオートマトン)'!F17*4+'第9章(セルオートマトン)'!G17*2+'第9章(セルオートマトン)'!H17</f>
        <v>2</v>
      </c>
      <c r="H18" s="6">
        <f>'第9章(セルオートマトン)'!G17*4+'第9章(セルオートマトン)'!H17*2+'第9章(セルオートマトン)'!I17</f>
        <v>5</v>
      </c>
      <c r="I18" s="6">
        <f>'第9章(セルオートマトン)'!H17*4+'第9章(セルオートマトン)'!I17*2+'第9章(セルオートマトン)'!J17</f>
        <v>2</v>
      </c>
      <c r="J18" s="6">
        <f>'第9章(セルオートマトン)'!I17*4+'第9章(セルオートマトン)'!J17*2+'第9章(セルオートマトン)'!K17</f>
        <v>5</v>
      </c>
      <c r="K18" s="6">
        <f>'第9章(セルオートマトン)'!J17*4+'第9章(セルオートマトン)'!K17*2+'第9章(セルオートマトン)'!L17</f>
        <v>2</v>
      </c>
      <c r="L18" s="6">
        <f>'第9章(セルオートマトン)'!K17*4+'第9章(セルオートマトン)'!L17*2+'第9章(セルオートマトン)'!M17</f>
        <v>5</v>
      </c>
      <c r="M18" s="6">
        <f>'第9章(セルオートマトン)'!L17*4+'第9章(セルオートマトン)'!M17*2+'第9章(セルオートマトン)'!N17</f>
        <v>2</v>
      </c>
      <c r="N18" s="6">
        <f>'第9章(セルオートマトン)'!M17*4+'第9章(セルオートマトン)'!N17*2+'第9章(セルオートマトン)'!O17</f>
        <v>5</v>
      </c>
      <c r="O18" s="6">
        <f>'第9章(セルオートマトン)'!N17*4+'第9章(セルオートマトン)'!O17*2+'第9章(セルオートマトン)'!P17</f>
        <v>2</v>
      </c>
      <c r="P18" s="6">
        <f>'第9章(セルオートマトン)'!O17*4+'第9章(セルオートマトン)'!P17*2+'第9章(セルオートマトン)'!Q17</f>
        <v>5</v>
      </c>
      <c r="Q18" s="6">
        <f>'第9章(セルオートマトン)'!P17*4+'第9章(セルオートマトン)'!Q17*2+'第9章(セルオートマトン)'!R17</f>
        <v>2</v>
      </c>
      <c r="R18" s="6">
        <f>'第9章(セルオートマトン)'!Q17*4+'第9章(セルオートマトン)'!R17*2+'第9章(セルオートマトン)'!S17</f>
        <v>5</v>
      </c>
      <c r="S18" s="6">
        <f>'第9章(セルオートマトン)'!R17*4+'第9章(セルオートマトン)'!S17*2+'第9章(セルオートマトン)'!T17</f>
        <v>2</v>
      </c>
      <c r="T18" s="6">
        <f>'第9章(セルオートマトン)'!S17*4+'第9章(セルオートマトン)'!T17*2+'第9章(セルオートマトン)'!U17</f>
        <v>5</v>
      </c>
      <c r="U18" s="6">
        <f>'第9章(セルオートマトン)'!T17*4+'第9章(セルオートマトン)'!U17*2+'第9章(セルオートマトン)'!V17</f>
        <v>2</v>
      </c>
      <c r="V18" s="6">
        <f>'第9章(セルオートマトン)'!U17*4+'第9章(セルオートマトン)'!V17*2+'第9章(セルオートマトン)'!W17</f>
        <v>5</v>
      </c>
      <c r="W18" s="6">
        <f>'第9章(セルオートマトン)'!V17*4+'第9章(セルオートマトン)'!W17*2+'第9章(セルオートマトン)'!X17</f>
        <v>2</v>
      </c>
      <c r="X18" s="6">
        <f>'第9章(セルオートマトン)'!W17*4+'第9章(セルオートマトン)'!X17*2+'第9章(セルオートマトン)'!Y17</f>
        <v>5</v>
      </c>
      <c r="Y18" s="6">
        <f>'第9章(セルオートマトン)'!X17*4+'第9章(セルオートマトン)'!Y17*2+'第9章(セルオートマトン)'!Z17</f>
        <v>3</v>
      </c>
      <c r="Z18" s="6">
        <f>'第9章(セルオートマトン)'!Y17*4+'第9章(セルオートマトン)'!Z17*2+'第9章(セルオートマトン)'!AA17</f>
        <v>7</v>
      </c>
    </row>
    <row r="19" spans="2:26" x14ac:dyDescent="0.15">
      <c r="B19" s="6">
        <f>'第9章(セルオートマトン)'!A18*4+'第9章(セルオートマトン)'!B18*2+'第9章(セルオートマトン)'!C18</f>
        <v>1</v>
      </c>
      <c r="C19" s="6">
        <f>'第9章(セルオートマトン)'!B18*4+'第9章(セルオートマトン)'!C18*2+'第9章(セルオートマトン)'!D18</f>
        <v>2</v>
      </c>
      <c r="D19" s="6">
        <f>'第9章(セルオートマトン)'!C18*4+'第9章(セルオートマトン)'!D18*2+'第9章(セルオートマトン)'!E18</f>
        <v>5</v>
      </c>
      <c r="E19" s="6">
        <f>'第9章(セルオートマトン)'!D18*4+'第9章(セルオートマトン)'!E18*2+'第9章(セルオートマトン)'!F18</f>
        <v>2</v>
      </c>
      <c r="F19" s="6">
        <f>'第9章(セルオートマトン)'!E18*4+'第9章(セルオートマトン)'!F18*2+'第9章(セルオートマトン)'!G18</f>
        <v>5</v>
      </c>
      <c r="G19" s="6">
        <f>'第9章(セルオートマトン)'!F18*4+'第9章(セルオートマトン)'!G18*2+'第9章(セルオートマトン)'!H18</f>
        <v>2</v>
      </c>
      <c r="H19" s="6">
        <f>'第9章(セルオートマトン)'!G18*4+'第9章(セルオートマトン)'!H18*2+'第9章(セルオートマトン)'!I18</f>
        <v>5</v>
      </c>
      <c r="I19" s="6">
        <f>'第9章(セルオートマトン)'!H18*4+'第9章(セルオートマトン)'!I18*2+'第9章(セルオートマトン)'!J18</f>
        <v>2</v>
      </c>
      <c r="J19" s="6">
        <f>'第9章(セルオートマトン)'!I18*4+'第9章(セルオートマトン)'!J18*2+'第9章(セルオートマトン)'!K18</f>
        <v>5</v>
      </c>
      <c r="K19" s="6">
        <f>'第9章(セルオートマトン)'!J18*4+'第9章(セルオートマトン)'!K18*2+'第9章(セルオートマトン)'!L18</f>
        <v>2</v>
      </c>
      <c r="L19" s="6">
        <f>'第9章(セルオートマトン)'!K18*4+'第9章(セルオートマトン)'!L18*2+'第9章(セルオートマトン)'!M18</f>
        <v>5</v>
      </c>
      <c r="M19" s="6">
        <f>'第9章(セルオートマトン)'!L18*4+'第9章(セルオートマトン)'!M18*2+'第9章(セルオートマトン)'!N18</f>
        <v>2</v>
      </c>
      <c r="N19" s="6">
        <f>'第9章(セルオートマトン)'!M18*4+'第9章(セルオートマトン)'!N18*2+'第9章(セルオートマトン)'!O18</f>
        <v>5</v>
      </c>
      <c r="O19" s="6">
        <f>'第9章(セルオートマトン)'!N18*4+'第9章(セルオートマトン)'!O18*2+'第9章(セルオートマトン)'!P18</f>
        <v>2</v>
      </c>
      <c r="P19" s="6">
        <f>'第9章(セルオートマトン)'!O18*4+'第9章(セルオートマトン)'!P18*2+'第9章(セルオートマトン)'!Q18</f>
        <v>5</v>
      </c>
      <c r="Q19" s="6">
        <f>'第9章(セルオートマトン)'!P18*4+'第9章(セルオートマトン)'!Q18*2+'第9章(セルオートマトン)'!R18</f>
        <v>2</v>
      </c>
      <c r="R19" s="6">
        <f>'第9章(セルオートマトン)'!Q18*4+'第9章(セルオートマトン)'!R18*2+'第9章(セルオートマトン)'!S18</f>
        <v>5</v>
      </c>
      <c r="S19" s="6">
        <f>'第9章(セルオートマトン)'!R18*4+'第9章(セルオートマトン)'!S18*2+'第9章(セルオートマトン)'!T18</f>
        <v>2</v>
      </c>
      <c r="T19" s="6">
        <f>'第9章(セルオートマトン)'!S18*4+'第9章(セルオートマトン)'!T18*2+'第9章(セルオートマトン)'!U18</f>
        <v>5</v>
      </c>
      <c r="U19" s="6">
        <f>'第9章(セルオートマトン)'!T18*4+'第9章(セルオートマトン)'!U18*2+'第9章(セルオートマトン)'!V18</f>
        <v>2</v>
      </c>
      <c r="V19" s="6">
        <f>'第9章(セルオートマトン)'!U18*4+'第9章(セルオートマトン)'!V18*2+'第9章(セルオートマトン)'!W18</f>
        <v>5</v>
      </c>
      <c r="W19" s="6">
        <f>'第9章(セルオートマトン)'!V18*4+'第9章(セルオートマトン)'!W18*2+'第9章(セルオートマトン)'!X18</f>
        <v>2</v>
      </c>
      <c r="X19" s="6">
        <f>'第9章(セルオートマトン)'!W18*4+'第9章(セルオートマトン)'!X18*2+'第9章(セルオートマトン)'!Y18</f>
        <v>5</v>
      </c>
      <c r="Y19" s="6">
        <f>'第9章(セルオートマトン)'!X18*4+'第9章(セルオートマトン)'!Y18*2+'第9章(セルオートマトン)'!Z18</f>
        <v>2</v>
      </c>
      <c r="Z19" s="6">
        <f>'第9章(セルオートマトン)'!Y18*4+'第9章(セルオートマトン)'!Z18*2+'第9章(セルオートマトン)'!AA18</f>
        <v>4</v>
      </c>
    </row>
    <row r="20" spans="2:26" x14ac:dyDescent="0.15">
      <c r="B20" s="6">
        <f>'第9章(セルオートマトン)'!A19*4+'第9章(セルオートマトン)'!B19*2+'第9章(セルオートマトン)'!C19</f>
        <v>7</v>
      </c>
      <c r="C20" s="6">
        <f>'第9章(セルオートマトン)'!B19*4+'第9章(セルオートマトン)'!C19*2+'第9章(セルオートマトン)'!D19</f>
        <v>6</v>
      </c>
      <c r="D20" s="6">
        <f>'第9章(セルオートマトン)'!C19*4+'第9章(セルオートマトン)'!D19*2+'第9章(セルオートマトン)'!E19</f>
        <v>5</v>
      </c>
      <c r="E20" s="6">
        <f>'第9章(セルオートマトン)'!D19*4+'第9章(セルオートマトン)'!E19*2+'第9章(セルオートマトン)'!F19</f>
        <v>2</v>
      </c>
      <c r="F20" s="6">
        <f>'第9章(セルオートマトン)'!E19*4+'第9章(セルオートマトン)'!F19*2+'第9章(セルオートマトン)'!G19</f>
        <v>5</v>
      </c>
      <c r="G20" s="6">
        <f>'第9章(セルオートマトン)'!F19*4+'第9章(セルオートマトン)'!G19*2+'第9章(セルオートマトン)'!H19</f>
        <v>2</v>
      </c>
      <c r="H20" s="6">
        <f>'第9章(セルオートマトン)'!G19*4+'第9章(セルオートマトン)'!H19*2+'第9章(セルオートマトン)'!I19</f>
        <v>5</v>
      </c>
      <c r="I20" s="6">
        <f>'第9章(セルオートマトン)'!H19*4+'第9章(セルオートマトン)'!I19*2+'第9章(セルオートマトン)'!J19</f>
        <v>2</v>
      </c>
      <c r="J20" s="6">
        <f>'第9章(セルオートマトン)'!I19*4+'第9章(セルオートマトン)'!J19*2+'第9章(セルオートマトン)'!K19</f>
        <v>5</v>
      </c>
      <c r="K20" s="6">
        <f>'第9章(セルオートマトン)'!J19*4+'第9章(セルオートマトン)'!K19*2+'第9章(セルオートマトン)'!L19</f>
        <v>2</v>
      </c>
      <c r="L20" s="6">
        <f>'第9章(セルオートマトン)'!K19*4+'第9章(セルオートマトン)'!L19*2+'第9章(セルオートマトン)'!M19</f>
        <v>5</v>
      </c>
      <c r="M20" s="6">
        <f>'第9章(セルオートマトン)'!L19*4+'第9章(セルオートマトン)'!M19*2+'第9章(セルオートマトン)'!N19</f>
        <v>2</v>
      </c>
      <c r="N20" s="6">
        <f>'第9章(セルオートマトン)'!M19*4+'第9章(セルオートマトン)'!N19*2+'第9章(セルオートマトン)'!O19</f>
        <v>5</v>
      </c>
      <c r="O20" s="6">
        <f>'第9章(セルオートマトン)'!N19*4+'第9章(セルオートマトン)'!O19*2+'第9章(セルオートマトン)'!P19</f>
        <v>2</v>
      </c>
      <c r="P20" s="6">
        <f>'第9章(セルオートマトン)'!O19*4+'第9章(セルオートマトン)'!P19*2+'第9章(セルオートマトン)'!Q19</f>
        <v>5</v>
      </c>
      <c r="Q20" s="6">
        <f>'第9章(セルオートマトン)'!P19*4+'第9章(セルオートマトン)'!Q19*2+'第9章(セルオートマトン)'!R19</f>
        <v>2</v>
      </c>
      <c r="R20" s="6">
        <f>'第9章(セルオートマトン)'!Q19*4+'第9章(セルオートマトン)'!R19*2+'第9章(セルオートマトン)'!S19</f>
        <v>5</v>
      </c>
      <c r="S20" s="6">
        <f>'第9章(セルオートマトン)'!R19*4+'第9章(セルオートマトン)'!S19*2+'第9章(セルオートマトン)'!T19</f>
        <v>2</v>
      </c>
      <c r="T20" s="6">
        <f>'第9章(セルオートマトン)'!S19*4+'第9章(セルオートマトン)'!T19*2+'第9章(セルオートマトン)'!U19</f>
        <v>5</v>
      </c>
      <c r="U20" s="6">
        <f>'第9章(セルオートマトン)'!T19*4+'第9章(セルオートマトン)'!U19*2+'第9章(セルオートマトン)'!V19</f>
        <v>2</v>
      </c>
      <c r="V20" s="6">
        <f>'第9章(セルオートマトン)'!U19*4+'第9章(セルオートマトン)'!V19*2+'第9章(セルオートマトン)'!W19</f>
        <v>5</v>
      </c>
      <c r="W20" s="6">
        <f>'第9章(セルオートマトン)'!V19*4+'第9章(セルオートマトン)'!W19*2+'第9章(セルオートマトン)'!X19</f>
        <v>2</v>
      </c>
      <c r="X20" s="6">
        <f>'第9章(セルオートマトン)'!W19*4+'第9章(セルオートマトン)'!X19*2+'第9章(セルオートマトン)'!Y19</f>
        <v>5</v>
      </c>
      <c r="Y20" s="6">
        <f>'第9章(セルオートマトン)'!X19*4+'第9章(セルオートマトン)'!Y19*2+'第9章(セルオートマトン)'!Z19</f>
        <v>3</v>
      </c>
      <c r="Z20" s="6">
        <f>'第9章(セルオートマトン)'!Y19*4+'第9章(セルオートマトン)'!Z19*2+'第9章(セルオートマトン)'!AA19</f>
        <v>7</v>
      </c>
    </row>
    <row r="21" spans="2:26" x14ac:dyDescent="0.15">
      <c r="B21" s="6">
        <f>'第9章(セルオートマトン)'!A20*4+'第9章(セルオートマトン)'!B20*2+'第9章(セルオートマトン)'!C20</f>
        <v>1</v>
      </c>
      <c r="C21" s="6">
        <f>'第9章(セルオートマトン)'!B20*4+'第9章(セルオートマトン)'!C20*2+'第9章(セルオートマトン)'!D20</f>
        <v>2</v>
      </c>
      <c r="D21" s="6">
        <f>'第9章(セルオートマトン)'!C20*4+'第9章(セルオートマトン)'!D20*2+'第9章(セルオートマトン)'!E20</f>
        <v>5</v>
      </c>
      <c r="E21" s="6">
        <f>'第9章(セルオートマトン)'!D20*4+'第9章(セルオートマトン)'!E20*2+'第9章(セルオートマトン)'!F20</f>
        <v>2</v>
      </c>
      <c r="F21" s="6">
        <f>'第9章(セルオートマトン)'!E20*4+'第9章(セルオートマトン)'!F20*2+'第9章(セルオートマトン)'!G20</f>
        <v>5</v>
      </c>
      <c r="G21" s="6">
        <f>'第9章(セルオートマトン)'!F20*4+'第9章(セルオートマトン)'!G20*2+'第9章(セルオートマトン)'!H20</f>
        <v>2</v>
      </c>
      <c r="H21" s="6">
        <f>'第9章(セルオートマトン)'!G20*4+'第9章(セルオートマトン)'!H20*2+'第9章(セルオートマトン)'!I20</f>
        <v>5</v>
      </c>
      <c r="I21" s="6">
        <f>'第9章(セルオートマトン)'!H20*4+'第9章(セルオートマトン)'!I20*2+'第9章(セルオートマトン)'!J20</f>
        <v>2</v>
      </c>
      <c r="J21" s="6">
        <f>'第9章(セルオートマトン)'!I20*4+'第9章(セルオートマトン)'!J20*2+'第9章(セルオートマトン)'!K20</f>
        <v>5</v>
      </c>
      <c r="K21" s="6">
        <f>'第9章(セルオートマトン)'!J20*4+'第9章(セルオートマトン)'!K20*2+'第9章(セルオートマトン)'!L20</f>
        <v>2</v>
      </c>
      <c r="L21" s="6">
        <f>'第9章(セルオートマトン)'!K20*4+'第9章(セルオートマトン)'!L20*2+'第9章(セルオートマトン)'!M20</f>
        <v>5</v>
      </c>
      <c r="M21" s="6">
        <f>'第9章(セルオートマトン)'!L20*4+'第9章(セルオートマトン)'!M20*2+'第9章(セルオートマトン)'!N20</f>
        <v>2</v>
      </c>
      <c r="N21" s="6">
        <f>'第9章(セルオートマトン)'!M20*4+'第9章(セルオートマトン)'!N20*2+'第9章(セルオートマトン)'!O20</f>
        <v>5</v>
      </c>
      <c r="O21" s="6">
        <f>'第9章(セルオートマトン)'!N20*4+'第9章(セルオートマトン)'!O20*2+'第9章(セルオートマトン)'!P20</f>
        <v>2</v>
      </c>
      <c r="P21" s="6">
        <f>'第9章(セルオートマトン)'!O20*4+'第9章(セルオートマトン)'!P20*2+'第9章(セルオートマトン)'!Q20</f>
        <v>5</v>
      </c>
      <c r="Q21" s="6">
        <f>'第9章(セルオートマトン)'!P20*4+'第9章(セルオートマトン)'!Q20*2+'第9章(セルオートマトン)'!R20</f>
        <v>2</v>
      </c>
      <c r="R21" s="6">
        <f>'第9章(セルオートマトン)'!Q20*4+'第9章(セルオートマトン)'!R20*2+'第9章(セルオートマトン)'!S20</f>
        <v>5</v>
      </c>
      <c r="S21" s="6">
        <f>'第9章(セルオートマトン)'!R20*4+'第9章(セルオートマトン)'!S20*2+'第9章(セルオートマトン)'!T20</f>
        <v>2</v>
      </c>
      <c r="T21" s="6">
        <f>'第9章(セルオートマトン)'!S20*4+'第9章(セルオートマトン)'!T20*2+'第9章(セルオートマトン)'!U20</f>
        <v>5</v>
      </c>
      <c r="U21" s="6">
        <f>'第9章(セルオートマトン)'!T20*4+'第9章(セルオートマトン)'!U20*2+'第9章(セルオートマトン)'!V20</f>
        <v>2</v>
      </c>
      <c r="V21" s="6">
        <f>'第9章(セルオートマトン)'!U20*4+'第9章(セルオートマトン)'!V20*2+'第9章(セルオートマトン)'!W20</f>
        <v>5</v>
      </c>
      <c r="W21" s="6">
        <f>'第9章(セルオートマトン)'!V20*4+'第9章(セルオートマトン)'!W20*2+'第9章(セルオートマトン)'!X20</f>
        <v>2</v>
      </c>
      <c r="X21" s="6">
        <f>'第9章(セルオートマトン)'!W20*4+'第9章(セルオートマトン)'!X20*2+'第9章(セルオートマトン)'!Y20</f>
        <v>5</v>
      </c>
      <c r="Y21" s="6">
        <f>'第9章(セルオートマトン)'!X20*4+'第9章(セルオートマトン)'!Y20*2+'第9章(セルオートマトン)'!Z20</f>
        <v>2</v>
      </c>
      <c r="Z21" s="6">
        <f>'第9章(セルオートマトン)'!Y20*4+'第9章(セルオートマトン)'!Z20*2+'第9章(セルオートマトン)'!AA20</f>
        <v>4</v>
      </c>
    </row>
    <row r="22" spans="2:26" x14ac:dyDescent="0.15">
      <c r="B22" s="6">
        <f>'第9章(セルオートマトン)'!A21*4+'第9章(セルオートマトン)'!B21*2+'第9章(セルオートマトン)'!C21</f>
        <v>7</v>
      </c>
      <c r="C22" s="6">
        <f>'第9章(セルオートマトン)'!B21*4+'第9章(セルオートマトン)'!C21*2+'第9章(セルオートマトン)'!D21</f>
        <v>6</v>
      </c>
      <c r="D22" s="6">
        <f>'第9章(セルオートマトン)'!C21*4+'第9章(セルオートマトン)'!D21*2+'第9章(セルオートマトン)'!E21</f>
        <v>5</v>
      </c>
      <c r="E22" s="6">
        <f>'第9章(セルオートマトン)'!D21*4+'第9章(セルオートマトン)'!E21*2+'第9章(セルオートマトン)'!F21</f>
        <v>2</v>
      </c>
      <c r="F22" s="6">
        <f>'第9章(セルオートマトン)'!E21*4+'第9章(セルオートマトン)'!F21*2+'第9章(セルオートマトン)'!G21</f>
        <v>5</v>
      </c>
      <c r="G22" s="6">
        <f>'第9章(セルオートマトン)'!F21*4+'第9章(セルオートマトン)'!G21*2+'第9章(セルオートマトン)'!H21</f>
        <v>2</v>
      </c>
      <c r="H22" s="6">
        <f>'第9章(セルオートマトン)'!G21*4+'第9章(セルオートマトン)'!H21*2+'第9章(セルオートマトン)'!I21</f>
        <v>5</v>
      </c>
      <c r="I22" s="6">
        <f>'第9章(セルオートマトン)'!H21*4+'第9章(セルオートマトン)'!I21*2+'第9章(セルオートマトン)'!J21</f>
        <v>2</v>
      </c>
      <c r="J22" s="6">
        <f>'第9章(セルオートマトン)'!I21*4+'第9章(セルオートマトン)'!J21*2+'第9章(セルオートマトン)'!K21</f>
        <v>5</v>
      </c>
      <c r="K22" s="6">
        <f>'第9章(セルオートマトン)'!J21*4+'第9章(セルオートマトン)'!K21*2+'第9章(セルオートマトン)'!L21</f>
        <v>2</v>
      </c>
      <c r="L22" s="6">
        <f>'第9章(セルオートマトン)'!K21*4+'第9章(セルオートマトン)'!L21*2+'第9章(セルオートマトン)'!M21</f>
        <v>5</v>
      </c>
      <c r="M22" s="6">
        <f>'第9章(セルオートマトン)'!L21*4+'第9章(セルオートマトン)'!M21*2+'第9章(セルオートマトン)'!N21</f>
        <v>2</v>
      </c>
      <c r="N22" s="6">
        <f>'第9章(セルオートマトン)'!M21*4+'第9章(セルオートマトン)'!N21*2+'第9章(セルオートマトン)'!O21</f>
        <v>5</v>
      </c>
      <c r="O22" s="6">
        <f>'第9章(セルオートマトン)'!N21*4+'第9章(セルオートマトン)'!O21*2+'第9章(セルオートマトン)'!P21</f>
        <v>2</v>
      </c>
      <c r="P22" s="6">
        <f>'第9章(セルオートマトン)'!O21*4+'第9章(セルオートマトン)'!P21*2+'第9章(セルオートマトン)'!Q21</f>
        <v>5</v>
      </c>
      <c r="Q22" s="6">
        <f>'第9章(セルオートマトン)'!P21*4+'第9章(セルオートマトン)'!Q21*2+'第9章(セルオートマトン)'!R21</f>
        <v>2</v>
      </c>
      <c r="R22" s="6">
        <f>'第9章(セルオートマトン)'!Q21*4+'第9章(セルオートマトン)'!R21*2+'第9章(セルオートマトン)'!S21</f>
        <v>5</v>
      </c>
      <c r="S22" s="6">
        <f>'第9章(セルオートマトン)'!R21*4+'第9章(セルオートマトン)'!S21*2+'第9章(セルオートマトン)'!T21</f>
        <v>2</v>
      </c>
      <c r="T22" s="6">
        <f>'第9章(セルオートマトン)'!S21*4+'第9章(セルオートマトン)'!T21*2+'第9章(セルオートマトン)'!U21</f>
        <v>5</v>
      </c>
      <c r="U22" s="6">
        <f>'第9章(セルオートマトン)'!T21*4+'第9章(セルオートマトン)'!U21*2+'第9章(セルオートマトン)'!V21</f>
        <v>2</v>
      </c>
      <c r="V22" s="6">
        <f>'第9章(セルオートマトン)'!U21*4+'第9章(セルオートマトン)'!V21*2+'第9章(セルオートマトン)'!W21</f>
        <v>5</v>
      </c>
      <c r="W22" s="6">
        <f>'第9章(セルオートマトン)'!V21*4+'第9章(セルオートマトン)'!W21*2+'第9章(セルオートマトン)'!X21</f>
        <v>2</v>
      </c>
      <c r="X22" s="6">
        <f>'第9章(セルオートマトン)'!W21*4+'第9章(セルオートマトン)'!X21*2+'第9章(セルオートマトン)'!Y21</f>
        <v>5</v>
      </c>
      <c r="Y22" s="6">
        <f>'第9章(セルオートマトン)'!X21*4+'第9章(セルオートマトン)'!Y21*2+'第9章(セルオートマトン)'!Z21</f>
        <v>3</v>
      </c>
      <c r="Z22" s="6">
        <f>'第9章(セルオートマトン)'!Y21*4+'第9章(セルオートマトン)'!Z21*2+'第9章(セルオートマトン)'!AA21</f>
        <v>7</v>
      </c>
    </row>
    <row r="23" spans="2:26" x14ac:dyDescent="0.15">
      <c r="B23" s="6">
        <f>'第9章(セルオートマトン)'!A22*4+'第9章(セルオートマトン)'!B22*2+'第9章(セルオートマトン)'!C22</f>
        <v>1</v>
      </c>
      <c r="C23" s="6">
        <f>'第9章(セルオートマトン)'!B22*4+'第9章(セルオートマトン)'!C22*2+'第9章(セルオートマトン)'!D22</f>
        <v>2</v>
      </c>
      <c r="D23" s="6">
        <f>'第9章(セルオートマトン)'!C22*4+'第9章(セルオートマトン)'!D22*2+'第9章(セルオートマトン)'!E22</f>
        <v>5</v>
      </c>
      <c r="E23" s="6">
        <f>'第9章(セルオートマトン)'!D22*4+'第9章(セルオートマトン)'!E22*2+'第9章(セルオートマトン)'!F22</f>
        <v>2</v>
      </c>
      <c r="F23" s="6">
        <f>'第9章(セルオートマトン)'!E22*4+'第9章(セルオートマトン)'!F22*2+'第9章(セルオートマトン)'!G22</f>
        <v>5</v>
      </c>
      <c r="G23" s="6">
        <f>'第9章(セルオートマトン)'!F22*4+'第9章(セルオートマトン)'!G22*2+'第9章(セルオートマトン)'!H22</f>
        <v>2</v>
      </c>
      <c r="H23" s="6">
        <f>'第9章(セルオートマトン)'!G22*4+'第9章(セルオートマトン)'!H22*2+'第9章(セルオートマトン)'!I22</f>
        <v>5</v>
      </c>
      <c r="I23" s="6">
        <f>'第9章(セルオートマトン)'!H22*4+'第9章(セルオートマトン)'!I22*2+'第9章(セルオートマトン)'!J22</f>
        <v>2</v>
      </c>
      <c r="J23" s="6">
        <f>'第9章(セルオートマトン)'!I22*4+'第9章(セルオートマトン)'!J22*2+'第9章(セルオートマトン)'!K22</f>
        <v>5</v>
      </c>
      <c r="K23" s="6">
        <f>'第9章(セルオートマトン)'!J22*4+'第9章(セルオートマトン)'!K22*2+'第9章(セルオートマトン)'!L22</f>
        <v>2</v>
      </c>
      <c r="L23" s="6">
        <f>'第9章(セルオートマトン)'!K22*4+'第9章(セルオートマトン)'!L22*2+'第9章(セルオートマトン)'!M22</f>
        <v>5</v>
      </c>
      <c r="M23" s="6">
        <f>'第9章(セルオートマトン)'!L22*4+'第9章(セルオートマトン)'!M22*2+'第9章(セルオートマトン)'!N22</f>
        <v>2</v>
      </c>
      <c r="N23" s="6">
        <f>'第9章(セルオートマトン)'!M22*4+'第9章(セルオートマトン)'!N22*2+'第9章(セルオートマトン)'!O22</f>
        <v>5</v>
      </c>
      <c r="O23" s="6">
        <f>'第9章(セルオートマトン)'!N22*4+'第9章(セルオートマトン)'!O22*2+'第9章(セルオートマトン)'!P22</f>
        <v>2</v>
      </c>
      <c r="P23" s="6">
        <f>'第9章(セルオートマトン)'!O22*4+'第9章(セルオートマトン)'!P22*2+'第9章(セルオートマトン)'!Q22</f>
        <v>5</v>
      </c>
      <c r="Q23" s="6">
        <f>'第9章(セルオートマトン)'!P22*4+'第9章(セルオートマトン)'!Q22*2+'第9章(セルオートマトン)'!R22</f>
        <v>2</v>
      </c>
      <c r="R23" s="6">
        <f>'第9章(セルオートマトン)'!Q22*4+'第9章(セルオートマトン)'!R22*2+'第9章(セルオートマトン)'!S22</f>
        <v>5</v>
      </c>
      <c r="S23" s="6">
        <f>'第9章(セルオートマトン)'!R22*4+'第9章(セルオートマトン)'!S22*2+'第9章(セルオートマトン)'!T22</f>
        <v>2</v>
      </c>
      <c r="T23" s="6">
        <f>'第9章(セルオートマトン)'!S22*4+'第9章(セルオートマトン)'!T22*2+'第9章(セルオートマトン)'!U22</f>
        <v>5</v>
      </c>
      <c r="U23" s="6">
        <f>'第9章(セルオートマトン)'!T22*4+'第9章(セルオートマトン)'!U22*2+'第9章(セルオートマトン)'!V22</f>
        <v>2</v>
      </c>
      <c r="V23" s="6">
        <f>'第9章(セルオートマトン)'!U22*4+'第9章(セルオートマトン)'!V22*2+'第9章(セルオートマトン)'!W22</f>
        <v>5</v>
      </c>
      <c r="W23" s="6">
        <f>'第9章(セルオートマトン)'!V22*4+'第9章(セルオートマトン)'!W22*2+'第9章(セルオートマトン)'!X22</f>
        <v>2</v>
      </c>
      <c r="X23" s="6">
        <f>'第9章(セルオートマトン)'!W22*4+'第9章(セルオートマトン)'!X22*2+'第9章(セルオートマトン)'!Y22</f>
        <v>5</v>
      </c>
      <c r="Y23" s="6">
        <f>'第9章(セルオートマトン)'!X22*4+'第9章(セルオートマトン)'!Y22*2+'第9章(セルオートマトン)'!Z22</f>
        <v>2</v>
      </c>
      <c r="Z23" s="6">
        <f>'第9章(セルオートマトン)'!Y22*4+'第9章(セルオートマトン)'!Z22*2+'第9章(セルオートマトン)'!AA22</f>
        <v>4</v>
      </c>
    </row>
    <row r="24" spans="2:26" x14ac:dyDescent="0.15">
      <c r="B24" s="6">
        <f>'第9章(セルオートマトン)'!A23*4+'第9章(セルオートマトン)'!B23*2+'第9章(セルオートマトン)'!C23</f>
        <v>7</v>
      </c>
      <c r="C24" s="6">
        <f>'第9章(セルオートマトン)'!B23*4+'第9章(セルオートマトン)'!C23*2+'第9章(セルオートマトン)'!D23</f>
        <v>6</v>
      </c>
      <c r="D24" s="6">
        <f>'第9章(セルオートマトン)'!C23*4+'第9章(セルオートマトン)'!D23*2+'第9章(セルオートマトン)'!E23</f>
        <v>5</v>
      </c>
      <c r="E24" s="6">
        <f>'第9章(セルオートマトン)'!D23*4+'第9章(セルオートマトン)'!E23*2+'第9章(セルオートマトン)'!F23</f>
        <v>2</v>
      </c>
      <c r="F24" s="6">
        <f>'第9章(セルオートマトン)'!E23*4+'第9章(セルオートマトン)'!F23*2+'第9章(セルオートマトン)'!G23</f>
        <v>5</v>
      </c>
      <c r="G24" s="6">
        <f>'第9章(セルオートマトン)'!F23*4+'第9章(セルオートマトン)'!G23*2+'第9章(セルオートマトン)'!H23</f>
        <v>2</v>
      </c>
      <c r="H24" s="6">
        <f>'第9章(セルオートマトン)'!G23*4+'第9章(セルオートマトン)'!H23*2+'第9章(セルオートマトン)'!I23</f>
        <v>5</v>
      </c>
      <c r="I24" s="6">
        <f>'第9章(セルオートマトン)'!H23*4+'第9章(セルオートマトン)'!I23*2+'第9章(セルオートマトン)'!J23</f>
        <v>2</v>
      </c>
      <c r="J24" s="6">
        <f>'第9章(セルオートマトン)'!I23*4+'第9章(セルオートマトン)'!J23*2+'第9章(セルオートマトン)'!K23</f>
        <v>5</v>
      </c>
      <c r="K24" s="6">
        <f>'第9章(セルオートマトン)'!J23*4+'第9章(セルオートマトン)'!K23*2+'第9章(セルオートマトン)'!L23</f>
        <v>2</v>
      </c>
      <c r="L24" s="6">
        <f>'第9章(セルオートマトン)'!K23*4+'第9章(セルオートマトン)'!L23*2+'第9章(セルオートマトン)'!M23</f>
        <v>5</v>
      </c>
      <c r="M24" s="6">
        <f>'第9章(セルオートマトン)'!L23*4+'第9章(セルオートマトン)'!M23*2+'第9章(セルオートマトン)'!N23</f>
        <v>2</v>
      </c>
      <c r="N24" s="6">
        <f>'第9章(セルオートマトン)'!M23*4+'第9章(セルオートマトン)'!N23*2+'第9章(セルオートマトン)'!O23</f>
        <v>5</v>
      </c>
      <c r="O24" s="6">
        <f>'第9章(セルオートマトン)'!N23*4+'第9章(セルオートマトン)'!O23*2+'第9章(セルオートマトン)'!P23</f>
        <v>2</v>
      </c>
      <c r="P24" s="6">
        <f>'第9章(セルオートマトン)'!O23*4+'第9章(セルオートマトン)'!P23*2+'第9章(セルオートマトン)'!Q23</f>
        <v>5</v>
      </c>
      <c r="Q24" s="6">
        <f>'第9章(セルオートマトン)'!P23*4+'第9章(セルオートマトン)'!Q23*2+'第9章(セルオートマトン)'!R23</f>
        <v>2</v>
      </c>
      <c r="R24" s="6">
        <f>'第9章(セルオートマトン)'!Q23*4+'第9章(セルオートマトン)'!R23*2+'第9章(セルオートマトン)'!S23</f>
        <v>5</v>
      </c>
      <c r="S24" s="6">
        <f>'第9章(セルオートマトン)'!R23*4+'第9章(セルオートマトン)'!S23*2+'第9章(セルオートマトン)'!T23</f>
        <v>2</v>
      </c>
      <c r="T24" s="6">
        <f>'第9章(セルオートマトン)'!S23*4+'第9章(セルオートマトン)'!T23*2+'第9章(セルオートマトン)'!U23</f>
        <v>5</v>
      </c>
      <c r="U24" s="6">
        <f>'第9章(セルオートマトン)'!T23*4+'第9章(セルオートマトン)'!U23*2+'第9章(セルオートマトン)'!V23</f>
        <v>2</v>
      </c>
      <c r="V24" s="6">
        <f>'第9章(セルオートマトン)'!U23*4+'第9章(セルオートマトン)'!V23*2+'第9章(セルオートマトン)'!W23</f>
        <v>5</v>
      </c>
      <c r="W24" s="6">
        <f>'第9章(セルオートマトン)'!V23*4+'第9章(セルオートマトン)'!W23*2+'第9章(セルオートマトン)'!X23</f>
        <v>2</v>
      </c>
      <c r="X24" s="6">
        <f>'第9章(セルオートマトン)'!W23*4+'第9章(セルオートマトン)'!X23*2+'第9章(セルオートマトン)'!Y23</f>
        <v>5</v>
      </c>
      <c r="Y24" s="6">
        <f>'第9章(セルオートマトン)'!X23*4+'第9章(セルオートマトン)'!Y23*2+'第9章(セルオートマトン)'!Z23</f>
        <v>3</v>
      </c>
      <c r="Z24" s="6">
        <f>'第9章(セルオートマトン)'!Y23*4+'第9章(セルオートマトン)'!Z23*2+'第9章(セルオートマトン)'!AA23</f>
        <v>7</v>
      </c>
    </row>
    <row r="25" spans="2:26" x14ac:dyDescent="0.15">
      <c r="B25" s="6">
        <f>'第9章(セルオートマトン)'!A24*4+'第9章(セルオートマトン)'!B24*2+'第9章(セルオートマトン)'!C24</f>
        <v>1</v>
      </c>
      <c r="C25" s="6">
        <f>'第9章(セルオートマトン)'!B24*4+'第9章(セルオートマトン)'!C24*2+'第9章(セルオートマトン)'!D24</f>
        <v>2</v>
      </c>
      <c r="D25" s="6">
        <f>'第9章(セルオートマトン)'!C24*4+'第9章(セルオートマトン)'!D24*2+'第9章(セルオートマトン)'!E24</f>
        <v>5</v>
      </c>
      <c r="E25" s="6">
        <f>'第9章(セルオートマトン)'!D24*4+'第9章(セルオートマトン)'!E24*2+'第9章(セルオートマトン)'!F24</f>
        <v>2</v>
      </c>
      <c r="F25" s="6">
        <f>'第9章(セルオートマトン)'!E24*4+'第9章(セルオートマトン)'!F24*2+'第9章(セルオートマトン)'!G24</f>
        <v>5</v>
      </c>
      <c r="G25" s="6">
        <f>'第9章(セルオートマトン)'!F24*4+'第9章(セルオートマトン)'!G24*2+'第9章(セルオートマトン)'!H24</f>
        <v>2</v>
      </c>
      <c r="H25" s="6">
        <f>'第9章(セルオートマトン)'!G24*4+'第9章(セルオートマトン)'!H24*2+'第9章(セルオートマトン)'!I24</f>
        <v>5</v>
      </c>
      <c r="I25" s="6">
        <f>'第9章(セルオートマトン)'!H24*4+'第9章(セルオートマトン)'!I24*2+'第9章(セルオートマトン)'!J24</f>
        <v>2</v>
      </c>
      <c r="J25" s="6">
        <f>'第9章(セルオートマトン)'!I24*4+'第9章(セルオートマトン)'!J24*2+'第9章(セルオートマトン)'!K24</f>
        <v>5</v>
      </c>
      <c r="K25" s="6">
        <f>'第9章(セルオートマトン)'!J24*4+'第9章(セルオートマトン)'!K24*2+'第9章(セルオートマトン)'!L24</f>
        <v>2</v>
      </c>
      <c r="L25" s="6">
        <f>'第9章(セルオートマトン)'!K24*4+'第9章(セルオートマトン)'!L24*2+'第9章(セルオートマトン)'!M24</f>
        <v>5</v>
      </c>
      <c r="M25" s="6">
        <f>'第9章(セルオートマトン)'!L24*4+'第9章(セルオートマトン)'!M24*2+'第9章(セルオートマトン)'!N24</f>
        <v>2</v>
      </c>
      <c r="N25" s="6">
        <f>'第9章(セルオートマトン)'!M24*4+'第9章(セルオートマトン)'!N24*2+'第9章(セルオートマトン)'!O24</f>
        <v>5</v>
      </c>
      <c r="O25" s="6">
        <f>'第9章(セルオートマトン)'!N24*4+'第9章(セルオートマトン)'!O24*2+'第9章(セルオートマトン)'!P24</f>
        <v>2</v>
      </c>
      <c r="P25" s="6">
        <f>'第9章(セルオートマトン)'!O24*4+'第9章(セルオートマトン)'!P24*2+'第9章(セルオートマトン)'!Q24</f>
        <v>5</v>
      </c>
      <c r="Q25" s="6">
        <f>'第9章(セルオートマトン)'!P24*4+'第9章(セルオートマトン)'!Q24*2+'第9章(セルオートマトン)'!R24</f>
        <v>2</v>
      </c>
      <c r="R25" s="6">
        <f>'第9章(セルオートマトン)'!Q24*4+'第9章(セルオートマトン)'!R24*2+'第9章(セルオートマトン)'!S24</f>
        <v>5</v>
      </c>
      <c r="S25" s="6">
        <f>'第9章(セルオートマトン)'!R24*4+'第9章(セルオートマトン)'!S24*2+'第9章(セルオートマトン)'!T24</f>
        <v>2</v>
      </c>
      <c r="T25" s="6">
        <f>'第9章(セルオートマトン)'!S24*4+'第9章(セルオートマトン)'!T24*2+'第9章(セルオートマトン)'!U24</f>
        <v>5</v>
      </c>
      <c r="U25" s="6">
        <f>'第9章(セルオートマトン)'!T24*4+'第9章(セルオートマトン)'!U24*2+'第9章(セルオートマトン)'!V24</f>
        <v>2</v>
      </c>
      <c r="V25" s="6">
        <f>'第9章(セルオートマトン)'!U24*4+'第9章(セルオートマトン)'!V24*2+'第9章(セルオートマトン)'!W24</f>
        <v>5</v>
      </c>
      <c r="W25" s="6">
        <f>'第9章(セルオートマトン)'!V24*4+'第9章(セルオートマトン)'!W24*2+'第9章(セルオートマトン)'!X24</f>
        <v>2</v>
      </c>
      <c r="X25" s="6">
        <f>'第9章(セルオートマトン)'!W24*4+'第9章(セルオートマトン)'!X24*2+'第9章(セルオートマトン)'!Y24</f>
        <v>5</v>
      </c>
      <c r="Y25" s="6">
        <f>'第9章(セルオートマトン)'!X24*4+'第9章(セルオートマトン)'!Y24*2+'第9章(セルオートマトン)'!Z24</f>
        <v>2</v>
      </c>
      <c r="Z25" s="6">
        <f>'第9章(セルオートマトン)'!Y24*4+'第9章(セルオートマトン)'!Z24*2+'第9章(セルオートマトン)'!AA24</f>
        <v>4</v>
      </c>
    </row>
    <row r="26" spans="2:26" x14ac:dyDescent="0.15">
      <c r="B26" s="6">
        <f>'第9章(セルオートマトン)'!A25*4+'第9章(セルオートマトン)'!B25*2+'第9章(セルオートマトン)'!C25</f>
        <v>7</v>
      </c>
      <c r="C26" s="6">
        <f>'第9章(セルオートマトン)'!B25*4+'第9章(セルオートマトン)'!C25*2+'第9章(セルオートマトン)'!D25</f>
        <v>6</v>
      </c>
      <c r="D26" s="6">
        <f>'第9章(セルオートマトン)'!C25*4+'第9章(セルオートマトン)'!D25*2+'第9章(セルオートマトン)'!E25</f>
        <v>5</v>
      </c>
      <c r="E26" s="6">
        <f>'第9章(セルオートマトン)'!D25*4+'第9章(セルオートマトン)'!E25*2+'第9章(セルオートマトン)'!F25</f>
        <v>2</v>
      </c>
      <c r="F26" s="6">
        <f>'第9章(セルオートマトン)'!E25*4+'第9章(セルオートマトン)'!F25*2+'第9章(セルオートマトン)'!G25</f>
        <v>5</v>
      </c>
      <c r="G26" s="6">
        <f>'第9章(セルオートマトン)'!F25*4+'第9章(セルオートマトン)'!G25*2+'第9章(セルオートマトン)'!H25</f>
        <v>2</v>
      </c>
      <c r="H26" s="6">
        <f>'第9章(セルオートマトン)'!G25*4+'第9章(セルオートマトン)'!H25*2+'第9章(セルオートマトン)'!I25</f>
        <v>5</v>
      </c>
      <c r="I26" s="6">
        <f>'第9章(セルオートマトン)'!H25*4+'第9章(セルオートマトン)'!I25*2+'第9章(セルオートマトン)'!J25</f>
        <v>2</v>
      </c>
      <c r="J26" s="6">
        <f>'第9章(セルオートマトン)'!I25*4+'第9章(セルオートマトン)'!J25*2+'第9章(セルオートマトン)'!K25</f>
        <v>5</v>
      </c>
      <c r="K26" s="6">
        <f>'第9章(セルオートマトン)'!J25*4+'第9章(セルオートマトン)'!K25*2+'第9章(セルオートマトン)'!L25</f>
        <v>2</v>
      </c>
      <c r="L26" s="6">
        <f>'第9章(セルオートマトン)'!K25*4+'第9章(セルオートマトン)'!L25*2+'第9章(セルオートマトン)'!M25</f>
        <v>5</v>
      </c>
      <c r="M26" s="6">
        <f>'第9章(セルオートマトン)'!L25*4+'第9章(セルオートマトン)'!M25*2+'第9章(セルオートマトン)'!N25</f>
        <v>2</v>
      </c>
      <c r="N26" s="6">
        <f>'第9章(セルオートマトン)'!M25*4+'第9章(セルオートマトン)'!N25*2+'第9章(セルオートマトン)'!O25</f>
        <v>5</v>
      </c>
      <c r="O26" s="6">
        <f>'第9章(セルオートマトン)'!N25*4+'第9章(セルオートマトン)'!O25*2+'第9章(セルオートマトン)'!P25</f>
        <v>2</v>
      </c>
      <c r="P26" s="6">
        <f>'第9章(セルオートマトン)'!O25*4+'第9章(セルオートマトン)'!P25*2+'第9章(セルオートマトン)'!Q25</f>
        <v>5</v>
      </c>
      <c r="Q26" s="6">
        <f>'第9章(セルオートマトン)'!P25*4+'第9章(セルオートマトン)'!Q25*2+'第9章(セルオートマトン)'!R25</f>
        <v>2</v>
      </c>
      <c r="R26" s="6">
        <f>'第9章(セルオートマトン)'!Q25*4+'第9章(セルオートマトン)'!R25*2+'第9章(セルオートマトン)'!S25</f>
        <v>5</v>
      </c>
      <c r="S26" s="6">
        <f>'第9章(セルオートマトン)'!R25*4+'第9章(セルオートマトン)'!S25*2+'第9章(セルオートマトン)'!T25</f>
        <v>2</v>
      </c>
      <c r="T26" s="6">
        <f>'第9章(セルオートマトン)'!S25*4+'第9章(セルオートマトン)'!T25*2+'第9章(セルオートマトン)'!U25</f>
        <v>5</v>
      </c>
      <c r="U26" s="6">
        <f>'第9章(セルオートマトン)'!T25*4+'第9章(セルオートマトン)'!U25*2+'第9章(セルオートマトン)'!V25</f>
        <v>2</v>
      </c>
      <c r="V26" s="6">
        <f>'第9章(セルオートマトン)'!U25*4+'第9章(セルオートマトン)'!V25*2+'第9章(セルオートマトン)'!W25</f>
        <v>5</v>
      </c>
      <c r="W26" s="6">
        <f>'第9章(セルオートマトン)'!V25*4+'第9章(セルオートマトン)'!W25*2+'第9章(セルオートマトン)'!X25</f>
        <v>2</v>
      </c>
      <c r="X26" s="6">
        <f>'第9章(セルオートマトン)'!W25*4+'第9章(セルオートマトン)'!X25*2+'第9章(セルオートマトン)'!Y25</f>
        <v>5</v>
      </c>
      <c r="Y26" s="6">
        <f>'第9章(セルオートマトン)'!X25*4+'第9章(セルオートマトン)'!Y25*2+'第9章(セルオートマトン)'!Z25</f>
        <v>3</v>
      </c>
      <c r="Z26" s="6">
        <f>'第9章(セルオートマトン)'!Y25*4+'第9章(セルオートマトン)'!Z25*2+'第9章(セルオートマトン)'!AA25</f>
        <v>7</v>
      </c>
    </row>
    <row r="27" spans="2:26" x14ac:dyDescent="0.15">
      <c r="B27" s="6">
        <f>'第9章(セルオートマトン)'!A26*4+'第9章(セルオートマトン)'!B26*2+'第9章(セルオートマトン)'!C26</f>
        <v>1</v>
      </c>
      <c r="C27" s="6">
        <f>'第9章(セルオートマトン)'!B26*4+'第9章(セルオートマトン)'!C26*2+'第9章(セルオートマトン)'!D26</f>
        <v>2</v>
      </c>
      <c r="D27" s="6">
        <f>'第9章(セルオートマトン)'!C26*4+'第9章(セルオートマトン)'!D26*2+'第9章(セルオートマトン)'!E26</f>
        <v>5</v>
      </c>
      <c r="E27" s="6">
        <f>'第9章(セルオートマトン)'!D26*4+'第9章(セルオートマトン)'!E26*2+'第9章(セルオートマトン)'!F26</f>
        <v>2</v>
      </c>
      <c r="F27" s="6">
        <f>'第9章(セルオートマトン)'!E26*4+'第9章(セルオートマトン)'!F26*2+'第9章(セルオートマトン)'!G26</f>
        <v>5</v>
      </c>
      <c r="G27" s="6">
        <f>'第9章(セルオートマトン)'!F26*4+'第9章(セルオートマトン)'!G26*2+'第9章(セルオートマトン)'!H26</f>
        <v>2</v>
      </c>
      <c r="H27" s="6">
        <f>'第9章(セルオートマトン)'!G26*4+'第9章(セルオートマトン)'!H26*2+'第9章(セルオートマトン)'!I26</f>
        <v>5</v>
      </c>
      <c r="I27" s="6">
        <f>'第9章(セルオートマトン)'!H26*4+'第9章(セルオートマトン)'!I26*2+'第9章(セルオートマトン)'!J26</f>
        <v>2</v>
      </c>
      <c r="J27" s="6">
        <f>'第9章(セルオートマトン)'!I26*4+'第9章(セルオートマトン)'!J26*2+'第9章(セルオートマトン)'!K26</f>
        <v>5</v>
      </c>
      <c r="K27" s="6">
        <f>'第9章(セルオートマトン)'!J26*4+'第9章(セルオートマトン)'!K26*2+'第9章(セルオートマトン)'!L26</f>
        <v>2</v>
      </c>
      <c r="L27" s="6">
        <f>'第9章(セルオートマトン)'!K26*4+'第9章(セルオートマトン)'!L26*2+'第9章(セルオートマトン)'!M26</f>
        <v>5</v>
      </c>
      <c r="M27" s="6">
        <f>'第9章(セルオートマトン)'!L26*4+'第9章(セルオートマトン)'!M26*2+'第9章(セルオートマトン)'!N26</f>
        <v>2</v>
      </c>
      <c r="N27" s="6">
        <f>'第9章(セルオートマトン)'!M26*4+'第9章(セルオートマトン)'!N26*2+'第9章(セルオートマトン)'!O26</f>
        <v>5</v>
      </c>
      <c r="O27" s="6">
        <f>'第9章(セルオートマトン)'!N26*4+'第9章(セルオートマトン)'!O26*2+'第9章(セルオートマトン)'!P26</f>
        <v>2</v>
      </c>
      <c r="P27" s="6">
        <f>'第9章(セルオートマトン)'!O26*4+'第9章(セルオートマトン)'!P26*2+'第9章(セルオートマトン)'!Q26</f>
        <v>5</v>
      </c>
      <c r="Q27" s="6">
        <f>'第9章(セルオートマトン)'!P26*4+'第9章(セルオートマトン)'!Q26*2+'第9章(セルオートマトン)'!R26</f>
        <v>2</v>
      </c>
      <c r="R27" s="6">
        <f>'第9章(セルオートマトン)'!Q26*4+'第9章(セルオートマトン)'!R26*2+'第9章(セルオートマトン)'!S26</f>
        <v>5</v>
      </c>
      <c r="S27" s="6">
        <f>'第9章(セルオートマトン)'!R26*4+'第9章(セルオートマトン)'!S26*2+'第9章(セルオートマトン)'!T26</f>
        <v>2</v>
      </c>
      <c r="T27" s="6">
        <f>'第9章(セルオートマトン)'!S26*4+'第9章(セルオートマトン)'!T26*2+'第9章(セルオートマトン)'!U26</f>
        <v>5</v>
      </c>
      <c r="U27" s="6">
        <f>'第9章(セルオートマトン)'!T26*4+'第9章(セルオートマトン)'!U26*2+'第9章(セルオートマトン)'!V26</f>
        <v>2</v>
      </c>
      <c r="V27" s="6">
        <f>'第9章(セルオートマトン)'!U26*4+'第9章(セルオートマトン)'!V26*2+'第9章(セルオートマトン)'!W26</f>
        <v>5</v>
      </c>
      <c r="W27" s="6">
        <f>'第9章(セルオートマトン)'!V26*4+'第9章(セルオートマトン)'!W26*2+'第9章(セルオートマトン)'!X26</f>
        <v>2</v>
      </c>
      <c r="X27" s="6">
        <f>'第9章(セルオートマトン)'!W26*4+'第9章(セルオートマトン)'!X26*2+'第9章(セルオートマトン)'!Y26</f>
        <v>5</v>
      </c>
      <c r="Y27" s="6">
        <f>'第9章(セルオートマトン)'!X26*4+'第9章(セルオートマトン)'!Y26*2+'第9章(セルオートマトン)'!Z26</f>
        <v>2</v>
      </c>
      <c r="Z27" s="6">
        <f>'第9章(セルオートマトン)'!Y26*4+'第9章(セルオートマトン)'!Z26*2+'第9章(セルオートマトン)'!AA26</f>
        <v>4</v>
      </c>
    </row>
    <row r="28" spans="2:26" x14ac:dyDescent="0.15">
      <c r="B28" s="6">
        <f>'第9章(セルオートマトン)'!A27*4+'第9章(セルオートマトン)'!B27*2+'第9章(セルオートマトン)'!C27</f>
        <v>7</v>
      </c>
      <c r="C28" s="6">
        <f>'第9章(セルオートマトン)'!B27*4+'第9章(セルオートマトン)'!C27*2+'第9章(セルオートマトン)'!D27</f>
        <v>6</v>
      </c>
      <c r="D28" s="6">
        <f>'第9章(セルオートマトン)'!C27*4+'第9章(セルオートマトン)'!D27*2+'第9章(セルオートマトン)'!E27</f>
        <v>5</v>
      </c>
      <c r="E28" s="6">
        <f>'第9章(セルオートマトン)'!D27*4+'第9章(セルオートマトン)'!E27*2+'第9章(セルオートマトン)'!F27</f>
        <v>2</v>
      </c>
      <c r="F28" s="6">
        <f>'第9章(セルオートマトン)'!E27*4+'第9章(セルオートマトン)'!F27*2+'第9章(セルオートマトン)'!G27</f>
        <v>5</v>
      </c>
      <c r="G28" s="6">
        <f>'第9章(セルオートマトン)'!F27*4+'第9章(セルオートマトン)'!G27*2+'第9章(セルオートマトン)'!H27</f>
        <v>2</v>
      </c>
      <c r="H28" s="6">
        <f>'第9章(セルオートマトン)'!G27*4+'第9章(セルオートマトン)'!H27*2+'第9章(セルオートマトン)'!I27</f>
        <v>5</v>
      </c>
      <c r="I28" s="6">
        <f>'第9章(セルオートマトン)'!H27*4+'第9章(セルオートマトン)'!I27*2+'第9章(セルオートマトン)'!J27</f>
        <v>2</v>
      </c>
      <c r="J28" s="6">
        <f>'第9章(セルオートマトン)'!I27*4+'第9章(セルオートマトン)'!J27*2+'第9章(セルオートマトン)'!K27</f>
        <v>5</v>
      </c>
      <c r="K28" s="6">
        <f>'第9章(セルオートマトン)'!J27*4+'第9章(セルオートマトン)'!K27*2+'第9章(セルオートマトン)'!L27</f>
        <v>2</v>
      </c>
      <c r="L28" s="6">
        <f>'第9章(セルオートマトン)'!K27*4+'第9章(セルオートマトン)'!L27*2+'第9章(セルオートマトン)'!M27</f>
        <v>5</v>
      </c>
      <c r="M28" s="6">
        <f>'第9章(セルオートマトン)'!L27*4+'第9章(セルオートマトン)'!M27*2+'第9章(セルオートマトン)'!N27</f>
        <v>2</v>
      </c>
      <c r="N28" s="6">
        <f>'第9章(セルオートマトン)'!M27*4+'第9章(セルオートマトン)'!N27*2+'第9章(セルオートマトン)'!O27</f>
        <v>5</v>
      </c>
      <c r="O28" s="6">
        <f>'第9章(セルオートマトン)'!N27*4+'第9章(セルオートマトン)'!O27*2+'第9章(セルオートマトン)'!P27</f>
        <v>2</v>
      </c>
      <c r="P28" s="6">
        <f>'第9章(セルオートマトン)'!O27*4+'第9章(セルオートマトン)'!P27*2+'第9章(セルオートマトン)'!Q27</f>
        <v>5</v>
      </c>
      <c r="Q28" s="6">
        <f>'第9章(セルオートマトン)'!P27*4+'第9章(セルオートマトン)'!Q27*2+'第9章(セルオートマトン)'!R27</f>
        <v>2</v>
      </c>
      <c r="R28" s="6">
        <f>'第9章(セルオートマトン)'!Q27*4+'第9章(セルオートマトン)'!R27*2+'第9章(セルオートマトン)'!S27</f>
        <v>5</v>
      </c>
      <c r="S28" s="6">
        <f>'第9章(セルオートマトン)'!R27*4+'第9章(セルオートマトン)'!S27*2+'第9章(セルオートマトン)'!T27</f>
        <v>2</v>
      </c>
      <c r="T28" s="6">
        <f>'第9章(セルオートマトン)'!S27*4+'第9章(セルオートマトン)'!T27*2+'第9章(セルオートマトン)'!U27</f>
        <v>5</v>
      </c>
      <c r="U28" s="6">
        <f>'第9章(セルオートマトン)'!T27*4+'第9章(セルオートマトン)'!U27*2+'第9章(セルオートマトン)'!V27</f>
        <v>2</v>
      </c>
      <c r="V28" s="6">
        <f>'第9章(セルオートマトン)'!U27*4+'第9章(セルオートマトン)'!V27*2+'第9章(セルオートマトン)'!W27</f>
        <v>5</v>
      </c>
      <c r="W28" s="6">
        <f>'第9章(セルオートマトン)'!V27*4+'第9章(セルオートマトン)'!W27*2+'第9章(セルオートマトン)'!X27</f>
        <v>2</v>
      </c>
      <c r="X28" s="6">
        <f>'第9章(セルオートマトン)'!W27*4+'第9章(セルオートマトン)'!X27*2+'第9章(セルオートマトン)'!Y27</f>
        <v>5</v>
      </c>
      <c r="Y28" s="6">
        <f>'第9章(セルオートマトン)'!X27*4+'第9章(セルオートマトン)'!Y27*2+'第9章(セルオートマトン)'!Z27</f>
        <v>3</v>
      </c>
      <c r="Z28" s="6">
        <f>'第9章(セルオートマトン)'!Y27*4+'第9章(セルオートマトン)'!Z27*2+'第9章(セルオートマトン)'!AA27</f>
        <v>7</v>
      </c>
    </row>
    <row r="29" spans="2:26" x14ac:dyDescent="0.15">
      <c r="B29" s="6">
        <f>'第9章(セルオートマトン)'!A28*4+'第9章(セルオートマトン)'!B28*2+'第9章(セルオートマトン)'!C28</f>
        <v>1</v>
      </c>
      <c r="C29" s="6">
        <f>'第9章(セルオートマトン)'!B28*4+'第9章(セルオートマトン)'!C28*2+'第9章(セルオートマトン)'!D28</f>
        <v>2</v>
      </c>
      <c r="D29" s="6">
        <f>'第9章(セルオートマトン)'!C28*4+'第9章(セルオートマトン)'!D28*2+'第9章(セルオートマトン)'!E28</f>
        <v>5</v>
      </c>
      <c r="E29" s="6">
        <f>'第9章(セルオートマトン)'!D28*4+'第9章(セルオートマトン)'!E28*2+'第9章(セルオートマトン)'!F28</f>
        <v>2</v>
      </c>
      <c r="F29" s="6">
        <f>'第9章(セルオートマトン)'!E28*4+'第9章(セルオートマトン)'!F28*2+'第9章(セルオートマトン)'!G28</f>
        <v>5</v>
      </c>
      <c r="G29" s="6">
        <f>'第9章(セルオートマトン)'!F28*4+'第9章(セルオートマトン)'!G28*2+'第9章(セルオートマトン)'!H28</f>
        <v>2</v>
      </c>
      <c r="H29" s="6">
        <f>'第9章(セルオートマトン)'!G28*4+'第9章(セルオートマトン)'!H28*2+'第9章(セルオートマトン)'!I28</f>
        <v>5</v>
      </c>
      <c r="I29" s="6">
        <f>'第9章(セルオートマトン)'!H28*4+'第9章(セルオートマトン)'!I28*2+'第9章(セルオートマトン)'!J28</f>
        <v>2</v>
      </c>
      <c r="J29" s="6">
        <f>'第9章(セルオートマトン)'!I28*4+'第9章(セルオートマトン)'!J28*2+'第9章(セルオートマトン)'!K28</f>
        <v>5</v>
      </c>
      <c r="K29" s="6">
        <f>'第9章(セルオートマトン)'!J28*4+'第9章(セルオートマトン)'!K28*2+'第9章(セルオートマトン)'!L28</f>
        <v>2</v>
      </c>
      <c r="L29" s="6">
        <f>'第9章(セルオートマトン)'!K28*4+'第9章(セルオートマトン)'!L28*2+'第9章(セルオートマトン)'!M28</f>
        <v>5</v>
      </c>
      <c r="M29" s="6">
        <f>'第9章(セルオートマトン)'!L28*4+'第9章(セルオートマトン)'!M28*2+'第9章(セルオートマトン)'!N28</f>
        <v>2</v>
      </c>
      <c r="N29" s="6">
        <f>'第9章(セルオートマトン)'!M28*4+'第9章(セルオートマトン)'!N28*2+'第9章(セルオートマトン)'!O28</f>
        <v>5</v>
      </c>
      <c r="O29" s="6">
        <f>'第9章(セルオートマトン)'!N28*4+'第9章(セルオートマトン)'!O28*2+'第9章(セルオートマトン)'!P28</f>
        <v>2</v>
      </c>
      <c r="P29" s="6">
        <f>'第9章(セルオートマトン)'!O28*4+'第9章(セルオートマトン)'!P28*2+'第9章(セルオートマトン)'!Q28</f>
        <v>5</v>
      </c>
      <c r="Q29" s="6">
        <f>'第9章(セルオートマトン)'!P28*4+'第9章(セルオートマトン)'!Q28*2+'第9章(セルオートマトン)'!R28</f>
        <v>2</v>
      </c>
      <c r="R29" s="6">
        <f>'第9章(セルオートマトン)'!Q28*4+'第9章(セルオートマトン)'!R28*2+'第9章(セルオートマトン)'!S28</f>
        <v>5</v>
      </c>
      <c r="S29" s="6">
        <f>'第9章(セルオートマトン)'!R28*4+'第9章(セルオートマトン)'!S28*2+'第9章(セルオートマトン)'!T28</f>
        <v>2</v>
      </c>
      <c r="T29" s="6">
        <f>'第9章(セルオートマトン)'!S28*4+'第9章(セルオートマトン)'!T28*2+'第9章(セルオートマトン)'!U28</f>
        <v>5</v>
      </c>
      <c r="U29" s="6">
        <f>'第9章(セルオートマトン)'!T28*4+'第9章(セルオートマトン)'!U28*2+'第9章(セルオートマトン)'!V28</f>
        <v>2</v>
      </c>
      <c r="V29" s="6">
        <f>'第9章(セルオートマトン)'!U28*4+'第9章(セルオートマトン)'!V28*2+'第9章(セルオートマトン)'!W28</f>
        <v>5</v>
      </c>
      <c r="W29" s="6">
        <f>'第9章(セルオートマトン)'!V28*4+'第9章(セルオートマトン)'!W28*2+'第9章(セルオートマトン)'!X28</f>
        <v>2</v>
      </c>
      <c r="X29" s="6">
        <f>'第9章(セルオートマトン)'!W28*4+'第9章(セルオートマトン)'!X28*2+'第9章(セルオートマトン)'!Y28</f>
        <v>5</v>
      </c>
      <c r="Y29" s="6">
        <f>'第9章(セルオートマトン)'!X28*4+'第9章(セルオートマトン)'!Y28*2+'第9章(セルオートマトン)'!Z28</f>
        <v>2</v>
      </c>
      <c r="Z29" s="6">
        <f>'第9章(セルオートマトン)'!Y28*4+'第9章(セルオートマトン)'!Z28*2+'第9章(セルオートマトン)'!AA28</f>
        <v>4</v>
      </c>
    </row>
    <row r="30" spans="2:26" x14ac:dyDescent="0.15">
      <c r="B30" s="6">
        <f>'第9章(セルオートマトン)'!A29*4+'第9章(セルオートマトン)'!B29*2+'第9章(セルオートマトン)'!C29</f>
        <v>7</v>
      </c>
      <c r="C30" s="6">
        <f>'第9章(セルオートマトン)'!B29*4+'第9章(セルオートマトン)'!C29*2+'第9章(セルオートマトン)'!D29</f>
        <v>6</v>
      </c>
      <c r="D30" s="6">
        <f>'第9章(セルオートマトン)'!C29*4+'第9章(セルオートマトン)'!D29*2+'第9章(セルオートマトン)'!E29</f>
        <v>5</v>
      </c>
      <c r="E30" s="6">
        <f>'第9章(セルオートマトン)'!D29*4+'第9章(セルオートマトン)'!E29*2+'第9章(セルオートマトン)'!F29</f>
        <v>2</v>
      </c>
      <c r="F30" s="6">
        <f>'第9章(セルオートマトン)'!E29*4+'第9章(セルオートマトン)'!F29*2+'第9章(セルオートマトン)'!G29</f>
        <v>5</v>
      </c>
      <c r="G30" s="6">
        <f>'第9章(セルオートマトン)'!F29*4+'第9章(セルオートマトン)'!G29*2+'第9章(セルオートマトン)'!H29</f>
        <v>2</v>
      </c>
      <c r="H30" s="6">
        <f>'第9章(セルオートマトン)'!G29*4+'第9章(セルオートマトン)'!H29*2+'第9章(セルオートマトン)'!I29</f>
        <v>5</v>
      </c>
      <c r="I30" s="6">
        <f>'第9章(セルオートマトン)'!H29*4+'第9章(セルオートマトン)'!I29*2+'第9章(セルオートマトン)'!J29</f>
        <v>2</v>
      </c>
      <c r="J30" s="6">
        <f>'第9章(セルオートマトン)'!I29*4+'第9章(セルオートマトン)'!J29*2+'第9章(セルオートマトン)'!K29</f>
        <v>5</v>
      </c>
      <c r="K30" s="6">
        <f>'第9章(セルオートマトン)'!J29*4+'第9章(セルオートマトン)'!K29*2+'第9章(セルオートマトン)'!L29</f>
        <v>2</v>
      </c>
      <c r="L30" s="6">
        <f>'第9章(セルオートマトン)'!K29*4+'第9章(セルオートマトン)'!L29*2+'第9章(セルオートマトン)'!M29</f>
        <v>5</v>
      </c>
      <c r="M30" s="6">
        <f>'第9章(セルオートマトン)'!L29*4+'第9章(セルオートマトン)'!M29*2+'第9章(セルオートマトン)'!N29</f>
        <v>2</v>
      </c>
      <c r="N30" s="6">
        <f>'第9章(セルオートマトン)'!M29*4+'第9章(セルオートマトン)'!N29*2+'第9章(セルオートマトン)'!O29</f>
        <v>5</v>
      </c>
      <c r="O30" s="6">
        <f>'第9章(セルオートマトン)'!N29*4+'第9章(セルオートマトン)'!O29*2+'第9章(セルオートマトン)'!P29</f>
        <v>2</v>
      </c>
      <c r="P30" s="6">
        <f>'第9章(セルオートマトン)'!O29*4+'第9章(セルオートマトン)'!P29*2+'第9章(セルオートマトン)'!Q29</f>
        <v>5</v>
      </c>
      <c r="Q30" s="6">
        <f>'第9章(セルオートマトン)'!P29*4+'第9章(セルオートマトン)'!Q29*2+'第9章(セルオートマトン)'!R29</f>
        <v>2</v>
      </c>
      <c r="R30" s="6">
        <f>'第9章(セルオートマトン)'!Q29*4+'第9章(セルオートマトン)'!R29*2+'第9章(セルオートマトン)'!S29</f>
        <v>5</v>
      </c>
      <c r="S30" s="6">
        <f>'第9章(セルオートマトン)'!R29*4+'第9章(セルオートマトン)'!S29*2+'第9章(セルオートマトン)'!T29</f>
        <v>2</v>
      </c>
      <c r="T30" s="6">
        <f>'第9章(セルオートマトン)'!S29*4+'第9章(セルオートマトン)'!T29*2+'第9章(セルオートマトン)'!U29</f>
        <v>5</v>
      </c>
      <c r="U30" s="6">
        <f>'第9章(セルオートマトン)'!T29*4+'第9章(セルオートマトン)'!U29*2+'第9章(セルオートマトン)'!V29</f>
        <v>2</v>
      </c>
      <c r="V30" s="6">
        <f>'第9章(セルオートマトン)'!U29*4+'第9章(セルオートマトン)'!V29*2+'第9章(セルオートマトン)'!W29</f>
        <v>5</v>
      </c>
      <c r="W30" s="6">
        <f>'第9章(セルオートマトン)'!V29*4+'第9章(セルオートマトン)'!W29*2+'第9章(セルオートマトン)'!X29</f>
        <v>2</v>
      </c>
      <c r="X30" s="6">
        <f>'第9章(セルオートマトン)'!W29*4+'第9章(セルオートマトン)'!X29*2+'第9章(セルオートマトン)'!Y29</f>
        <v>5</v>
      </c>
      <c r="Y30" s="6">
        <f>'第9章(セルオートマトン)'!X29*4+'第9章(セルオートマトン)'!Y29*2+'第9章(セルオートマトン)'!Z29</f>
        <v>3</v>
      </c>
      <c r="Z30" s="6">
        <f>'第9章(セルオートマトン)'!Y29*4+'第9章(セルオートマトン)'!Z29*2+'第9章(セルオートマトン)'!AA29</f>
        <v>7</v>
      </c>
    </row>
    <row r="31" spans="2:26" x14ac:dyDescent="0.15">
      <c r="B31" s="6">
        <f>'第9章(セルオートマトン)'!A30*4+'第9章(セルオートマトン)'!B30*2+'第9章(セルオートマトン)'!C30</f>
        <v>1</v>
      </c>
      <c r="C31" s="6">
        <f>'第9章(セルオートマトン)'!B30*4+'第9章(セルオートマトン)'!C30*2+'第9章(セルオートマトン)'!D30</f>
        <v>2</v>
      </c>
      <c r="D31" s="6">
        <f>'第9章(セルオートマトン)'!C30*4+'第9章(セルオートマトン)'!D30*2+'第9章(セルオートマトン)'!E30</f>
        <v>5</v>
      </c>
      <c r="E31" s="6">
        <f>'第9章(セルオートマトン)'!D30*4+'第9章(セルオートマトン)'!E30*2+'第9章(セルオートマトン)'!F30</f>
        <v>2</v>
      </c>
      <c r="F31" s="6">
        <f>'第9章(セルオートマトン)'!E30*4+'第9章(セルオートマトン)'!F30*2+'第9章(セルオートマトン)'!G30</f>
        <v>5</v>
      </c>
      <c r="G31" s="6">
        <f>'第9章(セルオートマトン)'!F30*4+'第9章(セルオートマトン)'!G30*2+'第9章(セルオートマトン)'!H30</f>
        <v>2</v>
      </c>
      <c r="H31" s="6">
        <f>'第9章(セルオートマトン)'!G30*4+'第9章(セルオートマトン)'!H30*2+'第9章(セルオートマトン)'!I30</f>
        <v>5</v>
      </c>
      <c r="I31" s="6">
        <f>'第9章(セルオートマトン)'!H30*4+'第9章(セルオートマトン)'!I30*2+'第9章(セルオートマトン)'!J30</f>
        <v>2</v>
      </c>
      <c r="J31" s="6">
        <f>'第9章(セルオートマトン)'!I30*4+'第9章(セルオートマトン)'!J30*2+'第9章(セルオートマトン)'!K30</f>
        <v>5</v>
      </c>
      <c r="K31" s="6">
        <f>'第9章(セルオートマトン)'!J30*4+'第9章(セルオートマトン)'!K30*2+'第9章(セルオートマトン)'!L30</f>
        <v>2</v>
      </c>
      <c r="L31" s="6">
        <f>'第9章(セルオートマトン)'!K30*4+'第9章(セルオートマトン)'!L30*2+'第9章(セルオートマトン)'!M30</f>
        <v>5</v>
      </c>
      <c r="M31" s="6">
        <f>'第9章(セルオートマトン)'!L30*4+'第9章(セルオートマトン)'!M30*2+'第9章(セルオートマトン)'!N30</f>
        <v>2</v>
      </c>
      <c r="N31" s="6">
        <f>'第9章(セルオートマトン)'!M30*4+'第9章(セルオートマトン)'!N30*2+'第9章(セルオートマトン)'!O30</f>
        <v>5</v>
      </c>
      <c r="O31" s="6">
        <f>'第9章(セルオートマトン)'!N30*4+'第9章(セルオートマトン)'!O30*2+'第9章(セルオートマトン)'!P30</f>
        <v>2</v>
      </c>
      <c r="P31" s="6">
        <f>'第9章(セルオートマトン)'!O30*4+'第9章(セルオートマトン)'!P30*2+'第9章(セルオートマトン)'!Q30</f>
        <v>5</v>
      </c>
      <c r="Q31" s="6">
        <f>'第9章(セルオートマトン)'!P30*4+'第9章(セルオートマトン)'!Q30*2+'第9章(セルオートマトン)'!R30</f>
        <v>2</v>
      </c>
      <c r="R31" s="6">
        <f>'第9章(セルオートマトン)'!Q30*4+'第9章(セルオートマトン)'!R30*2+'第9章(セルオートマトン)'!S30</f>
        <v>5</v>
      </c>
      <c r="S31" s="6">
        <f>'第9章(セルオートマトン)'!R30*4+'第9章(セルオートマトン)'!S30*2+'第9章(セルオートマトン)'!T30</f>
        <v>2</v>
      </c>
      <c r="T31" s="6">
        <f>'第9章(セルオートマトン)'!S30*4+'第9章(セルオートマトン)'!T30*2+'第9章(セルオートマトン)'!U30</f>
        <v>5</v>
      </c>
      <c r="U31" s="6">
        <f>'第9章(セルオートマトン)'!T30*4+'第9章(セルオートマトン)'!U30*2+'第9章(セルオートマトン)'!V30</f>
        <v>2</v>
      </c>
      <c r="V31" s="6">
        <f>'第9章(セルオートマトン)'!U30*4+'第9章(セルオートマトン)'!V30*2+'第9章(セルオートマトン)'!W30</f>
        <v>5</v>
      </c>
      <c r="W31" s="6">
        <f>'第9章(セルオートマトン)'!V30*4+'第9章(セルオートマトン)'!W30*2+'第9章(セルオートマトン)'!X30</f>
        <v>2</v>
      </c>
      <c r="X31" s="6">
        <f>'第9章(セルオートマトン)'!W30*4+'第9章(セルオートマトン)'!X30*2+'第9章(セルオートマトン)'!Y30</f>
        <v>5</v>
      </c>
      <c r="Y31" s="6">
        <f>'第9章(セルオートマトン)'!X30*4+'第9章(セルオートマトン)'!Y30*2+'第9章(セルオートマトン)'!Z30</f>
        <v>2</v>
      </c>
      <c r="Z31" s="6">
        <f>'第9章(セルオートマトン)'!Y30*4+'第9章(セルオートマトン)'!Z30*2+'第9章(セルオートマトン)'!AA30</f>
        <v>4</v>
      </c>
    </row>
    <row r="32" spans="2:26" x14ac:dyDescent="0.15">
      <c r="B32" s="6">
        <f>'第9章(セルオートマトン)'!A31*4+'第9章(セルオートマトン)'!B31*2+'第9章(セルオートマトン)'!C31</f>
        <v>7</v>
      </c>
      <c r="C32" s="6">
        <f>'第9章(セルオートマトン)'!B31*4+'第9章(セルオートマトン)'!C31*2+'第9章(セルオートマトン)'!D31</f>
        <v>6</v>
      </c>
      <c r="D32" s="6">
        <f>'第9章(セルオートマトン)'!C31*4+'第9章(セルオートマトン)'!D31*2+'第9章(セルオートマトン)'!E31</f>
        <v>5</v>
      </c>
      <c r="E32" s="6">
        <f>'第9章(セルオートマトン)'!D31*4+'第9章(セルオートマトン)'!E31*2+'第9章(セルオートマトン)'!F31</f>
        <v>2</v>
      </c>
      <c r="F32" s="6">
        <f>'第9章(セルオートマトン)'!E31*4+'第9章(セルオートマトン)'!F31*2+'第9章(セルオートマトン)'!G31</f>
        <v>5</v>
      </c>
      <c r="G32" s="6">
        <f>'第9章(セルオートマトン)'!F31*4+'第9章(セルオートマトン)'!G31*2+'第9章(セルオートマトン)'!H31</f>
        <v>2</v>
      </c>
      <c r="H32" s="6">
        <f>'第9章(セルオートマトン)'!G31*4+'第9章(セルオートマトン)'!H31*2+'第9章(セルオートマトン)'!I31</f>
        <v>5</v>
      </c>
      <c r="I32" s="6">
        <f>'第9章(セルオートマトン)'!H31*4+'第9章(セルオートマトン)'!I31*2+'第9章(セルオートマトン)'!J31</f>
        <v>2</v>
      </c>
      <c r="J32" s="6">
        <f>'第9章(セルオートマトン)'!I31*4+'第9章(セルオートマトン)'!J31*2+'第9章(セルオートマトン)'!K31</f>
        <v>5</v>
      </c>
      <c r="K32" s="6">
        <f>'第9章(セルオートマトン)'!J31*4+'第9章(セルオートマトン)'!K31*2+'第9章(セルオートマトン)'!L31</f>
        <v>2</v>
      </c>
      <c r="L32" s="6">
        <f>'第9章(セルオートマトン)'!K31*4+'第9章(セルオートマトン)'!L31*2+'第9章(セルオートマトン)'!M31</f>
        <v>5</v>
      </c>
      <c r="M32" s="6">
        <f>'第9章(セルオートマトン)'!L31*4+'第9章(セルオートマトン)'!M31*2+'第9章(セルオートマトン)'!N31</f>
        <v>2</v>
      </c>
      <c r="N32" s="6">
        <f>'第9章(セルオートマトン)'!M31*4+'第9章(セルオートマトン)'!N31*2+'第9章(セルオートマトン)'!O31</f>
        <v>5</v>
      </c>
      <c r="O32" s="6">
        <f>'第9章(セルオートマトン)'!N31*4+'第9章(セルオートマトン)'!O31*2+'第9章(セルオートマトン)'!P31</f>
        <v>2</v>
      </c>
      <c r="P32" s="6">
        <f>'第9章(セルオートマトン)'!O31*4+'第9章(セルオートマトン)'!P31*2+'第9章(セルオートマトン)'!Q31</f>
        <v>5</v>
      </c>
      <c r="Q32" s="6">
        <f>'第9章(セルオートマトン)'!P31*4+'第9章(セルオートマトン)'!Q31*2+'第9章(セルオートマトン)'!R31</f>
        <v>2</v>
      </c>
      <c r="R32" s="6">
        <f>'第9章(セルオートマトン)'!Q31*4+'第9章(セルオートマトン)'!R31*2+'第9章(セルオートマトン)'!S31</f>
        <v>5</v>
      </c>
      <c r="S32" s="6">
        <f>'第9章(セルオートマトン)'!R31*4+'第9章(セルオートマトン)'!S31*2+'第9章(セルオートマトン)'!T31</f>
        <v>2</v>
      </c>
      <c r="T32" s="6">
        <f>'第9章(セルオートマトン)'!S31*4+'第9章(セルオートマトン)'!T31*2+'第9章(セルオートマトン)'!U31</f>
        <v>5</v>
      </c>
      <c r="U32" s="6">
        <f>'第9章(セルオートマトン)'!T31*4+'第9章(セルオートマトン)'!U31*2+'第9章(セルオートマトン)'!V31</f>
        <v>2</v>
      </c>
      <c r="V32" s="6">
        <f>'第9章(セルオートマトン)'!U31*4+'第9章(セルオートマトン)'!V31*2+'第9章(セルオートマトン)'!W31</f>
        <v>5</v>
      </c>
      <c r="W32" s="6">
        <f>'第9章(セルオートマトン)'!V31*4+'第9章(セルオートマトン)'!W31*2+'第9章(セルオートマトン)'!X31</f>
        <v>2</v>
      </c>
      <c r="X32" s="6">
        <f>'第9章(セルオートマトン)'!W31*4+'第9章(セルオートマトン)'!X31*2+'第9章(セルオートマトン)'!Y31</f>
        <v>5</v>
      </c>
      <c r="Y32" s="6">
        <f>'第9章(セルオートマトン)'!X31*4+'第9章(セルオートマトン)'!Y31*2+'第9章(セルオートマトン)'!Z31</f>
        <v>3</v>
      </c>
      <c r="Z32" s="6">
        <f>'第9章(セルオートマトン)'!Y31*4+'第9章(セルオートマトン)'!Z31*2+'第9章(セルオートマトン)'!AA31</f>
        <v>7</v>
      </c>
    </row>
    <row r="33" spans="2:26" x14ac:dyDescent="0.15">
      <c r="B33" s="6">
        <f>'第9章(セルオートマトン)'!A32*4+'第9章(セルオートマトン)'!B32*2+'第9章(セルオートマトン)'!C32</f>
        <v>1</v>
      </c>
      <c r="C33" s="6">
        <f>'第9章(セルオートマトン)'!B32*4+'第9章(セルオートマトン)'!C32*2+'第9章(セルオートマトン)'!D32</f>
        <v>2</v>
      </c>
      <c r="D33" s="6">
        <f>'第9章(セルオートマトン)'!C32*4+'第9章(セルオートマトン)'!D32*2+'第9章(セルオートマトン)'!E32</f>
        <v>5</v>
      </c>
      <c r="E33" s="6">
        <f>'第9章(セルオートマトン)'!D32*4+'第9章(セルオートマトン)'!E32*2+'第9章(セルオートマトン)'!F32</f>
        <v>2</v>
      </c>
      <c r="F33" s="6">
        <f>'第9章(セルオートマトン)'!E32*4+'第9章(セルオートマトン)'!F32*2+'第9章(セルオートマトン)'!G32</f>
        <v>5</v>
      </c>
      <c r="G33" s="6">
        <f>'第9章(セルオートマトン)'!F32*4+'第9章(セルオートマトン)'!G32*2+'第9章(セルオートマトン)'!H32</f>
        <v>2</v>
      </c>
      <c r="H33" s="6">
        <f>'第9章(セルオートマトン)'!G32*4+'第9章(セルオートマトン)'!H32*2+'第9章(セルオートマトン)'!I32</f>
        <v>5</v>
      </c>
      <c r="I33" s="6">
        <f>'第9章(セルオートマトン)'!H32*4+'第9章(セルオートマトン)'!I32*2+'第9章(セルオートマトン)'!J32</f>
        <v>2</v>
      </c>
      <c r="J33" s="6">
        <f>'第9章(セルオートマトン)'!I32*4+'第9章(セルオートマトン)'!J32*2+'第9章(セルオートマトン)'!K32</f>
        <v>5</v>
      </c>
      <c r="K33" s="6">
        <f>'第9章(セルオートマトン)'!J32*4+'第9章(セルオートマトン)'!K32*2+'第9章(セルオートマトン)'!L32</f>
        <v>2</v>
      </c>
      <c r="L33" s="6">
        <f>'第9章(セルオートマトン)'!K32*4+'第9章(セルオートマトン)'!L32*2+'第9章(セルオートマトン)'!M32</f>
        <v>5</v>
      </c>
      <c r="M33" s="6">
        <f>'第9章(セルオートマトン)'!L32*4+'第9章(セルオートマトン)'!M32*2+'第9章(セルオートマトン)'!N32</f>
        <v>2</v>
      </c>
      <c r="N33" s="6">
        <f>'第9章(セルオートマトン)'!M32*4+'第9章(セルオートマトン)'!N32*2+'第9章(セルオートマトン)'!O32</f>
        <v>5</v>
      </c>
      <c r="O33" s="6">
        <f>'第9章(セルオートマトン)'!N32*4+'第9章(セルオートマトン)'!O32*2+'第9章(セルオートマトン)'!P32</f>
        <v>2</v>
      </c>
      <c r="P33" s="6">
        <f>'第9章(セルオートマトン)'!O32*4+'第9章(セルオートマトン)'!P32*2+'第9章(セルオートマトン)'!Q32</f>
        <v>5</v>
      </c>
      <c r="Q33" s="6">
        <f>'第9章(セルオートマトン)'!P32*4+'第9章(セルオートマトン)'!Q32*2+'第9章(セルオートマトン)'!R32</f>
        <v>2</v>
      </c>
      <c r="R33" s="6">
        <f>'第9章(セルオートマトン)'!Q32*4+'第9章(セルオートマトン)'!R32*2+'第9章(セルオートマトン)'!S32</f>
        <v>5</v>
      </c>
      <c r="S33" s="6">
        <f>'第9章(セルオートマトン)'!R32*4+'第9章(セルオートマトン)'!S32*2+'第9章(セルオートマトン)'!T32</f>
        <v>2</v>
      </c>
      <c r="T33" s="6">
        <f>'第9章(セルオートマトン)'!S32*4+'第9章(セルオートマトン)'!T32*2+'第9章(セルオートマトン)'!U32</f>
        <v>5</v>
      </c>
      <c r="U33" s="6">
        <f>'第9章(セルオートマトン)'!T32*4+'第9章(セルオートマトン)'!U32*2+'第9章(セルオートマトン)'!V32</f>
        <v>2</v>
      </c>
      <c r="V33" s="6">
        <f>'第9章(セルオートマトン)'!U32*4+'第9章(セルオートマトン)'!V32*2+'第9章(セルオートマトン)'!W32</f>
        <v>5</v>
      </c>
      <c r="W33" s="6">
        <f>'第9章(セルオートマトン)'!V32*4+'第9章(セルオートマトン)'!W32*2+'第9章(セルオートマトン)'!X32</f>
        <v>2</v>
      </c>
      <c r="X33" s="6">
        <f>'第9章(セルオートマトン)'!W32*4+'第9章(セルオートマトン)'!X32*2+'第9章(セルオートマトン)'!Y32</f>
        <v>5</v>
      </c>
      <c r="Y33" s="6">
        <f>'第9章(セルオートマトン)'!X32*4+'第9章(セルオートマトン)'!Y32*2+'第9章(セルオートマトン)'!Z32</f>
        <v>2</v>
      </c>
      <c r="Z33" s="6">
        <f>'第9章(セルオートマトン)'!Y32*4+'第9章(セルオートマトン)'!Z32*2+'第9章(セルオートマトン)'!AA32</f>
        <v>4</v>
      </c>
    </row>
    <row r="34" spans="2:26" x14ac:dyDescent="0.15">
      <c r="B34" s="6">
        <f>'第9章(セルオートマトン)'!A33*4+'第9章(セルオートマトン)'!B33*2+'第9章(セルオートマトン)'!C33</f>
        <v>7</v>
      </c>
      <c r="C34" s="6">
        <f>'第9章(セルオートマトン)'!B33*4+'第9章(セルオートマトン)'!C33*2+'第9章(セルオートマトン)'!D33</f>
        <v>6</v>
      </c>
      <c r="D34" s="6">
        <f>'第9章(セルオートマトン)'!C33*4+'第9章(セルオートマトン)'!D33*2+'第9章(セルオートマトン)'!E33</f>
        <v>5</v>
      </c>
      <c r="E34" s="6">
        <f>'第9章(セルオートマトン)'!D33*4+'第9章(セルオートマトン)'!E33*2+'第9章(セルオートマトン)'!F33</f>
        <v>2</v>
      </c>
      <c r="F34" s="6">
        <f>'第9章(セルオートマトン)'!E33*4+'第9章(セルオートマトン)'!F33*2+'第9章(セルオートマトン)'!G33</f>
        <v>5</v>
      </c>
      <c r="G34" s="6">
        <f>'第9章(セルオートマトン)'!F33*4+'第9章(セルオートマトン)'!G33*2+'第9章(セルオートマトン)'!H33</f>
        <v>2</v>
      </c>
      <c r="H34" s="6">
        <f>'第9章(セルオートマトン)'!G33*4+'第9章(セルオートマトン)'!H33*2+'第9章(セルオートマトン)'!I33</f>
        <v>5</v>
      </c>
      <c r="I34" s="6">
        <f>'第9章(セルオートマトン)'!H33*4+'第9章(セルオートマトン)'!I33*2+'第9章(セルオートマトン)'!J33</f>
        <v>2</v>
      </c>
      <c r="J34" s="6">
        <f>'第9章(セルオートマトン)'!I33*4+'第9章(セルオートマトン)'!J33*2+'第9章(セルオートマトン)'!K33</f>
        <v>5</v>
      </c>
      <c r="K34" s="6">
        <f>'第9章(セルオートマトン)'!J33*4+'第9章(セルオートマトン)'!K33*2+'第9章(セルオートマトン)'!L33</f>
        <v>2</v>
      </c>
      <c r="L34" s="6">
        <f>'第9章(セルオートマトン)'!K33*4+'第9章(セルオートマトン)'!L33*2+'第9章(セルオートマトン)'!M33</f>
        <v>5</v>
      </c>
      <c r="M34" s="6">
        <f>'第9章(セルオートマトン)'!L33*4+'第9章(セルオートマトン)'!M33*2+'第9章(セルオートマトン)'!N33</f>
        <v>2</v>
      </c>
      <c r="N34" s="6">
        <f>'第9章(セルオートマトン)'!M33*4+'第9章(セルオートマトン)'!N33*2+'第9章(セルオートマトン)'!O33</f>
        <v>5</v>
      </c>
      <c r="O34" s="6">
        <f>'第9章(セルオートマトン)'!N33*4+'第9章(セルオートマトン)'!O33*2+'第9章(セルオートマトン)'!P33</f>
        <v>2</v>
      </c>
      <c r="P34" s="6">
        <f>'第9章(セルオートマトン)'!O33*4+'第9章(セルオートマトン)'!P33*2+'第9章(セルオートマトン)'!Q33</f>
        <v>5</v>
      </c>
      <c r="Q34" s="6">
        <f>'第9章(セルオートマトン)'!P33*4+'第9章(セルオートマトン)'!Q33*2+'第9章(セルオートマトン)'!R33</f>
        <v>2</v>
      </c>
      <c r="R34" s="6">
        <f>'第9章(セルオートマトン)'!Q33*4+'第9章(セルオートマトン)'!R33*2+'第9章(セルオートマトン)'!S33</f>
        <v>5</v>
      </c>
      <c r="S34" s="6">
        <f>'第9章(セルオートマトン)'!R33*4+'第9章(セルオートマトン)'!S33*2+'第9章(セルオートマトン)'!T33</f>
        <v>2</v>
      </c>
      <c r="T34" s="6">
        <f>'第9章(セルオートマトン)'!S33*4+'第9章(セルオートマトン)'!T33*2+'第9章(セルオートマトン)'!U33</f>
        <v>5</v>
      </c>
      <c r="U34" s="6">
        <f>'第9章(セルオートマトン)'!T33*4+'第9章(セルオートマトン)'!U33*2+'第9章(セルオートマトン)'!V33</f>
        <v>2</v>
      </c>
      <c r="V34" s="6">
        <f>'第9章(セルオートマトン)'!U33*4+'第9章(セルオートマトン)'!V33*2+'第9章(セルオートマトン)'!W33</f>
        <v>5</v>
      </c>
      <c r="W34" s="6">
        <f>'第9章(セルオートマトン)'!V33*4+'第9章(セルオートマトン)'!W33*2+'第9章(セルオートマトン)'!X33</f>
        <v>2</v>
      </c>
      <c r="X34" s="6">
        <f>'第9章(セルオートマトン)'!W33*4+'第9章(セルオートマトン)'!X33*2+'第9章(セルオートマトン)'!Y33</f>
        <v>5</v>
      </c>
      <c r="Y34" s="6">
        <f>'第9章(セルオートマトン)'!X33*4+'第9章(セルオートマトン)'!Y33*2+'第9章(セルオートマトン)'!Z33</f>
        <v>3</v>
      </c>
      <c r="Z34" s="6">
        <f>'第9章(セルオートマトン)'!Y33*4+'第9章(セルオートマトン)'!Z33*2+'第9章(セルオートマトン)'!AA33</f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22"/>
  <sheetViews>
    <sheetView workbookViewId="0">
      <selection activeCell="K9" sqref="K9"/>
    </sheetView>
  </sheetViews>
  <sheetFormatPr defaultColWidth="2.625" defaultRowHeight="13.5" x14ac:dyDescent="0.15"/>
  <sheetData>
    <row r="1" spans="1:22" ht="14.25" thickBot="1" x14ac:dyDescent="0.2">
      <c r="A1">
        <f>A21</f>
        <v>0</v>
      </c>
      <c r="B1">
        <f t="shared" ref="B1:U1" si="0">B21</f>
        <v>0</v>
      </c>
      <c r="C1">
        <f t="shared" si="0"/>
        <v>0</v>
      </c>
      <c r="D1">
        <f t="shared" si="0"/>
        <v>0</v>
      </c>
      <c r="E1">
        <f t="shared" si="0"/>
        <v>0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  <c r="J1">
        <f t="shared" si="0"/>
        <v>0</v>
      </c>
      <c r="K1">
        <f t="shared" si="0"/>
        <v>0</v>
      </c>
      <c r="L1">
        <f t="shared" si="0"/>
        <v>0</v>
      </c>
      <c r="M1">
        <f t="shared" si="0"/>
        <v>0</v>
      </c>
      <c r="N1">
        <f t="shared" si="0"/>
        <v>0</v>
      </c>
      <c r="O1">
        <f t="shared" si="0"/>
        <v>0</v>
      </c>
      <c r="P1">
        <f t="shared" si="0"/>
        <v>0</v>
      </c>
      <c r="Q1">
        <f t="shared" si="0"/>
        <v>0</v>
      </c>
      <c r="R1">
        <f t="shared" si="0"/>
        <v>0</v>
      </c>
      <c r="S1">
        <f t="shared" si="0"/>
        <v>0</v>
      </c>
      <c r="T1">
        <f t="shared" si="0"/>
        <v>0</v>
      </c>
      <c r="U1">
        <f t="shared" si="0"/>
        <v>0</v>
      </c>
      <c r="V1">
        <f>B1</f>
        <v>0</v>
      </c>
    </row>
    <row r="2" spans="1:22" x14ac:dyDescent="0.15">
      <c r="A2">
        <f>U2</f>
        <v>0</v>
      </c>
      <c r="B2" s="16">
        <v>0</v>
      </c>
      <c r="C2" s="17">
        <v>0</v>
      </c>
      <c r="D2" s="17">
        <v>0</v>
      </c>
      <c r="E2" s="17">
        <v>0</v>
      </c>
      <c r="F2" s="17">
        <v>0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  <c r="N2" s="17">
        <v>0</v>
      </c>
      <c r="O2" s="17">
        <v>0</v>
      </c>
      <c r="P2" s="17">
        <v>0</v>
      </c>
      <c r="Q2" s="17">
        <v>0</v>
      </c>
      <c r="R2" s="17">
        <v>0</v>
      </c>
      <c r="S2" s="17">
        <v>0</v>
      </c>
      <c r="T2" s="17">
        <v>0</v>
      </c>
      <c r="U2" s="18">
        <v>0</v>
      </c>
      <c r="V2">
        <f t="shared" ref="V2:V21" si="1">B2</f>
        <v>0</v>
      </c>
    </row>
    <row r="3" spans="1:22" x14ac:dyDescent="0.15">
      <c r="A3">
        <f t="shared" ref="A3:A21" si="2">U3</f>
        <v>0</v>
      </c>
      <c r="B3" s="1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20">
        <v>0</v>
      </c>
      <c r="V3">
        <f t="shared" si="1"/>
        <v>0</v>
      </c>
    </row>
    <row r="4" spans="1:22" x14ac:dyDescent="0.15">
      <c r="A4">
        <f t="shared" si="2"/>
        <v>0</v>
      </c>
      <c r="B4" s="1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20">
        <v>0</v>
      </c>
      <c r="V4">
        <f t="shared" si="1"/>
        <v>0</v>
      </c>
    </row>
    <row r="5" spans="1:22" x14ac:dyDescent="0.15">
      <c r="A5">
        <f t="shared" si="2"/>
        <v>0</v>
      </c>
      <c r="B5" s="19">
        <v>0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20">
        <v>0</v>
      </c>
      <c r="V5">
        <f t="shared" si="1"/>
        <v>0</v>
      </c>
    </row>
    <row r="6" spans="1:22" x14ac:dyDescent="0.15">
      <c r="A6">
        <f t="shared" si="2"/>
        <v>0</v>
      </c>
      <c r="B6" s="1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  <c r="Q6" s="9">
        <v>0</v>
      </c>
      <c r="R6" s="9">
        <v>0</v>
      </c>
      <c r="S6" s="9">
        <v>0</v>
      </c>
      <c r="T6" s="9">
        <v>0</v>
      </c>
      <c r="U6" s="20">
        <v>0</v>
      </c>
      <c r="V6">
        <f t="shared" si="1"/>
        <v>0</v>
      </c>
    </row>
    <row r="7" spans="1:22" x14ac:dyDescent="0.15">
      <c r="A7">
        <f t="shared" si="2"/>
        <v>0</v>
      </c>
      <c r="B7" s="19">
        <v>0</v>
      </c>
      <c r="C7" s="9">
        <v>0</v>
      </c>
      <c r="D7" s="9">
        <v>0</v>
      </c>
      <c r="E7" s="9">
        <v>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1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20">
        <v>0</v>
      </c>
      <c r="V7">
        <f t="shared" si="1"/>
        <v>0</v>
      </c>
    </row>
    <row r="8" spans="1:22" x14ac:dyDescent="0.15">
      <c r="A8">
        <f t="shared" si="2"/>
        <v>0</v>
      </c>
      <c r="B8" s="19">
        <v>0</v>
      </c>
      <c r="C8" s="9">
        <v>0</v>
      </c>
      <c r="D8" s="9">
        <v>0</v>
      </c>
      <c r="E8" s="9">
        <v>0</v>
      </c>
      <c r="F8" s="9">
        <v>0</v>
      </c>
      <c r="G8" s="9">
        <v>0</v>
      </c>
      <c r="H8" s="9">
        <v>0</v>
      </c>
      <c r="I8" s="9">
        <v>0</v>
      </c>
      <c r="J8" s="9">
        <v>1</v>
      </c>
      <c r="K8" s="9">
        <v>1</v>
      </c>
      <c r="L8" s="9">
        <v>1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20">
        <v>0</v>
      </c>
      <c r="V8">
        <f t="shared" si="1"/>
        <v>0</v>
      </c>
    </row>
    <row r="9" spans="1:22" x14ac:dyDescent="0.15">
      <c r="A9">
        <f t="shared" si="2"/>
        <v>0</v>
      </c>
      <c r="B9" s="19">
        <v>0</v>
      </c>
      <c r="C9" s="9">
        <v>0</v>
      </c>
      <c r="D9" s="9">
        <v>0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1</v>
      </c>
      <c r="K9" s="9">
        <v>0</v>
      </c>
      <c r="L9" s="9">
        <v>1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20">
        <v>0</v>
      </c>
      <c r="V9">
        <f t="shared" si="1"/>
        <v>0</v>
      </c>
    </row>
    <row r="10" spans="1:22" x14ac:dyDescent="0.15">
      <c r="A10">
        <f t="shared" si="2"/>
        <v>0</v>
      </c>
      <c r="B10" s="1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1</v>
      </c>
      <c r="K10" s="9">
        <v>1</v>
      </c>
      <c r="L10" s="9">
        <v>1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20">
        <v>0</v>
      </c>
      <c r="V10">
        <f t="shared" si="1"/>
        <v>0</v>
      </c>
    </row>
    <row r="11" spans="1:22" x14ac:dyDescent="0.15">
      <c r="A11">
        <f t="shared" si="2"/>
        <v>0</v>
      </c>
      <c r="B11" s="1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1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20">
        <v>0</v>
      </c>
      <c r="V11">
        <f t="shared" si="1"/>
        <v>0</v>
      </c>
    </row>
    <row r="12" spans="1:22" x14ac:dyDescent="0.15">
      <c r="A12">
        <f t="shared" si="2"/>
        <v>0</v>
      </c>
      <c r="B12" s="19">
        <v>0</v>
      </c>
      <c r="C12" s="9">
        <v>0</v>
      </c>
      <c r="D12" s="9">
        <v>0</v>
      </c>
      <c r="E12" s="9">
        <v>0</v>
      </c>
      <c r="F12" s="9">
        <v>0</v>
      </c>
      <c r="G12" s="9">
        <v>0</v>
      </c>
      <c r="H12" s="9">
        <v>0</v>
      </c>
      <c r="I12" s="9">
        <v>0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T12" s="9">
        <v>0</v>
      </c>
      <c r="U12" s="20">
        <v>0</v>
      </c>
      <c r="V12">
        <f t="shared" si="1"/>
        <v>0</v>
      </c>
    </row>
    <row r="13" spans="1:22" x14ac:dyDescent="0.15">
      <c r="A13">
        <f t="shared" si="2"/>
        <v>0</v>
      </c>
      <c r="B13" s="19">
        <v>0</v>
      </c>
      <c r="C13" s="9">
        <v>0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20">
        <v>0</v>
      </c>
      <c r="V13">
        <f t="shared" si="1"/>
        <v>0</v>
      </c>
    </row>
    <row r="14" spans="1:22" x14ac:dyDescent="0.15">
      <c r="A14">
        <f t="shared" si="2"/>
        <v>0</v>
      </c>
      <c r="B14" s="19">
        <v>0</v>
      </c>
      <c r="C14" s="9">
        <v>0</v>
      </c>
      <c r="D14" s="9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U14" s="20">
        <v>0</v>
      </c>
      <c r="V14">
        <f t="shared" si="1"/>
        <v>0</v>
      </c>
    </row>
    <row r="15" spans="1:22" x14ac:dyDescent="0.15">
      <c r="A15">
        <f t="shared" si="2"/>
        <v>0</v>
      </c>
      <c r="B15" s="1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20">
        <v>0</v>
      </c>
      <c r="V15">
        <f t="shared" si="1"/>
        <v>0</v>
      </c>
    </row>
    <row r="16" spans="1:22" x14ac:dyDescent="0.15">
      <c r="A16">
        <f t="shared" si="2"/>
        <v>0</v>
      </c>
      <c r="B16" s="1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20">
        <v>0</v>
      </c>
      <c r="V16">
        <f t="shared" si="1"/>
        <v>0</v>
      </c>
    </row>
    <row r="17" spans="1:22" x14ac:dyDescent="0.15">
      <c r="A17">
        <f t="shared" si="2"/>
        <v>0</v>
      </c>
      <c r="B17" s="1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20">
        <v>0</v>
      </c>
      <c r="V17">
        <f t="shared" si="1"/>
        <v>0</v>
      </c>
    </row>
    <row r="18" spans="1:22" x14ac:dyDescent="0.15">
      <c r="A18">
        <f t="shared" si="2"/>
        <v>0</v>
      </c>
      <c r="B18" s="1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20">
        <v>0</v>
      </c>
      <c r="V18">
        <f t="shared" si="1"/>
        <v>0</v>
      </c>
    </row>
    <row r="19" spans="1:22" x14ac:dyDescent="0.15">
      <c r="A19">
        <f t="shared" si="2"/>
        <v>0</v>
      </c>
      <c r="B19" s="1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20">
        <v>0</v>
      </c>
      <c r="V19">
        <f t="shared" si="1"/>
        <v>0</v>
      </c>
    </row>
    <row r="20" spans="1:22" x14ac:dyDescent="0.15">
      <c r="A20">
        <f t="shared" si="2"/>
        <v>0</v>
      </c>
      <c r="B20" s="1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20">
        <v>0</v>
      </c>
      <c r="V20">
        <f t="shared" si="1"/>
        <v>0</v>
      </c>
    </row>
    <row r="21" spans="1:22" ht="14.25" thickBot="1" x14ac:dyDescent="0.2">
      <c r="A21">
        <f t="shared" si="2"/>
        <v>0</v>
      </c>
      <c r="B21" s="21">
        <v>0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2">
        <v>0</v>
      </c>
      <c r="U21" s="23">
        <v>0</v>
      </c>
      <c r="V21">
        <f t="shared" si="1"/>
        <v>0</v>
      </c>
    </row>
    <row r="22" spans="1:22" x14ac:dyDescent="0.15">
      <c r="A22">
        <f>A2</f>
        <v>0</v>
      </c>
      <c r="B22">
        <f t="shared" ref="B22:V22" si="3">B2</f>
        <v>0</v>
      </c>
      <c r="C22">
        <f t="shared" si="3"/>
        <v>0</v>
      </c>
      <c r="D22">
        <f t="shared" si="3"/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>
        <f t="shared" si="3"/>
        <v>0</v>
      </c>
      <c r="J22">
        <f t="shared" si="3"/>
        <v>0</v>
      </c>
      <c r="K22">
        <f t="shared" si="3"/>
        <v>0</v>
      </c>
      <c r="L22">
        <f t="shared" si="3"/>
        <v>0</v>
      </c>
      <c r="M22">
        <f t="shared" si="3"/>
        <v>0</v>
      </c>
      <c r="N22">
        <f t="shared" si="3"/>
        <v>0</v>
      </c>
      <c r="O22">
        <f t="shared" si="3"/>
        <v>0</v>
      </c>
      <c r="P22">
        <f t="shared" si="3"/>
        <v>0</v>
      </c>
      <c r="Q22">
        <f t="shared" si="3"/>
        <v>0</v>
      </c>
      <c r="R22">
        <f t="shared" si="3"/>
        <v>0</v>
      </c>
      <c r="S22">
        <f t="shared" si="3"/>
        <v>0</v>
      </c>
      <c r="T22">
        <f t="shared" si="3"/>
        <v>0</v>
      </c>
      <c r="U22">
        <f t="shared" si="3"/>
        <v>0</v>
      </c>
      <c r="V22">
        <f t="shared" si="3"/>
        <v>0</v>
      </c>
    </row>
  </sheetData>
  <phoneticPr fontId="1"/>
  <conditionalFormatting sqref="B2:U21">
    <cfRule type="cellIs" dxfId="26" priority="1" operator="equal">
      <formula>1</formula>
    </cfRule>
    <cfRule type="cellIs" dxfId="2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71" r:id="rId3" name="Button 59">
              <controlPr defaultSize="0" print="0" autoFill="0" autoPict="0" macro="[0]!第10章_更新機能">
                <anchor moveWithCells="1" sizeWithCells="1">
                  <from>
                    <xdr:col>23</xdr:col>
                    <xdr:colOff>142875</xdr:colOff>
                    <xdr:row>1</xdr:row>
                    <xdr:rowOff>66675</xdr:rowOff>
                  </from>
                  <to>
                    <xdr:col>28</xdr:col>
                    <xdr:colOff>28575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" name="Button 60">
              <controlPr defaultSize="0" print="0" autoFill="0" autoPict="0" macro="[0]!第10章_クリア">
                <anchor moveWithCells="1" sizeWithCells="1">
                  <from>
                    <xdr:col>23</xdr:col>
                    <xdr:colOff>152400</xdr:colOff>
                    <xdr:row>4</xdr:row>
                    <xdr:rowOff>123825</xdr:rowOff>
                  </from>
                  <to>
                    <xdr:col>28</xdr:col>
                    <xdr:colOff>28575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U21"/>
  <sheetViews>
    <sheetView workbookViewId="0">
      <selection activeCell="AT45" sqref="AT45"/>
    </sheetView>
  </sheetViews>
  <sheetFormatPr defaultColWidth="2.625" defaultRowHeight="13.5" x14ac:dyDescent="0.15"/>
  <sheetData>
    <row r="1" spans="2:21" ht="14.25" thickBot="1" x14ac:dyDescent="0.2"/>
    <row r="2" spans="2:21" ht="14.25" thickBot="1" x14ac:dyDescent="0.2">
      <c r="B2" s="16">
        <f>SUM(第10章!A1:C3)-第10章!B2</f>
        <v>0</v>
      </c>
      <c r="C2" s="16">
        <f>SUM(第10章!B1:D3)-第10章!C2</f>
        <v>0</v>
      </c>
      <c r="D2" s="16">
        <f>SUM(第10章!C1:E3)-第10章!D2</f>
        <v>0</v>
      </c>
      <c r="E2" s="16">
        <f>SUM(第10章!D1:F3)-第10章!E2</f>
        <v>0</v>
      </c>
      <c r="F2" s="16">
        <f>SUM(第10章!E1:G3)-第10章!F2</f>
        <v>0</v>
      </c>
      <c r="G2" s="16">
        <f>SUM(第10章!F1:H3)-第10章!G2</f>
        <v>0</v>
      </c>
      <c r="H2" s="16">
        <f>SUM(第10章!G1:I3)-第10章!H2</f>
        <v>0</v>
      </c>
      <c r="I2" s="16">
        <f>SUM(第10章!H1:J3)-第10章!I2</f>
        <v>0</v>
      </c>
      <c r="J2" s="16">
        <f>SUM(第10章!I1:K3)-第10章!J2</f>
        <v>0</v>
      </c>
      <c r="K2" s="16">
        <f>SUM(第10章!J1:L3)-第10章!K2</f>
        <v>0</v>
      </c>
      <c r="L2" s="16">
        <f>SUM(第10章!K1:M3)-第10章!L2</f>
        <v>0</v>
      </c>
      <c r="M2" s="16">
        <f>SUM(第10章!L1:N3)-第10章!M2</f>
        <v>0</v>
      </c>
      <c r="N2" s="16">
        <f>SUM(第10章!M1:O3)-第10章!N2</f>
        <v>0</v>
      </c>
      <c r="O2" s="16">
        <f>SUM(第10章!N1:P3)-第10章!O2</f>
        <v>0</v>
      </c>
      <c r="P2" s="16">
        <f>SUM(第10章!O1:Q3)-第10章!P2</f>
        <v>0</v>
      </c>
      <c r="Q2" s="16">
        <f>SUM(第10章!P1:R3)-第10章!Q2</f>
        <v>0</v>
      </c>
      <c r="R2" s="16">
        <f>SUM(第10章!Q1:S3)-第10章!R2</f>
        <v>0</v>
      </c>
      <c r="S2" s="16">
        <f>SUM(第10章!R1:T3)-第10章!S2</f>
        <v>0</v>
      </c>
      <c r="T2" s="16">
        <f>SUM(第10章!S1:U3)-第10章!T2</f>
        <v>0</v>
      </c>
      <c r="U2" s="24">
        <f>SUM(第10章!T1:V3)-第10章!U2</f>
        <v>0</v>
      </c>
    </row>
    <row r="3" spans="2:21" ht="14.25" thickBot="1" x14ac:dyDescent="0.2">
      <c r="B3" s="16">
        <f>SUM(第10章!A2:C4)-第10章!B3</f>
        <v>0</v>
      </c>
      <c r="C3" s="16">
        <f>SUM(第10章!B2:D4)-第10章!C3</f>
        <v>0</v>
      </c>
      <c r="D3" s="16">
        <f>SUM(第10章!C2:E4)-第10章!D3</f>
        <v>0</v>
      </c>
      <c r="E3" s="16">
        <f>SUM(第10章!D2:F4)-第10章!E3</f>
        <v>0</v>
      </c>
      <c r="F3" s="16">
        <f>SUM(第10章!E2:G4)-第10章!F3</f>
        <v>0</v>
      </c>
      <c r="G3" s="16">
        <f>SUM(第10章!F2:H4)-第10章!G3</f>
        <v>0</v>
      </c>
      <c r="H3" s="16">
        <f>SUM(第10章!G2:I4)-第10章!H3</f>
        <v>0</v>
      </c>
      <c r="I3" s="16">
        <f>SUM(第10章!H2:J4)-第10章!I3</f>
        <v>0</v>
      </c>
      <c r="J3" s="16">
        <f>SUM(第10章!I2:K4)-第10章!J3</f>
        <v>0</v>
      </c>
      <c r="K3" s="16">
        <f>SUM(第10章!J2:L4)-第10章!K3</f>
        <v>0</v>
      </c>
      <c r="L3" s="16">
        <f>SUM(第10章!K2:M4)-第10章!L3</f>
        <v>0</v>
      </c>
      <c r="M3" s="16">
        <f>SUM(第10章!L2:N4)-第10章!M3</f>
        <v>0</v>
      </c>
      <c r="N3" s="16">
        <f>SUM(第10章!M2:O4)-第10章!N3</f>
        <v>0</v>
      </c>
      <c r="O3" s="16">
        <f>SUM(第10章!N2:P4)-第10章!O3</f>
        <v>0</v>
      </c>
      <c r="P3" s="16">
        <f>SUM(第10章!O2:Q4)-第10章!P3</f>
        <v>0</v>
      </c>
      <c r="Q3" s="16">
        <f>SUM(第10章!P2:R4)-第10章!Q3</f>
        <v>0</v>
      </c>
      <c r="R3" s="16">
        <f>SUM(第10章!Q2:S4)-第10章!R3</f>
        <v>0</v>
      </c>
      <c r="S3" s="16">
        <f>SUM(第10章!R2:T4)-第10章!S3</f>
        <v>0</v>
      </c>
      <c r="T3" s="16">
        <f>SUM(第10章!S2:U4)-第10章!T3</f>
        <v>0</v>
      </c>
      <c r="U3" s="24">
        <f>SUM(第10章!T2:V4)-第10章!U3</f>
        <v>0</v>
      </c>
    </row>
    <row r="4" spans="2:21" ht="14.25" thickBot="1" x14ac:dyDescent="0.2">
      <c r="B4" s="16">
        <f>SUM(第10章!A3:C5)-第10章!B4</f>
        <v>0</v>
      </c>
      <c r="C4" s="16">
        <f>SUM(第10章!B3:D5)-第10章!C4</f>
        <v>0</v>
      </c>
      <c r="D4" s="16">
        <f>SUM(第10章!C3:E5)-第10章!D4</f>
        <v>0</v>
      </c>
      <c r="E4" s="16">
        <f>SUM(第10章!D3:F5)-第10章!E4</f>
        <v>0</v>
      </c>
      <c r="F4" s="16">
        <f>SUM(第10章!E3:G5)-第10章!F4</f>
        <v>0</v>
      </c>
      <c r="G4" s="16">
        <f>SUM(第10章!F3:H5)-第10章!G4</f>
        <v>0</v>
      </c>
      <c r="H4" s="16">
        <f>SUM(第10章!G3:I5)-第10章!H4</f>
        <v>0</v>
      </c>
      <c r="I4" s="16">
        <f>SUM(第10章!H3:J5)-第10章!I4</f>
        <v>0</v>
      </c>
      <c r="J4" s="16">
        <f>SUM(第10章!I3:K5)-第10章!J4</f>
        <v>0</v>
      </c>
      <c r="K4" s="16">
        <f>SUM(第10章!J3:L5)-第10章!K4</f>
        <v>0</v>
      </c>
      <c r="L4" s="16">
        <f>SUM(第10章!K3:M5)-第10章!L4</f>
        <v>0</v>
      </c>
      <c r="M4" s="16">
        <f>SUM(第10章!L3:N5)-第10章!M4</f>
        <v>0</v>
      </c>
      <c r="N4" s="16">
        <f>SUM(第10章!M3:O5)-第10章!N4</f>
        <v>0</v>
      </c>
      <c r="O4" s="16">
        <f>SUM(第10章!N3:P5)-第10章!O4</f>
        <v>0</v>
      </c>
      <c r="P4" s="16">
        <f>SUM(第10章!O3:Q5)-第10章!P4</f>
        <v>0</v>
      </c>
      <c r="Q4" s="16">
        <f>SUM(第10章!P3:R5)-第10章!Q4</f>
        <v>0</v>
      </c>
      <c r="R4" s="16">
        <f>SUM(第10章!Q3:S5)-第10章!R4</f>
        <v>0</v>
      </c>
      <c r="S4" s="16">
        <f>SUM(第10章!R3:T5)-第10章!S4</f>
        <v>0</v>
      </c>
      <c r="T4" s="16">
        <f>SUM(第10章!S3:U5)-第10章!T4</f>
        <v>0</v>
      </c>
      <c r="U4" s="24">
        <f>SUM(第10章!T3:V5)-第10章!U4</f>
        <v>0</v>
      </c>
    </row>
    <row r="5" spans="2:21" ht="14.25" thickBot="1" x14ac:dyDescent="0.2">
      <c r="B5" s="16">
        <f>SUM(第10章!A4:C6)-第10章!B5</f>
        <v>0</v>
      </c>
      <c r="C5" s="16">
        <f>SUM(第10章!B4:D6)-第10章!C5</f>
        <v>0</v>
      </c>
      <c r="D5" s="16">
        <f>SUM(第10章!C4:E6)-第10章!D5</f>
        <v>0</v>
      </c>
      <c r="E5" s="16">
        <f>SUM(第10章!D4:F6)-第10章!E5</f>
        <v>0</v>
      </c>
      <c r="F5" s="16">
        <f>SUM(第10章!E4:G6)-第10章!F5</f>
        <v>0</v>
      </c>
      <c r="G5" s="16">
        <f>SUM(第10章!F4:H6)-第10章!G5</f>
        <v>0</v>
      </c>
      <c r="H5" s="16">
        <f>SUM(第10章!G4:I6)-第10章!H5</f>
        <v>0</v>
      </c>
      <c r="I5" s="16">
        <f>SUM(第10章!H4:J6)-第10章!I5</f>
        <v>0</v>
      </c>
      <c r="J5" s="16">
        <f>SUM(第10章!I4:K6)-第10章!J5</f>
        <v>0</v>
      </c>
      <c r="K5" s="16">
        <f>SUM(第10章!J4:L6)-第10章!K5</f>
        <v>0</v>
      </c>
      <c r="L5" s="16">
        <f>SUM(第10章!K4:M6)-第10章!L5</f>
        <v>0</v>
      </c>
      <c r="M5" s="16">
        <f>SUM(第10章!L4:N6)-第10章!M5</f>
        <v>0</v>
      </c>
      <c r="N5" s="16">
        <f>SUM(第10章!M4:O6)-第10章!N5</f>
        <v>0</v>
      </c>
      <c r="O5" s="16">
        <f>SUM(第10章!N4:P6)-第10章!O5</f>
        <v>0</v>
      </c>
      <c r="P5" s="16">
        <f>SUM(第10章!O4:Q6)-第10章!P5</f>
        <v>0</v>
      </c>
      <c r="Q5" s="16">
        <f>SUM(第10章!P4:R6)-第10章!Q5</f>
        <v>0</v>
      </c>
      <c r="R5" s="16">
        <f>SUM(第10章!Q4:S6)-第10章!R5</f>
        <v>0</v>
      </c>
      <c r="S5" s="16">
        <f>SUM(第10章!R4:T6)-第10章!S5</f>
        <v>0</v>
      </c>
      <c r="T5" s="16">
        <f>SUM(第10章!S4:U6)-第10章!T5</f>
        <v>0</v>
      </c>
      <c r="U5" s="24">
        <f>SUM(第10章!T4:V6)-第10章!U5</f>
        <v>0</v>
      </c>
    </row>
    <row r="6" spans="2:21" ht="14.25" thickBot="1" x14ac:dyDescent="0.2">
      <c r="B6" s="16">
        <f>SUM(第10章!A5:C7)-第10章!B6</f>
        <v>0</v>
      </c>
      <c r="C6" s="16">
        <f>SUM(第10章!B5:D7)-第10章!C6</f>
        <v>0</v>
      </c>
      <c r="D6" s="16">
        <f>SUM(第10章!C5:E7)-第10章!D6</f>
        <v>0</v>
      </c>
      <c r="E6" s="16">
        <f>SUM(第10章!D5:F7)-第10章!E6</f>
        <v>0</v>
      </c>
      <c r="F6" s="16">
        <f>SUM(第10章!E5:G7)-第10章!F6</f>
        <v>0</v>
      </c>
      <c r="G6" s="16">
        <f>SUM(第10章!F5:H7)-第10章!G6</f>
        <v>0</v>
      </c>
      <c r="H6" s="16">
        <f>SUM(第10章!G5:I7)-第10章!H6</f>
        <v>0</v>
      </c>
      <c r="I6" s="16">
        <f>SUM(第10章!H5:J7)-第10章!I6</f>
        <v>0</v>
      </c>
      <c r="J6" s="16">
        <f>SUM(第10章!I5:K7)-第10章!J6</f>
        <v>1</v>
      </c>
      <c r="K6" s="16">
        <f>SUM(第10章!J5:L7)-第10章!K6</f>
        <v>1</v>
      </c>
      <c r="L6" s="16">
        <f>SUM(第10章!K5:M7)-第10章!L6</f>
        <v>1</v>
      </c>
      <c r="M6" s="16">
        <f>SUM(第10章!L5:N7)-第10章!M6</f>
        <v>0</v>
      </c>
      <c r="N6" s="16">
        <f>SUM(第10章!M5:O7)-第10章!N6</f>
        <v>0</v>
      </c>
      <c r="O6" s="16">
        <f>SUM(第10章!N5:P7)-第10章!O6</f>
        <v>0</v>
      </c>
      <c r="P6" s="16">
        <f>SUM(第10章!O5:Q7)-第10章!P6</f>
        <v>0</v>
      </c>
      <c r="Q6" s="16">
        <f>SUM(第10章!P5:R7)-第10章!Q6</f>
        <v>0</v>
      </c>
      <c r="R6" s="16">
        <f>SUM(第10章!Q5:S7)-第10章!R6</f>
        <v>0</v>
      </c>
      <c r="S6" s="16">
        <f>SUM(第10章!R5:T7)-第10章!S6</f>
        <v>0</v>
      </c>
      <c r="T6" s="16">
        <f>SUM(第10章!S5:U7)-第10章!T6</f>
        <v>0</v>
      </c>
      <c r="U6" s="24">
        <f>SUM(第10章!T5:V7)-第10章!U6</f>
        <v>0</v>
      </c>
    </row>
    <row r="7" spans="2:21" ht="14.25" thickBot="1" x14ac:dyDescent="0.2">
      <c r="B7" s="16">
        <f>SUM(第10章!A6:C8)-第10章!B7</f>
        <v>0</v>
      </c>
      <c r="C7" s="16">
        <f>SUM(第10章!B6:D8)-第10章!C7</f>
        <v>0</v>
      </c>
      <c r="D7" s="16">
        <f>SUM(第10章!C6:E8)-第10章!D7</f>
        <v>0</v>
      </c>
      <c r="E7" s="16">
        <f>SUM(第10章!D6:F8)-第10章!E7</f>
        <v>0</v>
      </c>
      <c r="F7" s="16">
        <f>SUM(第10章!E6:G8)-第10章!F7</f>
        <v>0</v>
      </c>
      <c r="G7" s="16">
        <f>SUM(第10章!F6:H8)-第10章!G7</f>
        <v>0</v>
      </c>
      <c r="H7" s="16">
        <f>SUM(第10章!G6:I8)-第10章!H7</f>
        <v>0</v>
      </c>
      <c r="I7" s="16">
        <f>SUM(第10章!H6:J8)-第10章!I7</f>
        <v>1</v>
      </c>
      <c r="J7" s="16">
        <f>SUM(第10章!I6:K8)-第10章!J7</f>
        <v>3</v>
      </c>
      <c r="K7" s="16">
        <f>SUM(第10章!J6:L8)-第10章!K7</f>
        <v>3</v>
      </c>
      <c r="L7" s="16">
        <f>SUM(第10章!K6:M8)-第10章!L7</f>
        <v>3</v>
      </c>
      <c r="M7" s="16">
        <f>SUM(第10章!L6:N8)-第10章!M7</f>
        <v>1</v>
      </c>
      <c r="N7" s="16">
        <f>SUM(第10章!M6:O8)-第10章!N7</f>
        <v>0</v>
      </c>
      <c r="O7" s="16">
        <f>SUM(第10章!N6:P8)-第10章!O7</f>
        <v>0</v>
      </c>
      <c r="P7" s="16">
        <f>SUM(第10章!O6:Q8)-第10章!P7</f>
        <v>0</v>
      </c>
      <c r="Q7" s="16">
        <f>SUM(第10章!P6:R8)-第10章!Q7</f>
        <v>0</v>
      </c>
      <c r="R7" s="16">
        <f>SUM(第10章!Q6:S8)-第10章!R7</f>
        <v>0</v>
      </c>
      <c r="S7" s="16">
        <f>SUM(第10章!R6:T8)-第10章!S7</f>
        <v>0</v>
      </c>
      <c r="T7" s="16">
        <f>SUM(第10章!S6:U8)-第10章!T7</f>
        <v>0</v>
      </c>
      <c r="U7" s="24">
        <f>SUM(第10章!T6:V8)-第10章!U7</f>
        <v>0</v>
      </c>
    </row>
    <row r="8" spans="2:21" ht="14.25" thickBot="1" x14ac:dyDescent="0.2">
      <c r="B8" s="16">
        <f>SUM(第10章!A7:C9)-第10章!B8</f>
        <v>0</v>
      </c>
      <c r="C8" s="16">
        <f>SUM(第10章!B7:D9)-第10章!C8</f>
        <v>0</v>
      </c>
      <c r="D8" s="16">
        <f>SUM(第10章!C7:E9)-第10章!D8</f>
        <v>0</v>
      </c>
      <c r="E8" s="16">
        <f>SUM(第10章!D7:F9)-第10章!E8</f>
        <v>0</v>
      </c>
      <c r="F8" s="16">
        <f>SUM(第10章!E7:G9)-第10章!F8</f>
        <v>0</v>
      </c>
      <c r="G8" s="16">
        <f>SUM(第10章!F7:H9)-第10章!G8</f>
        <v>0</v>
      </c>
      <c r="H8" s="16">
        <f>SUM(第10章!G7:I9)-第10章!H8</f>
        <v>0</v>
      </c>
      <c r="I8" s="16">
        <f>SUM(第10章!H7:J9)-第10章!I8</f>
        <v>2</v>
      </c>
      <c r="J8" s="16">
        <f>SUM(第10章!I7:K9)-第10章!J8</f>
        <v>3</v>
      </c>
      <c r="K8" s="16">
        <f>SUM(第10章!J7:L9)-第10章!K8</f>
        <v>5</v>
      </c>
      <c r="L8" s="16">
        <f>SUM(第10章!K7:M9)-第10章!L8</f>
        <v>3</v>
      </c>
      <c r="M8" s="16">
        <f>SUM(第10章!L7:N9)-第10章!M8</f>
        <v>2</v>
      </c>
      <c r="N8" s="16">
        <f>SUM(第10章!M7:O9)-第10章!N8</f>
        <v>0</v>
      </c>
      <c r="O8" s="16">
        <f>SUM(第10章!N7:P9)-第10章!O8</f>
        <v>0</v>
      </c>
      <c r="P8" s="16">
        <f>SUM(第10章!O7:Q9)-第10章!P8</f>
        <v>0</v>
      </c>
      <c r="Q8" s="16">
        <f>SUM(第10章!P7:R9)-第10章!Q8</f>
        <v>0</v>
      </c>
      <c r="R8" s="16">
        <f>SUM(第10章!Q7:S9)-第10章!R8</f>
        <v>0</v>
      </c>
      <c r="S8" s="16">
        <f>SUM(第10章!R7:T9)-第10章!S8</f>
        <v>0</v>
      </c>
      <c r="T8" s="16">
        <f>SUM(第10章!S7:U9)-第10章!T8</f>
        <v>0</v>
      </c>
      <c r="U8" s="24">
        <f>SUM(第10章!T7:V9)-第10章!U8</f>
        <v>0</v>
      </c>
    </row>
    <row r="9" spans="2:21" ht="14.25" thickBot="1" x14ac:dyDescent="0.2">
      <c r="B9" s="16">
        <f>SUM(第10章!A8:C10)-第10章!B9</f>
        <v>0</v>
      </c>
      <c r="C9" s="16">
        <f>SUM(第10章!B8:D10)-第10章!C9</f>
        <v>0</v>
      </c>
      <c r="D9" s="16">
        <f>SUM(第10章!C8:E10)-第10章!D9</f>
        <v>0</v>
      </c>
      <c r="E9" s="16">
        <f>SUM(第10章!D8:F10)-第10章!E9</f>
        <v>0</v>
      </c>
      <c r="F9" s="16">
        <f>SUM(第10章!E8:G10)-第10章!F9</f>
        <v>0</v>
      </c>
      <c r="G9" s="16">
        <f>SUM(第10章!F8:H10)-第10章!G9</f>
        <v>0</v>
      </c>
      <c r="H9" s="16">
        <f>SUM(第10章!G8:I10)-第10章!H9</f>
        <v>0</v>
      </c>
      <c r="I9" s="16">
        <f>SUM(第10章!H8:J10)-第10章!I9</f>
        <v>3</v>
      </c>
      <c r="J9" s="16">
        <f>SUM(第10章!I8:K10)-第10章!J9</f>
        <v>4</v>
      </c>
      <c r="K9" s="16">
        <f>SUM(第10章!J8:L10)-第10章!K9</f>
        <v>8</v>
      </c>
      <c r="L9" s="16">
        <f>SUM(第10章!K8:M10)-第10章!L9</f>
        <v>4</v>
      </c>
      <c r="M9" s="16">
        <f>SUM(第10章!L8:N10)-第10章!M9</f>
        <v>3</v>
      </c>
      <c r="N9" s="16">
        <f>SUM(第10章!M8:O10)-第10章!N9</f>
        <v>0</v>
      </c>
      <c r="O9" s="16">
        <f>SUM(第10章!N8:P10)-第10章!O9</f>
        <v>0</v>
      </c>
      <c r="P9" s="16">
        <f>SUM(第10章!O8:Q10)-第10章!P9</f>
        <v>0</v>
      </c>
      <c r="Q9" s="16">
        <f>SUM(第10章!P8:R10)-第10章!Q9</f>
        <v>0</v>
      </c>
      <c r="R9" s="16">
        <f>SUM(第10章!Q8:S10)-第10章!R9</f>
        <v>0</v>
      </c>
      <c r="S9" s="16">
        <f>SUM(第10章!R8:T10)-第10章!S9</f>
        <v>0</v>
      </c>
      <c r="T9" s="16">
        <f>SUM(第10章!S8:U10)-第10章!T9</f>
        <v>0</v>
      </c>
      <c r="U9" s="24">
        <f>SUM(第10章!T8:V10)-第10章!U9</f>
        <v>0</v>
      </c>
    </row>
    <row r="10" spans="2:21" ht="14.25" thickBot="1" x14ac:dyDescent="0.2">
      <c r="B10" s="16">
        <f>SUM(第10章!A9:C11)-第10章!B10</f>
        <v>0</v>
      </c>
      <c r="C10" s="16">
        <f>SUM(第10章!B9:D11)-第10章!C10</f>
        <v>0</v>
      </c>
      <c r="D10" s="16">
        <f>SUM(第10章!C9:E11)-第10章!D10</f>
        <v>0</v>
      </c>
      <c r="E10" s="16">
        <f>SUM(第10章!D9:F11)-第10章!E10</f>
        <v>0</v>
      </c>
      <c r="F10" s="16">
        <f>SUM(第10章!E9:G11)-第10章!F10</f>
        <v>0</v>
      </c>
      <c r="G10" s="16">
        <f>SUM(第10章!F9:H11)-第10章!G10</f>
        <v>0</v>
      </c>
      <c r="H10" s="16">
        <f>SUM(第10章!G9:I11)-第10章!H10</f>
        <v>0</v>
      </c>
      <c r="I10" s="16">
        <f>SUM(第10章!H9:J11)-第10章!I10</f>
        <v>2</v>
      </c>
      <c r="J10" s="16">
        <f>SUM(第10章!I9:K11)-第10章!J10</f>
        <v>3</v>
      </c>
      <c r="K10" s="16">
        <f>SUM(第10章!J9:L11)-第10章!K10</f>
        <v>5</v>
      </c>
      <c r="L10" s="16">
        <f>SUM(第10章!K9:M11)-第10章!L10</f>
        <v>3</v>
      </c>
      <c r="M10" s="16">
        <f>SUM(第10章!L9:N11)-第10章!M10</f>
        <v>2</v>
      </c>
      <c r="N10" s="16">
        <f>SUM(第10章!M9:O11)-第10章!N10</f>
        <v>0</v>
      </c>
      <c r="O10" s="16">
        <f>SUM(第10章!N9:P11)-第10章!O10</f>
        <v>0</v>
      </c>
      <c r="P10" s="16">
        <f>SUM(第10章!O9:Q11)-第10章!P10</f>
        <v>0</v>
      </c>
      <c r="Q10" s="16">
        <f>SUM(第10章!P9:R11)-第10章!Q10</f>
        <v>0</v>
      </c>
      <c r="R10" s="16">
        <f>SUM(第10章!Q9:S11)-第10章!R10</f>
        <v>0</v>
      </c>
      <c r="S10" s="16">
        <f>SUM(第10章!R9:T11)-第10章!S10</f>
        <v>0</v>
      </c>
      <c r="T10" s="16">
        <f>SUM(第10章!S9:U11)-第10章!T10</f>
        <v>0</v>
      </c>
      <c r="U10" s="24">
        <f>SUM(第10章!T9:V11)-第10章!U10</f>
        <v>0</v>
      </c>
    </row>
    <row r="11" spans="2:21" ht="14.25" thickBot="1" x14ac:dyDescent="0.2">
      <c r="B11" s="16">
        <f>SUM(第10章!A10:C12)-第10章!B11</f>
        <v>0</v>
      </c>
      <c r="C11" s="16">
        <f>SUM(第10章!B10:D12)-第10章!C11</f>
        <v>0</v>
      </c>
      <c r="D11" s="16">
        <f>SUM(第10章!C10:E12)-第10章!D11</f>
        <v>0</v>
      </c>
      <c r="E11" s="16">
        <f>SUM(第10章!D10:F12)-第10章!E11</f>
        <v>0</v>
      </c>
      <c r="F11" s="16">
        <f>SUM(第10章!E10:G12)-第10章!F11</f>
        <v>0</v>
      </c>
      <c r="G11" s="16">
        <f>SUM(第10章!F10:H12)-第10章!G11</f>
        <v>0</v>
      </c>
      <c r="H11" s="16">
        <f>SUM(第10章!G10:I12)-第10章!H11</f>
        <v>0</v>
      </c>
      <c r="I11" s="16">
        <f>SUM(第10章!H10:J12)-第10章!I11</f>
        <v>1</v>
      </c>
      <c r="J11" s="16">
        <f>SUM(第10章!I10:K12)-第10章!J11</f>
        <v>3</v>
      </c>
      <c r="K11" s="16">
        <f>SUM(第10章!J10:L12)-第10章!K11</f>
        <v>3</v>
      </c>
      <c r="L11" s="16">
        <f>SUM(第10章!K10:M12)-第10章!L11</f>
        <v>3</v>
      </c>
      <c r="M11" s="16">
        <f>SUM(第10章!L10:N12)-第10章!M11</f>
        <v>1</v>
      </c>
      <c r="N11" s="16">
        <f>SUM(第10章!M10:O12)-第10章!N11</f>
        <v>0</v>
      </c>
      <c r="O11" s="16">
        <f>SUM(第10章!N10:P12)-第10章!O11</f>
        <v>0</v>
      </c>
      <c r="P11" s="16">
        <f>SUM(第10章!O10:Q12)-第10章!P11</f>
        <v>0</v>
      </c>
      <c r="Q11" s="16">
        <f>SUM(第10章!P10:R12)-第10章!Q11</f>
        <v>0</v>
      </c>
      <c r="R11" s="16">
        <f>SUM(第10章!Q10:S12)-第10章!R11</f>
        <v>0</v>
      </c>
      <c r="S11" s="16">
        <f>SUM(第10章!R10:T12)-第10章!S11</f>
        <v>0</v>
      </c>
      <c r="T11" s="16">
        <f>SUM(第10章!S10:U12)-第10章!T11</f>
        <v>0</v>
      </c>
      <c r="U11" s="24">
        <f>SUM(第10章!T10:V12)-第10章!U11</f>
        <v>0</v>
      </c>
    </row>
    <row r="12" spans="2:21" ht="14.25" thickBot="1" x14ac:dyDescent="0.2">
      <c r="B12" s="16">
        <f>SUM(第10章!A11:C13)-第10章!B12</f>
        <v>0</v>
      </c>
      <c r="C12" s="16">
        <f>SUM(第10章!B11:D13)-第10章!C12</f>
        <v>0</v>
      </c>
      <c r="D12" s="16">
        <f>SUM(第10章!C11:E13)-第10章!D12</f>
        <v>0</v>
      </c>
      <c r="E12" s="16">
        <f>SUM(第10章!D11:F13)-第10章!E12</f>
        <v>0</v>
      </c>
      <c r="F12" s="16">
        <f>SUM(第10章!E11:G13)-第10章!F12</f>
        <v>0</v>
      </c>
      <c r="G12" s="16">
        <f>SUM(第10章!F11:H13)-第10章!G12</f>
        <v>0</v>
      </c>
      <c r="H12" s="16">
        <f>SUM(第10章!G11:I13)-第10章!H12</f>
        <v>0</v>
      </c>
      <c r="I12" s="16">
        <f>SUM(第10章!H11:J13)-第10章!I12</f>
        <v>0</v>
      </c>
      <c r="J12" s="16">
        <f>SUM(第10章!I11:K13)-第10章!J12</f>
        <v>1</v>
      </c>
      <c r="K12" s="16">
        <f>SUM(第10章!J11:L13)-第10章!K12</f>
        <v>1</v>
      </c>
      <c r="L12" s="16">
        <f>SUM(第10章!K11:M13)-第10章!L12</f>
        <v>1</v>
      </c>
      <c r="M12" s="16">
        <f>SUM(第10章!L11:N13)-第10章!M12</f>
        <v>0</v>
      </c>
      <c r="N12" s="16">
        <f>SUM(第10章!M11:O13)-第10章!N12</f>
        <v>0</v>
      </c>
      <c r="O12" s="16">
        <f>SUM(第10章!N11:P13)-第10章!O12</f>
        <v>0</v>
      </c>
      <c r="P12" s="16">
        <f>SUM(第10章!O11:Q13)-第10章!P12</f>
        <v>0</v>
      </c>
      <c r="Q12" s="16">
        <f>SUM(第10章!P11:R13)-第10章!Q12</f>
        <v>0</v>
      </c>
      <c r="R12" s="16">
        <f>SUM(第10章!Q11:S13)-第10章!R12</f>
        <v>0</v>
      </c>
      <c r="S12" s="16">
        <f>SUM(第10章!R11:T13)-第10章!S12</f>
        <v>0</v>
      </c>
      <c r="T12" s="16">
        <f>SUM(第10章!S11:U13)-第10章!T12</f>
        <v>0</v>
      </c>
      <c r="U12" s="24">
        <f>SUM(第10章!T11:V13)-第10章!U12</f>
        <v>0</v>
      </c>
    </row>
    <row r="13" spans="2:21" ht="14.25" thickBot="1" x14ac:dyDescent="0.2">
      <c r="B13" s="16">
        <f>SUM(第10章!A12:C14)-第10章!B13</f>
        <v>0</v>
      </c>
      <c r="C13" s="16">
        <f>SUM(第10章!B12:D14)-第10章!C13</f>
        <v>0</v>
      </c>
      <c r="D13" s="16">
        <f>SUM(第10章!C12:E14)-第10章!D13</f>
        <v>0</v>
      </c>
      <c r="E13" s="16">
        <f>SUM(第10章!D12:F14)-第10章!E13</f>
        <v>0</v>
      </c>
      <c r="F13" s="16">
        <f>SUM(第10章!E12:G14)-第10章!F13</f>
        <v>0</v>
      </c>
      <c r="G13" s="16">
        <f>SUM(第10章!F12:H14)-第10章!G13</f>
        <v>0</v>
      </c>
      <c r="H13" s="16">
        <f>SUM(第10章!G12:I14)-第10章!H13</f>
        <v>0</v>
      </c>
      <c r="I13" s="16">
        <f>SUM(第10章!H12:J14)-第10章!I13</f>
        <v>0</v>
      </c>
      <c r="J13" s="16">
        <f>SUM(第10章!I12:K14)-第10章!J13</f>
        <v>0</v>
      </c>
      <c r="K13" s="16">
        <f>SUM(第10章!J12:L14)-第10章!K13</f>
        <v>0</v>
      </c>
      <c r="L13" s="16">
        <f>SUM(第10章!K12:M14)-第10章!L13</f>
        <v>0</v>
      </c>
      <c r="M13" s="16">
        <f>SUM(第10章!L12:N14)-第10章!M13</f>
        <v>0</v>
      </c>
      <c r="N13" s="16">
        <f>SUM(第10章!M12:O14)-第10章!N13</f>
        <v>0</v>
      </c>
      <c r="O13" s="16">
        <f>SUM(第10章!N12:P14)-第10章!O13</f>
        <v>0</v>
      </c>
      <c r="P13" s="16">
        <f>SUM(第10章!O12:Q14)-第10章!P13</f>
        <v>0</v>
      </c>
      <c r="Q13" s="16">
        <f>SUM(第10章!P12:R14)-第10章!Q13</f>
        <v>0</v>
      </c>
      <c r="R13" s="16">
        <f>SUM(第10章!Q12:S14)-第10章!R13</f>
        <v>0</v>
      </c>
      <c r="S13" s="16">
        <f>SUM(第10章!R12:T14)-第10章!S13</f>
        <v>0</v>
      </c>
      <c r="T13" s="16">
        <f>SUM(第10章!S12:U14)-第10章!T13</f>
        <v>0</v>
      </c>
      <c r="U13" s="24">
        <f>SUM(第10章!T12:V14)-第10章!U13</f>
        <v>0</v>
      </c>
    </row>
    <row r="14" spans="2:21" ht="14.25" thickBot="1" x14ac:dyDescent="0.2">
      <c r="B14" s="16">
        <f>SUM(第10章!A13:C15)-第10章!B14</f>
        <v>0</v>
      </c>
      <c r="C14" s="16">
        <f>SUM(第10章!B13:D15)-第10章!C14</f>
        <v>0</v>
      </c>
      <c r="D14" s="16">
        <f>SUM(第10章!C13:E15)-第10章!D14</f>
        <v>0</v>
      </c>
      <c r="E14" s="16">
        <f>SUM(第10章!D13:F15)-第10章!E14</f>
        <v>0</v>
      </c>
      <c r="F14" s="16">
        <f>SUM(第10章!E13:G15)-第10章!F14</f>
        <v>0</v>
      </c>
      <c r="G14" s="16">
        <f>SUM(第10章!F13:H15)-第10章!G14</f>
        <v>0</v>
      </c>
      <c r="H14" s="16">
        <f>SUM(第10章!G13:I15)-第10章!H14</f>
        <v>0</v>
      </c>
      <c r="I14" s="16">
        <f>SUM(第10章!H13:J15)-第10章!I14</f>
        <v>0</v>
      </c>
      <c r="J14" s="16">
        <f>SUM(第10章!I13:K15)-第10章!J14</f>
        <v>0</v>
      </c>
      <c r="K14" s="16">
        <f>SUM(第10章!J13:L15)-第10章!K14</f>
        <v>0</v>
      </c>
      <c r="L14" s="16">
        <f>SUM(第10章!K13:M15)-第10章!L14</f>
        <v>0</v>
      </c>
      <c r="M14" s="16">
        <f>SUM(第10章!L13:N15)-第10章!M14</f>
        <v>0</v>
      </c>
      <c r="N14" s="16">
        <f>SUM(第10章!M13:O15)-第10章!N14</f>
        <v>0</v>
      </c>
      <c r="O14" s="16">
        <f>SUM(第10章!N13:P15)-第10章!O14</f>
        <v>0</v>
      </c>
      <c r="P14" s="16">
        <f>SUM(第10章!O13:Q15)-第10章!P14</f>
        <v>0</v>
      </c>
      <c r="Q14" s="16">
        <f>SUM(第10章!P13:R15)-第10章!Q14</f>
        <v>0</v>
      </c>
      <c r="R14" s="16">
        <f>SUM(第10章!Q13:S15)-第10章!R14</f>
        <v>0</v>
      </c>
      <c r="S14" s="16">
        <f>SUM(第10章!R13:T15)-第10章!S14</f>
        <v>0</v>
      </c>
      <c r="T14" s="16">
        <f>SUM(第10章!S13:U15)-第10章!T14</f>
        <v>0</v>
      </c>
      <c r="U14" s="24">
        <f>SUM(第10章!T13:V15)-第10章!U14</f>
        <v>0</v>
      </c>
    </row>
    <row r="15" spans="2:21" ht="14.25" thickBot="1" x14ac:dyDescent="0.2">
      <c r="B15" s="16">
        <f>SUM(第10章!A14:C16)-第10章!B15</f>
        <v>0</v>
      </c>
      <c r="C15" s="16">
        <f>SUM(第10章!B14:D16)-第10章!C15</f>
        <v>0</v>
      </c>
      <c r="D15" s="16">
        <f>SUM(第10章!C14:E16)-第10章!D15</f>
        <v>0</v>
      </c>
      <c r="E15" s="16">
        <f>SUM(第10章!D14:F16)-第10章!E15</f>
        <v>0</v>
      </c>
      <c r="F15" s="16">
        <f>SUM(第10章!E14:G16)-第10章!F15</f>
        <v>0</v>
      </c>
      <c r="G15" s="16">
        <f>SUM(第10章!F14:H16)-第10章!G15</f>
        <v>0</v>
      </c>
      <c r="H15" s="16">
        <f>SUM(第10章!G14:I16)-第10章!H15</f>
        <v>0</v>
      </c>
      <c r="I15" s="16">
        <f>SUM(第10章!H14:J16)-第10章!I15</f>
        <v>0</v>
      </c>
      <c r="J15" s="16">
        <f>SUM(第10章!I14:K16)-第10章!J15</f>
        <v>0</v>
      </c>
      <c r="K15" s="16">
        <f>SUM(第10章!J14:L16)-第10章!K15</f>
        <v>0</v>
      </c>
      <c r="L15" s="16">
        <f>SUM(第10章!K14:M16)-第10章!L15</f>
        <v>0</v>
      </c>
      <c r="M15" s="16">
        <f>SUM(第10章!L14:N16)-第10章!M15</f>
        <v>0</v>
      </c>
      <c r="N15" s="16">
        <f>SUM(第10章!M14:O16)-第10章!N15</f>
        <v>0</v>
      </c>
      <c r="O15" s="16">
        <f>SUM(第10章!N14:P16)-第10章!O15</f>
        <v>0</v>
      </c>
      <c r="P15" s="16">
        <f>SUM(第10章!O14:Q16)-第10章!P15</f>
        <v>0</v>
      </c>
      <c r="Q15" s="16">
        <f>SUM(第10章!P14:R16)-第10章!Q15</f>
        <v>0</v>
      </c>
      <c r="R15" s="16">
        <f>SUM(第10章!Q14:S16)-第10章!R15</f>
        <v>0</v>
      </c>
      <c r="S15" s="16">
        <f>SUM(第10章!R14:T16)-第10章!S15</f>
        <v>0</v>
      </c>
      <c r="T15" s="16">
        <f>SUM(第10章!S14:U16)-第10章!T15</f>
        <v>0</v>
      </c>
      <c r="U15" s="24">
        <f>SUM(第10章!T14:V16)-第10章!U15</f>
        <v>0</v>
      </c>
    </row>
    <row r="16" spans="2:21" ht="14.25" thickBot="1" x14ac:dyDescent="0.2">
      <c r="B16" s="16">
        <f>SUM(第10章!A15:C17)-第10章!B16</f>
        <v>0</v>
      </c>
      <c r="C16" s="16">
        <f>SUM(第10章!B15:D17)-第10章!C16</f>
        <v>0</v>
      </c>
      <c r="D16" s="16">
        <f>SUM(第10章!C15:E17)-第10章!D16</f>
        <v>0</v>
      </c>
      <c r="E16" s="16">
        <f>SUM(第10章!D15:F17)-第10章!E16</f>
        <v>0</v>
      </c>
      <c r="F16" s="16">
        <f>SUM(第10章!E15:G17)-第10章!F16</f>
        <v>0</v>
      </c>
      <c r="G16" s="16">
        <f>SUM(第10章!F15:H17)-第10章!G16</f>
        <v>0</v>
      </c>
      <c r="H16" s="16">
        <f>SUM(第10章!G15:I17)-第10章!H16</f>
        <v>0</v>
      </c>
      <c r="I16" s="16">
        <f>SUM(第10章!H15:J17)-第10章!I16</f>
        <v>0</v>
      </c>
      <c r="J16" s="16">
        <f>SUM(第10章!I15:K17)-第10章!J16</f>
        <v>0</v>
      </c>
      <c r="K16" s="16">
        <f>SUM(第10章!J15:L17)-第10章!K16</f>
        <v>0</v>
      </c>
      <c r="L16" s="16">
        <f>SUM(第10章!K15:M17)-第10章!L16</f>
        <v>0</v>
      </c>
      <c r="M16" s="16">
        <f>SUM(第10章!L15:N17)-第10章!M16</f>
        <v>0</v>
      </c>
      <c r="N16" s="16">
        <f>SUM(第10章!M15:O17)-第10章!N16</f>
        <v>0</v>
      </c>
      <c r="O16" s="16">
        <f>SUM(第10章!N15:P17)-第10章!O16</f>
        <v>0</v>
      </c>
      <c r="P16" s="16">
        <f>SUM(第10章!O15:Q17)-第10章!P16</f>
        <v>0</v>
      </c>
      <c r="Q16" s="16">
        <f>SUM(第10章!P15:R17)-第10章!Q16</f>
        <v>0</v>
      </c>
      <c r="R16" s="16">
        <f>SUM(第10章!Q15:S17)-第10章!R16</f>
        <v>0</v>
      </c>
      <c r="S16" s="16">
        <f>SUM(第10章!R15:T17)-第10章!S16</f>
        <v>0</v>
      </c>
      <c r="T16" s="16">
        <f>SUM(第10章!S15:U17)-第10章!T16</f>
        <v>0</v>
      </c>
      <c r="U16" s="24">
        <f>SUM(第10章!T15:V17)-第10章!U16</f>
        <v>0</v>
      </c>
    </row>
    <row r="17" spans="2:21" ht="14.25" thickBot="1" x14ac:dyDescent="0.2">
      <c r="B17" s="16">
        <f>SUM(第10章!A16:C18)-第10章!B17</f>
        <v>0</v>
      </c>
      <c r="C17" s="16">
        <f>SUM(第10章!B16:D18)-第10章!C17</f>
        <v>0</v>
      </c>
      <c r="D17" s="16">
        <f>SUM(第10章!C16:E18)-第10章!D17</f>
        <v>0</v>
      </c>
      <c r="E17" s="16">
        <f>SUM(第10章!D16:F18)-第10章!E17</f>
        <v>0</v>
      </c>
      <c r="F17" s="16">
        <f>SUM(第10章!E16:G18)-第10章!F17</f>
        <v>0</v>
      </c>
      <c r="G17" s="16">
        <f>SUM(第10章!F16:H18)-第10章!G17</f>
        <v>0</v>
      </c>
      <c r="H17" s="16">
        <f>SUM(第10章!G16:I18)-第10章!H17</f>
        <v>0</v>
      </c>
      <c r="I17" s="16">
        <f>SUM(第10章!H16:J18)-第10章!I17</f>
        <v>0</v>
      </c>
      <c r="J17" s="16">
        <f>SUM(第10章!I16:K18)-第10章!J17</f>
        <v>0</v>
      </c>
      <c r="K17" s="16">
        <f>SUM(第10章!J16:L18)-第10章!K17</f>
        <v>0</v>
      </c>
      <c r="L17" s="16">
        <f>SUM(第10章!K16:M18)-第10章!L17</f>
        <v>0</v>
      </c>
      <c r="M17" s="16">
        <f>SUM(第10章!L16:N18)-第10章!M17</f>
        <v>0</v>
      </c>
      <c r="N17" s="16">
        <f>SUM(第10章!M16:O18)-第10章!N17</f>
        <v>0</v>
      </c>
      <c r="O17" s="16">
        <f>SUM(第10章!N16:P18)-第10章!O17</f>
        <v>0</v>
      </c>
      <c r="P17" s="16">
        <f>SUM(第10章!O16:Q18)-第10章!P17</f>
        <v>0</v>
      </c>
      <c r="Q17" s="16">
        <f>SUM(第10章!P16:R18)-第10章!Q17</f>
        <v>0</v>
      </c>
      <c r="R17" s="16">
        <f>SUM(第10章!Q16:S18)-第10章!R17</f>
        <v>0</v>
      </c>
      <c r="S17" s="16">
        <f>SUM(第10章!R16:T18)-第10章!S17</f>
        <v>0</v>
      </c>
      <c r="T17" s="16">
        <f>SUM(第10章!S16:U18)-第10章!T17</f>
        <v>0</v>
      </c>
      <c r="U17" s="24">
        <f>SUM(第10章!T16:V18)-第10章!U17</f>
        <v>0</v>
      </c>
    </row>
    <row r="18" spans="2:21" ht="14.25" thickBot="1" x14ac:dyDescent="0.2">
      <c r="B18" s="16">
        <f>SUM(第10章!A17:C19)-第10章!B18</f>
        <v>0</v>
      </c>
      <c r="C18" s="16">
        <f>SUM(第10章!B17:D19)-第10章!C18</f>
        <v>0</v>
      </c>
      <c r="D18" s="16">
        <f>SUM(第10章!C17:E19)-第10章!D18</f>
        <v>0</v>
      </c>
      <c r="E18" s="16">
        <f>SUM(第10章!D17:F19)-第10章!E18</f>
        <v>0</v>
      </c>
      <c r="F18" s="16">
        <f>SUM(第10章!E17:G19)-第10章!F18</f>
        <v>0</v>
      </c>
      <c r="G18" s="16">
        <f>SUM(第10章!F17:H19)-第10章!G18</f>
        <v>0</v>
      </c>
      <c r="H18" s="16">
        <f>SUM(第10章!G17:I19)-第10章!H18</f>
        <v>0</v>
      </c>
      <c r="I18" s="16">
        <f>SUM(第10章!H17:J19)-第10章!I18</f>
        <v>0</v>
      </c>
      <c r="J18" s="16">
        <f>SUM(第10章!I17:K19)-第10章!J18</f>
        <v>0</v>
      </c>
      <c r="K18" s="16">
        <f>SUM(第10章!J17:L19)-第10章!K18</f>
        <v>0</v>
      </c>
      <c r="L18" s="16">
        <f>SUM(第10章!K17:M19)-第10章!L18</f>
        <v>0</v>
      </c>
      <c r="M18" s="16">
        <f>SUM(第10章!L17:N19)-第10章!M18</f>
        <v>0</v>
      </c>
      <c r="N18" s="16">
        <f>SUM(第10章!M17:O19)-第10章!N18</f>
        <v>0</v>
      </c>
      <c r="O18" s="16">
        <f>SUM(第10章!N17:P19)-第10章!O18</f>
        <v>0</v>
      </c>
      <c r="P18" s="16">
        <f>SUM(第10章!O17:Q19)-第10章!P18</f>
        <v>0</v>
      </c>
      <c r="Q18" s="16">
        <f>SUM(第10章!P17:R19)-第10章!Q18</f>
        <v>0</v>
      </c>
      <c r="R18" s="16">
        <f>SUM(第10章!Q17:S19)-第10章!R18</f>
        <v>0</v>
      </c>
      <c r="S18" s="16">
        <f>SUM(第10章!R17:T19)-第10章!S18</f>
        <v>0</v>
      </c>
      <c r="T18" s="16">
        <f>SUM(第10章!S17:U19)-第10章!T18</f>
        <v>0</v>
      </c>
      <c r="U18" s="24">
        <f>SUM(第10章!T17:V19)-第10章!U18</f>
        <v>0</v>
      </c>
    </row>
    <row r="19" spans="2:21" ht="14.25" thickBot="1" x14ac:dyDescent="0.2">
      <c r="B19" s="16">
        <f>SUM(第10章!A18:C20)-第10章!B19</f>
        <v>0</v>
      </c>
      <c r="C19" s="16">
        <f>SUM(第10章!B18:D20)-第10章!C19</f>
        <v>0</v>
      </c>
      <c r="D19" s="16">
        <f>SUM(第10章!C18:E20)-第10章!D19</f>
        <v>0</v>
      </c>
      <c r="E19" s="16">
        <f>SUM(第10章!D18:F20)-第10章!E19</f>
        <v>0</v>
      </c>
      <c r="F19" s="16">
        <f>SUM(第10章!E18:G20)-第10章!F19</f>
        <v>0</v>
      </c>
      <c r="G19" s="16">
        <f>SUM(第10章!F18:H20)-第10章!G19</f>
        <v>0</v>
      </c>
      <c r="H19" s="16">
        <f>SUM(第10章!G18:I20)-第10章!H19</f>
        <v>0</v>
      </c>
      <c r="I19" s="16">
        <f>SUM(第10章!H18:J20)-第10章!I19</f>
        <v>0</v>
      </c>
      <c r="J19" s="16">
        <f>SUM(第10章!I18:K20)-第10章!J19</f>
        <v>0</v>
      </c>
      <c r="K19" s="16">
        <f>SUM(第10章!J18:L20)-第10章!K19</f>
        <v>0</v>
      </c>
      <c r="L19" s="16">
        <f>SUM(第10章!K18:M20)-第10章!L19</f>
        <v>0</v>
      </c>
      <c r="M19" s="16">
        <f>SUM(第10章!L18:N20)-第10章!M19</f>
        <v>0</v>
      </c>
      <c r="N19" s="16">
        <f>SUM(第10章!M18:O20)-第10章!N19</f>
        <v>0</v>
      </c>
      <c r="O19" s="16">
        <f>SUM(第10章!N18:P20)-第10章!O19</f>
        <v>0</v>
      </c>
      <c r="P19" s="16">
        <f>SUM(第10章!O18:Q20)-第10章!P19</f>
        <v>0</v>
      </c>
      <c r="Q19" s="16">
        <f>SUM(第10章!P18:R20)-第10章!Q19</f>
        <v>0</v>
      </c>
      <c r="R19" s="16">
        <f>SUM(第10章!Q18:S20)-第10章!R19</f>
        <v>0</v>
      </c>
      <c r="S19" s="16">
        <f>SUM(第10章!R18:T20)-第10章!S19</f>
        <v>0</v>
      </c>
      <c r="T19" s="16">
        <f>SUM(第10章!S18:U20)-第10章!T19</f>
        <v>0</v>
      </c>
      <c r="U19" s="24">
        <f>SUM(第10章!T18:V20)-第10章!U19</f>
        <v>0</v>
      </c>
    </row>
    <row r="20" spans="2:21" ht="14.25" thickBot="1" x14ac:dyDescent="0.2">
      <c r="B20" s="16">
        <f>SUM(第10章!A19:C21)-第10章!B20</f>
        <v>0</v>
      </c>
      <c r="C20" s="16">
        <f>SUM(第10章!B19:D21)-第10章!C20</f>
        <v>0</v>
      </c>
      <c r="D20" s="16">
        <f>SUM(第10章!C19:E21)-第10章!D20</f>
        <v>0</v>
      </c>
      <c r="E20" s="16">
        <f>SUM(第10章!D19:F21)-第10章!E20</f>
        <v>0</v>
      </c>
      <c r="F20" s="16">
        <f>SUM(第10章!E19:G21)-第10章!F20</f>
        <v>0</v>
      </c>
      <c r="G20" s="16">
        <f>SUM(第10章!F19:H21)-第10章!G20</f>
        <v>0</v>
      </c>
      <c r="H20" s="16">
        <f>SUM(第10章!G19:I21)-第10章!H20</f>
        <v>0</v>
      </c>
      <c r="I20" s="16">
        <f>SUM(第10章!H19:J21)-第10章!I20</f>
        <v>0</v>
      </c>
      <c r="J20" s="16">
        <f>SUM(第10章!I19:K21)-第10章!J20</f>
        <v>0</v>
      </c>
      <c r="K20" s="16">
        <f>SUM(第10章!J19:L21)-第10章!K20</f>
        <v>0</v>
      </c>
      <c r="L20" s="16">
        <f>SUM(第10章!K19:M21)-第10章!L20</f>
        <v>0</v>
      </c>
      <c r="M20" s="16">
        <f>SUM(第10章!L19:N21)-第10章!M20</f>
        <v>0</v>
      </c>
      <c r="N20" s="16">
        <f>SUM(第10章!M19:O21)-第10章!N20</f>
        <v>0</v>
      </c>
      <c r="O20" s="16">
        <f>SUM(第10章!N19:P21)-第10章!O20</f>
        <v>0</v>
      </c>
      <c r="P20" s="16">
        <f>SUM(第10章!O19:Q21)-第10章!P20</f>
        <v>0</v>
      </c>
      <c r="Q20" s="16">
        <f>SUM(第10章!P19:R21)-第10章!Q20</f>
        <v>0</v>
      </c>
      <c r="R20" s="16">
        <f>SUM(第10章!Q19:S21)-第10章!R20</f>
        <v>0</v>
      </c>
      <c r="S20" s="16">
        <f>SUM(第10章!R19:T21)-第10章!S20</f>
        <v>0</v>
      </c>
      <c r="T20" s="16">
        <f>SUM(第10章!S19:U21)-第10章!T20</f>
        <v>0</v>
      </c>
      <c r="U20" s="24">
        <f>SUM(第10章!T19:V21)-第10章!U20</f>
        <v>0</v>
      </c>
    </row>
    <row r="21" spans="2:21" ht="14.25" thickBot="1" x14ac:dyDescent="0.2">
      <c r="B21" s="25">
        <f>SUM(第10章!A20:C22)-第10章!B21</f>
        <v>0</v>
      </c>
      <c r="C21" s="25">
        <f>SUM(第10章!B20:D22)-第10章!C21</f>
        <v>0</v>
      </c>
      <c r="D21" s="25">
        <f>SUM(第10章!C20:E22)-第10章!D21</f>
        <v>0</v>
      </c>
      <c r="E21" s="25">
        <f>SUM(第10章!D20:F22)-第10章!E21</f>
        <v>0</v>
      </c>
      <c r="F21" s="25">
        <f>SUM(第10章!E20:G22)-第10章!F21</f>
        <v>0</v>
      </c>
      <c r="G21" s="25">
        <f>SUM(第10章!F20:H22)-第10章!G21</f>
        <v>0</v>
      </c>
      <c r="H21" s="25">
        <f>SUM(第10章!G20:I22)-第10章!H21</f>
        <v>0</v>
      </c>
      <c r="I21" s="25">
        <f>SUM(第10章!H20:J22)-第10章!I21</f>
        <v>0</v>
      </c>
      <c r="J21" s="25">
        <f>SUM(第10章!I20:K22)-第10章!J21</f>
        <v>0</v>
      </c>
      <c r="K21" s="25">
        <f>SUM(第10章!J20:L22)-第10章!K21</f>
        <v>0</v>
      </c>
      <c r="L21" s="25">
        <f>SUM(第10章!K20:M22)-第10章!L21</f>
        <v>0</v>
      </c>
      <c r="M21" s="25">
        <f>SUM(第10章!L20:N22)-第10章!M21</f>
        <v>0</v>
      </c>
      <c r="N21" s="25">
        <f>SUM(第10章!M20:O22)-第10章!N21</f>
        <v>0</v>
      </c>
      <c r="O21" s="25">
        <f>SUM(第10章!N20:P22)-第10章!O21</f>
        <v>0</v>
      </c>
      <c r="P21" s="25">
        <f>SUM(第10章!O20:Q22)-第10章!P21</f>
        <v>0</v>
      </c>
      <c r="Q21" s="25">
        <f>SUM(第10章!P20:R22)-第10章!Q21</f>
        <v>0</v>
      </c>
      <c r="R21" s="25">
        <f>SUM(第10章!Q20:S22)-第10章!R21</f>
        <v>0</v>
      </c>
      <c r="S21" s="25">
        <f>SUM(第10章!R20:T22)-第10章!S21</f>
        <v>0</v>
      </c>
      <c r="T21" s="25">
        <f>SUM(第10章!S20:U22)-第10章!T21</f>
        <v>0</v>
      </c>
      <c r="U21" s="26">
        <f>SUM(第10章!T20:V22)-第10章!U21</f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22"/>
  <sheetViews>
    <sheetView workbookViewId="0">
      <selection activeCell="B2" sqref="B2:U21"/>
    </sheetView>
  </sheetViews>
  <sheetFormatPr defaultColWidth="2.625" defaultRowHeight="13.5" x14ac:dyDescent="0.15"/>
  <sheetData>
    <row r="1" spans="1:22" ht="14.25" thickBot="1" x14ac:dyDescent="0.2">
      <c r="A1">
        <f>A21</f>
        <v>0</v>
      </c>
      <c r="B1">
        <f t="shared" ref="B1:U1" si="0">B21</f>
        <v>0</v>
      </c>
      <c r="C1">
        <f t="shared" si="0"/>
        <v>0</v>
      </c>
      <c r="D1">
        <f t="shared" si="0"/>
        <v>0</v>
      </c>
      <c r="E1">
        <f t="shared" si="0"/>
        <v>0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  <c r="J1">
        <f t="shared" si="0"/>
        <v>0</v>
      </c>
      <c r="K1">
        <f t="shared" si="0"/>
        <v>0</v>
      </c>
      <c r="L1">
        <f t="shared" si="0"/>
        <v>0</v>
      </c>
      <c r="M1">
        <f t="shared" si="0"/>
        <v>0</v>
      </c>
      <c r="N1">
        <f t="shared" si="0"/>
        <v>0</v>
      </c>
      <c r="O1">
        <f t="shared" si="0"/>
        <v>0</v>
      </c>
      <c r="P1">
        <f t="shared" si="0"/>
        <v>0</v>
      </c>
      <c r="Q1">
        <f t="shared" si="0"/>
        <v>0</v>
      </c>
      <c r="R1">
        <f t="shared" si="0"/>
        <v>0</v>
      </c>
      <c r="S1">
        <f t="shared" si="0"/>
        <v>0</v>
      </c>
      <c r="T1">
        <f t="shared" si="0"/>
        <v>0</v>
      </c>
      <c r="U1">
        <f t="shared" si="0"/>
        <v>0</v>
      </c>
      <c r="V1">
        <f>B1</f>
        <v>0</v>
      </c>
    </row>
    <row r="2" spans="1:22" x14ac:dyDescent="0.15">
      <c r="A2">
        <f>U2</f>
        <v>0</v>
      </c>
      <c r="B2" s="16">
        <f>INDEX('第10章（ルール表）'!$A$1:$I$2,第10章!$B$2+1,'第10章（セル値の合計）'!B2+1)</f>
        <v>0</v>
      </c>
      <c r="C2" s="17">
        <f>INDEX('第10章（ルール表）'!$A$1:$I$2,第10章!$B$2+1,'第10章（セル値の合計）'!C2+1)</f>
        <v>0</v>
      </c>
      <c r="D2" s="17">
        <f>INDEX('第10章（ルール表）'!$A$1:$I$2,第10章!$B$2+1,'第10章（セル値の合計）'!D2+1)</f>
        <v>0</v>
      </c>
      <c r="E2" s="17">
        <f>INDEX('第10章（ルール表）'!$A$1:$I$2,第10章!$B$2+1,'第10章（セル値の合計）'!E2+1)</f>
        <v>0</v>
      </c>
      <c r="F2" s="17">
        <f>INDEX('第10章（ルール表）'!$A$1:$I$2,第10章!$B$2+1,'第10章（セル値の合計）'!F2+1)</f>
        <v>0</v>
      </c>
      <c r="G2" s="17">
        <f>INDEX('第10章（ルール表）'!$A$1:$I$2,第10章!$B$2+1,'第10章（セル値の合計）'!G2+1)</f>
        <v>0</v>
      </c>
      <c r="H2" s="17">
        <f>INDEX('第10章（ルール表）'!$A$1:$I$2,第10章!$B$2+1,'第10章（セル値の合計）'!H2+1)</f>
        <v>0</v>
      </c>
      <c r="I2" s="17">
        <f>INDEX('第10章（ルール表）'!$A$1:$I$2,第10章!$B$2+1,'第10章（セル値の合計）'!I2+1)</f>
        <v>0</v>
      </c>
      <c r="J2" s="17">
        <f>INDEX('第10章（ルール表）'!$A$1:$I$2,第10章!$B$2+1,'第10章（セル値の合計）'!J2+1)</f>
        <v>0</v>
      </c>
      <c r="K2" s="17">
        <f>INDEX('第10章（ルール表）'!$A$1:$I$2,第10章!$B$2+1,'第10章（セル値の合計）'!K2+1)</f>
        <v>0</v>
      </c>
      <c r="L2" s="17">
        <f>INDEX('第10章（ルール表）'!$A$1:$I$2,第10章!$B$2+1,'第10章（セル値の合計）'!L2+1)</f>
        <v>0</v>
      </c>
      <c r="M2" s="17">
        <f>INDEX('第10章（ルール表）'!$A$1:$I$2,第10章!$B$2+1,'第10章（セル値の合計）'!M2+1)</f>
        <v>0</v>
      </c>
      <c r="N2" s="17">
        <f>INDEX('第10章（ルール表）'!$A$1:$I$2,第10章!$B$2+1,'第10章（セル値の合計）'!N2+1)</f>
        <v>0</v>
      </c>
      <c r="O2" s="17">
        <f>INDEX('第10章（ルール表）'!$A$1:$I$2,第10章!$B$2+1,'第10章（セル値の合計）'!O2+1)</f>
        <v>0</v>
      </c>
      <c r="P2" s="17">
        <f>INDEX('第10章（ルール表）'!$A$1:$I$2,第10章!$B$2+1,'第10章（セル値の合計）'!P2+1)</f>
        <v>0</v>
      </c>
      <c r="Q2" s="17">
        <f>INDEX('第10章（ルール表）'!$A$1:$I$2,第10章!$B$2+1,'第10章（セル値の合計）'!Q2+1)</f>
        <v>0</v>
      </c>
      <c r="R2" s="17">
        <f>INDEX('第10章（ルール表）'!$A$1:$I$2,第10章!$B$2+1,'第10章（セル値の合計）'!R2+1)</f>
        <v>0</v>
      </c>
      <c r="S2" s="17">
        <f>INDEX('第10章（ルール表）'!$A$1:$I$2,第10章!$B$2+1,'第10章（セル値の合計）'!S2+1)</f>
        <v>0</v>
      </c>
      <c r="T2" s="17">
        <f>INDEX('第10章（ルール表）'!$A$1:$I$2,第10章!$B$2+1,'第10章（セル値の合計）'!T2+1)</f>
        <v>0</v>
      </c>
      <c r="U2" s="18">
        <f>INDEX('第10章（ルール表）'!$A$1:$I$2,第10章!$B$2+1,'第10章（セル値の合計）'!U2+1)</f>
        <v>0</v>
      </c>
      <c r="V2">
        <f t="shared" ref="V2:V21" si="1">B2</f>
        <v>0</v>
      </c>
    </row>
    <row r="3" spans="1:22" x14ac:dyDescent="0.15">
      <c r="A3">
        <f t="shared" ref="A3:A21" si="2">U3</f>
        <v>0</v>
      </c>
      <c r="B3" s="19">
        <f>INDEX('第10章（ルール表）'!$A$1:$I$2,第10章!$B$2+1,'第10章（セル値の合計）'!B3+1)</f>
        <v>0</v>
      </c>
      <c r="C3" s="9">
        <f>INDEX('第10章（ルール表）'!$A$1:$I$2,第10章!$B$2+1,'第10章（セル値の合計）'!C3+1)</f>
        <v>0</v>
      </c>
      <c r="D3" s="9">
        <f>INDEX('第10章（ルール表）'!$A$1:$I$2,第10章!$B$2+1,'第10章（セル値の合計）'!D3+1)</f>
        <v>0</v>
      </c>
      <c r="E3" s="9">
        <f>INDEX('第10章（ルール表）'!$A$1:$I$2,第10章!$B$2+1,'第10章（セル値の合計）'!E3+1)</f>
        <v>0</v>
      </c>
      <c r="F3" s="9">
        <f>INDEX('第10章（ルール表）'!$A$1:$I$2,第10章!$B$2+1,'第10章（セル値の合計）'!F3+1)</f>
        <v>0</v>
      </c>
      <c r="G3" s="9">
        <f>INDEX('第10章（ルール表）'!$A$1:$I$2,第10章!$B$2+1,'第10章（セル値の合計）'!G3+1)</f>
        <v>0</v>
      </c>
      <c r="H3" s="9">
        <f>INDEX('第10章（ルール表）'!$A$1:$I$2,第10章!$B$2+1,'第10章（セル値の合計）'!H3+1)</f>
        <v>0</v>
      </c>
      <c r="I3" s="9">
        <f>INDEX('第10章（ルール表）'!$A$1:$I$2,第10章!$B$2+1,'第10章（セル値の合計）'!I3+1)</f>
        <v>0</v>
      </c>
      <c r="J3" s="9">
        <f>INDEX('第10章（ルール表）'!$A$1:$I$2,第10章!$B$2+1,'第10章（セル値の合計）'!J3+1)</f>
        <v>0</v>
      </c>
      <c r="K3" s="9">
        <f>INDEX('第10章（ルール表）'!$A$1:$I$2,第10章!$B$2+1,'第10章（セル値の合計）'!K3+1)</f>
        <v>0</v>
      </c>
      <c r="L3" s="9">
        <f>INDEX('第10章（ルール表）'!$A$1:$I$2,第10章!$B$2+1,'第10章（セル値の合計）'!L3+1)</f>
        <v>0</v>
      </c>
      <c r="M3" s="9">
        <f>INDEX('第10章（ルール表）'!$A$1:$I$2,第10章!$B$2+1,'第10章（セル値の合計）'!M3+1)</f>
        <v>0</v>
      </c>
      <c r="N3" s="9">
        <f>INDEX('第10章（ルール表）'!$A$1:$I$2,第10章!$B$2+1,'第10章（セル値の合計）'!N3+1)</f>
        <v>0</v>
      </c>
      <c r="O3" s="9">
        <f>INDEX('第10章（ルール表）'!$A$1:$I$2,第10章!$B$2+1,'第10章（セル値の合計）'!O3+1)</f>
        <v>0</v>
      </c>
      <c r="P3" s="9">
        <f>INDEX('第10章（ルール表）'!$A$1:$I$2,第10章!$B$2+1,'第10章（セル値の合計）'!P3+1)</f>
        <v>0</v>
      </c>
      <c r="Q3" s="9">
        <f>INDEX('第10章（ルール表）'!$A$1:$I$2,第10章!$B$2+1,'第10章（セル値の合計）'!Q3+1)</f>
        <v>0</v>
      </c>
      <c r="R3" s="9">
        <f>INDEX('第10章（ルール表）'!$A$1:$I$2,第10章!$B$2+1,'第10章（セル値の合計）'!R3+1)</f>
        <v>0</v>
      </c>
      <c r="S3" s="9">
        <f>INDEX('第10章（ルール表）'!$A$1:$I$2,第10章!$B$2+1,'第10章（セル値の合計）'!S3+1)</f>
        <v>0</v>
      </c>
      <c r="T3" s="9">
        <f>INDEX('第10章（ルール表）'!$A$1:$I$2,第10章!$B$2+1,'第10章（セル値の合計）'!T3+1)</f>
        <v>0</v>
      </c>
      <c r="U3" s="20">
        <f>INDEX('第10章（ルール表）'!$A$1:$I$2,第10章!$B$2+1,'第10章（セル値の合計）'!U3+1)</f>
        <v>0</v>
      </c>
      <c r="V3">
        <f t="shared" si="1"/>
        <v>0</v>
      </c>
    </row>
    <row r="4" spans="1:22" x14ac:dyDescent="0.15">
      <c r="A4">
        <f t="shared" si="2"/>
        <v>0</v>
      </c>
      <c r="B4" s="19">
        <f>INDEX('第10章（ルール表）'!$A$1:$I$2,第10章!$B$2+1,'第10章（セル値の合計）'!B4+1)</f>
        <v>0</v>
      </c>
      <c r="C4" s="9">
        <f>INDEX('第10章（ルール表）'!$A$1:$I$2,第10章!$B$2+1,'第10章（セル値の合計）'!C4+1)</f>
        <v>0</v>
      </c>
      <c r="D4" s="9">
        <f>INDEX('第10章（ルール表）'!$A$1:$I$2,第10章!$B$2+1,'第10章（セル値の合計）'!D4+1)</f>
        <v>0</v>
      </c>
      <c r="E4" s="9">
        <f>INDEX('第10章（ルール表）'!$A$1:$I$2,第10章!$B$2+1,'第10章（セル値の合計）'!E4+1)</f>
        <v>0</v>
      </c>
      <c r="F4" s="9">
        <f>INDEX('第10章（ルール表）'!$A$1:$I$2,第10章!$B$2+1,'第10章（セル値の合計）'!F4+1)</f>
        <v>0</v>
      </c>
      <c r="G4" s="9">
        <f>INDEX('第10章（ルール表）'!$A$1:$I$2,第10章!$B$2+1,'第10章（セル値の合計）'!G4+1)</f>
        <v>0</v>
      </c>
      <c r="H4" s="9">
        <f>INDEX('第10章（ルール表）'!$A$1:$I$2,第10章!$B$2+1,'第10章（セル値の合計）'!H4+1)</f>
        <v>0</v>
      </c>
      <c r="I4" s="9">
        <f>INDEX('第10章（ルール表）'!$A$1:$I$2,第10章!$B$2+1,'第10章（セル値の合計）'!I4+1)</f>
        <v>0</v>
      </c>
      <c r="J4" s="9">
        <f>INDEX('第10章（ルール表）'!$A$1:$I$2,第10章!$B$2+1,'第10章（セル値の合計）'!J4+1)</f>
        <v>0</v>
      </c>
      <c r="K4" s="9">
        <f>INDEX('第10章（ルール表）'!$A$1:$I$2,第10章!$B$2+1,'第10章（セル値の合計）'!K4+1)</f>
        <v>0</v>
      </c>
      <c r="L4" s="9">
        <f>INDEX('第10章（ルール表）'!$A$1:$I$2,第10章!$B$2+1,'第10章（セル値の合計）'!L4+1)</f>
        <v>0</v>
      </c>
      <c r="M4" s="9">
        <f>INDEX('第10章（ルール表）'!$A$1:$I$2,第10章!$B$2+1,'第10章（セル値の合計）'!M4+1)</f>
        <v>0</v>
      </c>
      <c r="N4" s="9">
        <f>INDEX('第10章（ルール表）'!$A$1:$I$2,第10章!$B$2+1,'第10章（セル値の合計）'!N4+1)</f>
        <v>0</v>
      </c>
      <c r="O4" s="9">
        <f>INDEX('第10章（ルール表）'!$A$1:$I$2,第10章!$B$2+1,'第10章（セル値の合計）'!O4+1)</f>
        <v>0</v>
      </c>
      <c r="P4" s="9">
        <f>INDEX('第10章（ルール表）'!$A$1:$I$2,第10章!$B$2+1,'第10章（セル値の合計）'!P4+1)</f>
        <v>0</v>
      </c>
      <c r="Q4" s="9">
        <f>INDEX('第10章（ルール表）'!$A$1:$I$2,第10章!$B$2+1,'第10章（セル値の合計）'!Q4+1)</f>
        <v>0</v>
      </c>
      <c r="R4" s="9">
        <f>INDEX('第10章（ルール表）'!$A$1:$I$2,第10章!$B$2+1,'第10章（セル値の合計）'!R4+1)</f>
        <v>0</v>
      </c>
      <c r="S4" s="9">
        <f>INDEX('第10章（ルール表）'!$A$1:$I$2,第10章!$B$2+1,'第10章（セル値の合計）'!S4+1)</f>
        <v>0</v>
      </c>
      <c r="T4" s="9">
        <f>INDEX('第10章（ルール表）'!$A$1:$I$2,第10章!$B$2+1,'第10章（セル値の合計）'!T4+1)</f>
        <v>0</v>
      </c>
      <c r="U4" s="20">
        <f>INDEX('第10章（ルール表）'!$A$1:$I$2,第10章!$B$2+1,'第10章（セル値の合計）'!U4+1)</f>
        <v>0</v>
      </c>
      <c r="V4">
        <f t="shared" si="1"/>
        <v>0</v>
      </c>
    </row>
    <row r="5" spans="1:22" x14ac:dyDescent="0.15">
      <c r="A5">
        <f t="shared" si="2"/>
        <v>0</v>
      </c>
      <c r="B5" s="19">
        <f>INDEX('第10章（ルール表）'!$A$1:$I$2,第10章!$B$2+1,'第10章（セル値の合計）'!B5+1)</f>
        <v>0</v>
      </c>
      <c r="C5" s="9">
        <f>INDEX('第10章（ルール表）'!$A$1:$I$2,第10章!$B$2+1,'第10章（セル値の合計）'!C5+1)</f>
        <v>0</v>
      </c>
      <c r="D5" s="9">
        <f>INDEX('第10章（ルール表）'!$A$1:$I$2,第10章!$B$2+1,'第10章（セル値の合計）'!D5+1)</f>
        <v>0</v>
      </c>
      <c r="E5" s="9">
        <f>INDEX('第10章（ルール表）'!$A$1:$I$2,第10章!$B$2+1,'第10章（セル値の合計）'!E5+1)</f>
        <v>0</v>
      </c>
      <c r="F5" s="9">
        <f>INDEX('第10章（ルール表）'!$A$1:$I$2,第10章!$B$2+1,'第10章（セル値の合計）'!F5+1)</f>
        <v>0</v>
      </c>
      <c r="G5" s="9">
        <f>INDEX('第10章（ルール表）'!$A$1:$I$2,第10章!$B$2+1,'第10章（セル値の合計）'!G5+1)</f>
        <v>0</v>
      </c>
      <c r="H5" s="9">
        <f>INDEX('第10章（ルール表）'!$A$1:$I$2,第10章!$B$2+1,'第10章（セル値の合計）'!H5+1)</f>
        <v>0</v>
      </c>
      <c r="I5" s="9">
        <f>INDEX('第10章（ルール表）'!$A$1:$I$2,第10章!$B$2+1,'第10章（セル値の合計）'!I5+1)</f>
        <v>0</v>
      </c>
      <c r="J5" s="9">
        <f>INDEX('第10章（ルール表）'!$A$1:$I$2,第10章!$B$2+1,'第10章（セル値の合計）'!J5+1)</f>
        <v>0</v>
      </c>
      <c r="K5" s="9">
        <f>INDEX('第10章（ルール表）'!$A$1:$I$2,第10章!$B$2+1,'第10章（セル値の合計）'!K5+1)</f>
        <v>0</v>
      </c>
      <c r="L5" s="9">
        <f>INDEX('第10章（ルール表）'!$A$1:$I$2,第10章!$B$2+1,'第10章（セル値の合計）'!L5+1)</f>
        <v>0</v>
      </c>
      <c r="M5" s="9">
        <f>INDEX('第10章（ルール表）'!$A$1:$I$2,第10章!$B$2+1,'第10章（セル値の合計）'!M5+1)</f>
        <v>0</v>
      </c>
      <c r="N5" s="9">
        <f>INDEX('第10章（ルール表）'!$A$1:$I$2,第10章!$B$2+1,'第10章（セル値の合計）'!N5+1)</f>
        <v>0</v>
      </c>
      <c r="O5" s="9">
        <f>INDEX('第10章（ルール表）'!$A$1:$I$2,第10章!$B$2+1,'第10章（セル値の合計）'!O5+1)</f>
        <v>0</v>
      </c>
      <c r="P5" s="9">
        <f>INDEX('第10章（ルール表）'!$A$1:$I$2,第10章!$B$2+1,'第10章（セル値の合計）'!P5+1)</f>
        <v>0</v>
      </c>
      <c r="Q5" s="9">
        <f>INDEX('第10章（ルール表）'!$A$1:$I$2,第10章!$B$2+1,'第10章（セル値の合計）'!Q5+1)</f>
        <v>0</v>
      </c>
      <c r="R5" s="9">
        <f>INDEX('第10章（ルール表）'!$A$1:$I$2,第10章!$B$2+1,'第10章（セル値の合計）'!R5+1)</f>
        <v>0</v>
      </c>
      <c r="S5" s="9">
        <f>INDEX('第10章（ルール表）'!$A$1:$I$2,第10章!$B$2+1,'第10章（セル値の合計）'!S5+1)</f>
        <v>0</v>
      </c>
      <c r="T5" s="9">
        <f>INDEX('第10章（ルール表）'!$A$1:$I$2,第10章!$B$2+1,'第10章（セル値の合計）'!T5+1)</f>
        <v>0</v>
      </c>
      <c r="U5" s="20">
        <f>INDEX('第10章（ルール表）'!$A$1:$I$2,第10章!$B$2+1,'第10章（セル値の合計）'!U5+1)</f>
        <v>0</v>
      </c>
      <c r="V5">
        <f t="shared" si="1"/>
        <v>0</v>
      </c>
    </row>
    <row r="6" spans="1:22" x14ac:dyDescent="0.15">
      <c r="A6">
        <f t="shared" si="2"/>
        <v>0</v>
      </c>
      <c r="B6" s="19">
        <f>INDEX('第10章（ルール表）'!$A$1:$I$2,第10章!$B$2+1,'第10章（セル値の合計）'!B6+1)</f>
        <v>0</v>
      </c>
      <c r="C6" s="9">
        <f>INDEX('第10章（ルール表）'!$A$1:$I$2,第10章!$B$2+1,'第10章（セル値の合計）'!C6+1)</f>
        <v>0</v>
      </c>
      <c r="D6" s="9">
        <f>INDEX('第10章（ルール表）'!$A$1:$I$2,第10章!$B$2+1,'第10章（セル値の合計）'!D6+1)</f>
        <v>0</v>
      </c>
      <c r="E6" s="9">
        <f>INDEX('第10章（ルール表）'!$A$1:$I$2,第10章!$B$2+1,'第10章（セル値の合計）'!E6+1)</f>
        <v>0</v>
      </c>
      <c r="F6" s="9">
        <f>INDEX('第10章（ルール表）'!$A$1:$I$2,第10章!$B$2+1,'第10章（セル値の合計）'!F6+1)</f>
        <v>0</v>
      </c>
      <c r="G6" s="9">
        <f>INDEX('第10章（ルール表）'!$A$1:$I$2,第10章!$B$2+1,'第10章（セル値の合計）'!G6+1)</f>
        <v>0</v>
      </c>
      <c r="H6" s="9">
        <f>INDEX('第10章（ルール表）'!$A$1:$I$2,第10章!$B$2+1,'第10章（セル値の合計）'!H6+1)</f>
        <v>0</v>
      </c>
      <c r="I6" s="9">
        <f>INDEX('第10章（ルール表）'!$A$1:$I$2,第10章!$B$2+1,'第10章（セル値の合計）'!I6+1)</f>
        <v>0</v>
      </c>
      <c r="J6" s="9">
        <f>INDEX('第10章（ルール表）'!$A$1:$I$2,第10章!$B$2+1,'第10章（セル値の合計）'!J6+1)</f>
        <v>0</v>
      </c>
      <c r="K6" s="9">
        <f>INDEX('第10章（ルール表）'!$A$1:$I$2,第10章!$B$2+1,'第10章（セル値の合計）'!K6+1)</f>
        <v>0</v>
      </c>
      <c r="L6" s="9">
        <f>INDEX('第10章（ルール表）'!$A$1:$I$2,第10章!$B$2+1,'第10章（セル値の合計）'!L6+1)</f>
        <v>0</v>
      </c>
      <c r="M6" s="9">
        <f>INDEX('第10章（ルール表）'!$A$1:$I$2,第10章!$B$2+1,'第10章（セル値の合計）'!M6+1)</f>
        <v>0</v>
      </c>
      <c r="N6" s="9">
        <f>INDEX('第10章（ルール表）'!$A$1:$I$2,第10章!$B$2+1,'第10章（セル値の合計）'!N6+1)</f>
        <v>0</v>
      </c>
      <c r="O6" s="9">
        <f>INDEX('第10章（ルール表）'!$A$1:$I$2,第10章!$B$2+1,'第10章（セル値の合計）'!O6+1)</f>
        <v>0</v>
      </c>
      <c r="P6" s="9">
        <f>INDEX('第10章（ルール表）'!$A$1:$I$2,第10章!$B$2+1,'第10章（セル値の合計）'!P6+1)</f>
        <v>0</v>
      </c>
      <c r="Q6" s="9">
        <f>INDEX('第10章（ルール表）'!$A$1:$I$2,第10章!$B$2+1,'第10章（セル値の合計）'!Q6+1)</f>
        <v>0</v>
      </c>
      <c r="R6" s="9">
        <f>INDEX('第10章（ルール表）'!$A$1:$I$2,第10章!$B$2+1,'第10章（セル値の合計）'!R6+1)</f>
        <v>0</v>
      </c>
      <c r="S6" s="9">
        <f>INDEX('第10章（ルール表）'!$A$1:$I$2,第10章!$B$2+1,'第10章（セル値の合計）'!S6+1)</f>
        <v>0</v>
      </c>
      <c r="T6" s="9">
        <f>INDEX('第10章（ルール表）'!$A$1:$I$2,第10章!$B$2+1,'第10章（セル値の合計）'!T6+1)</f>
        <v>0</v>
      </c>
      <c r="U6" s="20">
        <f>INDEX('第10章（ルール表）'!$A$1:$I$2,第10章!$B$2+1,'第10章（セル値の合計）'!U6+1)</f>
        <v>0</v>
      </c>
      <c r="V6">
        <f t="shared" si="1"/>
        <v>0</v>
      </c>
    </row>
    <row r="7" spans="1:22" x14ac:dyDescent="0.15">
      <c r="A7">
        <f t="shared" si="2"/>
        <v>0</v>
      </c>
      <c r="B7" s="19">
        <f>INDEX('第10章（ルール表）'!$A$1:$I$2,第10章!$B$2+1,'第10章（セル値の合計）'!B7+1)</f>
        <v>0</v>
      </c>
      <c r="C7" s="9">
        <f>INDEX('第10章（ルール表）'!$A$1:$I$2,第10章!$B$2+1,'第10章（セル値の合計）'!C7+1)</f>
        <v>0</v>
      </c>
      <c r="D7" s="9">
        <f>INDEX('第10章（ルール表）'!$A$1:$I$2,第10章!$B$2+1,'第10章（セル値の合計）'!D7+1)</f>
        <v>0</v>
      </c>
      <c r="E7" s="9">
        <f>INDEX('第10章（ルール表）'!$A$1:$I$2,第10章!$B$2+1,'第10章（セル値の合計）'!E7+1)</f>
        <v>0</v>
      </c>
      <c r="F7" s="9">
        <f>INDEX('第10章（ルール表）'!$A$1:$I$2,第10章!$B$2+1,'第10章（セル値の合計）'!F7+1)</f>
        <v>0</v>
      </c>
      <c r="G7" s="9">
        <f>INDEX('第10章（ルール表）'!$A$1:$I$2,第10章!$B$2+1,'第10章（セル値の合計）'!G7+1)</f>
        <v>0</v>
      </c>
      <c r="H7" s="9">
        <f>INDEX('第10章（ルール表）'!$A$1:$I$2,第10章!$B$2+1,'第10章（セル値の合計）'!H7+1)</f>
        <v>0</v>
      </c>
      <c r="I7" s="9">
        <f>INDEX('第10章（ルール表）'!$A$1:$I$2,第10章!$B$2+1,'第10章（セル値の合計）'!I7+1)</f>
        <v>0</v>
      </c>
      <c r="J7" s="9">
        <f>INDEX('第10章（ルール表）'!$A$1:$I$2,第10章!$B$2+1,'第10章（セル値の合計）'!J7+1)</f>
        <v>1</v>
      </c>
      <c r="K7" s="9">
        <f>INDEX('第10章（ルール表）'!$A$1:$I$2,第10章!$B$2+1,'第10章（セル値の合計）'!K7+1)</f>
        <v>1</v>
      </c>
      <c r="L7" s="9">
        <f>INDEX('第10章（ルール表）'!$A$1:$I$2,第10章!$B$2+1,'第10章（セル値の合計）'!L7+1)</f>
        <v>1</v>
      </c>
      <c r="M7" s="9">
        <f>INDEX('第10章（ルール表）'!$A$1:$I$2,第10章!$B$2+1,'第10章（セル値の合計）'!M7+1)</f>
        <v>0</v>
      </c>
      <c r="N7" s="9">
        <f>INDEX('第10章（ルール表）'!$A$1:$I$2,第10章!$B$2+1,'第10章（セル値の合計）'!N7+1)</f>
        <v>0</v>
      </c>
      <c r="O7" s="9">
        <f>INDEX('第10章（ルール表）'!$A$1:$I$2,第10章!$B$2+1,'第10章（セル値の合計）'!O7+1)</f>
        <v>0</v>
      </c>
      <c r="P7" s="9">
        <f>INDEX('第10章（ルール表）'!$A$1:$I$2,第10章!$B$2+1,'第10章（セル値の合計）'!P7+1)</f>
        <v>0</v>
      </c>
      <c r="Q7" s="9">
        <f>INDEX('第10章（ルール表）'!$A$1:$I$2,第10章!$B$2+1,'第10章（セル値の合計）'!Q7+1)</f>
        <v>0</v>
      </c>
      <c r="R7" s="9">
        <f>INDEX('第10章（ルール表）'!$A$1:$I$2,第10章!$B$2+1,'第10章（セル値の合計）'!R7+1)</f>
        <v>0</v>
      </c>
      <c r="S7" s="9">
        <f>INDEX('第10章（ルール表）'!$A$1:$I$2,第10章!$B$2+1,'第10章（セル値の合計）'!S7+1)</f>
        <v>0</v>
      </c>
      <c r="T7" s="9">
        <f>INDEX('第10章（ルール表）'!$A$1:$I$2,第10章!$B$2+1,'第10章（セル値の合計）'!T7+1)</f>
        <v>0</v>
      </c>
      <c r="U7" s="20">
        <f>INDEX('第10章（ルール表）'!$A$1:$I$2,第10章!$B$2+1,'第10章（セル値の合計）'!U7+1)</f>
        <v>0</v>
      </c>
      <c r="V7">
        <f t="shared" si="1"/>
        <v>0</v>
      </c>
    </row>
    <row r="8" spans="1:22" x14ac:dyDescent="0.15">
      <c r="A8">
        <f t="shared" si="2"/>
        <v>0</v>
      </c>
      <c r="B8" s="19">
        <f>INDEX('第10章（ルール表）'!$A$1:$I$2,第10章!$B$2+1,'第10章（セル値の合計）'!B8+1)</f>
        <v>0</v>
      </c>
      <c r="C8" s="9">
        <f>INDEX('第10章（ルール表）'!$A$1:$I$2,第10章!$B$2+1,'第10章（セル値の合計）'!C8+1)</f>
        <v>0</v>
      </c>
      <c r="D8" s="9">
        <f>INDEX('第10章（ルール表）'!$A$1:$I$2,第10章!$B$2+1,'第10章（セル値の合計）'!D8+1)</f>
        <v>0</v>
      </c>
      <c r="E8" s="9">
        <f>INDEX('第10章（ルール表）'!$A$1:$I$2,第10章!$B$2+1,'第10章（セル値の合計）'!E8+1)</f>
        <v>0</v>
      </c>
      <c r="F8" s="9">
        <f>INDEX('第10章（ルール表）'!$A$1:$I$2,第10章!$B$2+1,'第10章（セル値の合計）'!F8+1)</f>
        <v>0</v>
      </c>
      <c r="G8" s="9">
        <f>INDEX('第10章（ルール表）'!$A$1:$I$2,第10章!$B$2+1,'第10章（セル値の合計）'!G8+1)</f>
        <v>0</v>
      </c>
      <c r="H8" s="9">
        <f>INDEX('第10章（ルール表）'!$A$1:$I$2,第10章!$B$2+1,'第10章（セル値の合計）'!H8+1)</f>
        <v>0</v>
      </c>
      <c r="I8" s="9">
        <f>INDEX('第10章（ルール表）'!$A$1:$I$2,第10章!$B$2+1,'第10章（セル値の合計）'!I8+1)</f>
        <v>0</v>
      </c>
      <c r="J8" s="9">
        <f>INDEX('第10章（ルール表）'!$A$1:$I$2,第10章!$B$2+1,'第10章（セル値の合計）'!J8+1)</f>
        <v>1</v>
      </c>
      <c r="K8" s="9">
        <f>INDEX('第10章（ルール表）'!$A$1:$I$2,第10章!$B$2+1,'第10章（セル値の合計）'!K8+1)</f>
        <v>0</v>
      </c>
      <c r="L8" s="9">
        <f>INDEX('第10章（ルール表）'!$A$1:$I$2,第10章!$B$2+1,'第10章（セル値の合計）'!L8+1)</f>
        <v>1</v>
      </c>
      <c r="M8" s="9">
        <f>INDEX('第10章（ルール表）'!$A$1:$I$2,第10章!$B$2+1,'第10章（セル値の合計）'!M8+1)</f>
        <v>0</v>
      </c>
      <c r="N8" s="9">
        <f>INDEX('第10章（ルール表）'!$A$1:$I$2,第10章!$B$2+1,'第10章（セル値の合計）'!N8+1)</f>
        <v>0</v>
      </c>
      <c r="O8" s="9">
        <f>INDEX('第10章（ルール表）'!$A$1:$I$2,第10章!$B$2+1,'第10章（セル値の合計）'!O8+1)</f>
        <v>0</v>
      </c>
      <c r="P8" s="9">
        <f>INDEX('第10章（ルール表）'!$A$1:$I$2,第10章!$B$2+1,'第10章（セル値の合計）'!P8+1)</f>
        <v>0</v>
      </c>
      <c r="Q8" s="9">
        <f>INDEX('第10章（ルール表）'!$A$1:$I$2,第10章!$B$2+1,'第10章（セル値の合計）'!Q8+1)</f>
        <v>0</v>
      </c>
      <c r="R8" s="9">
        <f>INDEX('第10章（ルール表）'!$A$1:$I$2,第10章!$B$2+1,'第10章（セル値の合計）'!R8+1)</f>
        <v>0</v>
      </c>
      <c r="S8" s="9">
        <f>INDEX('第10章（ルール表）'!$A$1:$I$2,第10章!$B$2+1,'第10章（セル値の合計）'!S8+1)</f>
        <v>0</v>
      </c>
      <c r="T8" s="9">
        <f>INDEX('第10章（ルール表）'!$A$1:$I$2,第10章!$B$2+1,'第10章（セル値の合計）'!T8+1)</f>
        <v>0</v>
      </c>
      <c r="U8" s="20">
        <f>INDEX('第10章（ルール表）'!$A$1:$I$2,第10章!$B$2+1,'第10章（セル値の合計）'!U8+1)</f>
        <v>0</v>
      </c>
      <c r="V8">
        <f t="shared" si="1"/>
        <v>0</v>
      </c>
    </row>
    <row r="9" spans="1:22" x14ac:dyDescent="0.15">
      <c r="A9">
        <f t="shared" si="2"/>
        <v>0</v>
      </c>
      <c r="B9" s="19">
        <f>INDEX('第10章（ルール表）'!$A$1:$I$2,第10章!$B$2+1,'第10章（セル値の合計）'!B9+1)</f>
        <v>0</v>
      </c>
      <c r="C9" s="9">
        <f>INDEX('第10章（ルール表）'!$A$1:$I$2,第10章!$B$2+1,'第10章（セル値の合計）'!C9+1)</f>
        <v>0</v>
      </c>
      <c r="D9" s="9">
        <f>INDEX('第10章（ルール表）'!$A$1:$I$2,第10章!$B$2+1,'第10章（セル値の合計）'!D9+1)</f>
        <v>0</v>
      </c>
      <c r="E9" s="9">
        <f>INDEX('第10章（ルール表）'!$A$1:$I$2,第10章!$B$2+1,'第10章（セル値の合計）'!E9+1)</f>
        <v>0</v>
      </c>
      <c r="F9" s="9">
        <f>INDEX('第10章（ルール表）'!$A$1:$I$2,第10章!$B$2+1,'第10章（セル値の合計）'!F9+1)</f>
        <v>0</v>
      </c>
      <c r="G9" s="9">
        <f>INDEX('第10章（ルール表）'!$A$1:$I$2,第10章!$B$2+1,'第10章（セル値の合計）'!G9+1)</f>
        <v>0</v>
      </c>
      <c r="H9" s="9">
        <f>INDEX('第10章（ルール表）'!$A$1:$I$2,第10章!$B$2+1,'第10章（セル値の合計）'!H9+1)</f>
        <v>0</v>
      </c>
      <c r="I9" s="9">
        <f>INDEX('第10章（ルール表）'!$A$1:$I$2,第10章!$B$2+1,'第10章（セル値の合計）'!I9+1)</f>
        <v>1</v>
      </c>
      <c r="J9" s="9">
        <f>INDEX('第10章（ルール表）'!$A$1:$I$2,第10章!$B$2+1,'第10章（セル値の合計）'!J9+1)</f>
        <v>0</v>
      </c>
      <c r="K9" s="9">
        <f>INDEX('第10章（ルール表）'!$A$1:$I$2,第10章!$B$2+1,'第10章（セル値の合計）'!K9+1)</f>
        <v>0</v>
      </c>
      <c r="L9" s="9">
        <f>INDEX('第10章（ルール表）'!$A$1:$I$2,第10章!$B$2+1,'第10章（セル値の合計）'!L9+1)</f>
        <v>0</v>
      </c>
      <c r="M9" s="9">
        <f>INDEX('第10章（ルール表）'!$A$1:$I$2,第10章!$B$2+1,'第10章（セル値の合計）'!M9+1)</f>
        <v>1</v>
      </c>
      <c r="N9" s="9">
        <f>INDEX('第10章（ルール表）'!$A$1:$I$2,第10章!$B$2+1,'第10章（セル値の合計）'!N9+1)</f>
        <v>0</v>
      </c>
      <c r="O9" s="9">
        <f>INDEX('第10章（ルール表）'!$A$1:$I$2,第10章!$B$2+1,'第10章（セル値の合計）'!O9+1)</f>
        <v>0</v>
      </c>
      <c r="P9" s="9">
        <f>INDEX('第10章（ルール表）'!$A$1:$I$2,第10章!$B$2+1,'第10章（セル値の合計）'!P9+1)</f>
        <v>0</v>
      </c>
      <c r="Q9" s="9">
        <f>INDEX('第10章（ルール表）'!$A$1:$I$2,第10章!$B$2+1,'第10章（セル値の合計）'!Q9+1)</f>
        <v>0</v>
      </c>
      <c r="R9" s="9">
        <f>INDEX('第10章（ルール表）'!$A$1:$I$2,第10章!$B$2+1,'第10章（セル値の合計）'!R9+1)</f>
        <v>0</v>
      </c>
      <c r="S9" s="9">
        <f>INDEX('第10章（ルール表）'!$A$1:$I$2,第10章!$B$2+1,'第10章（セル値の合計）'!S9+1)</f>
        <v>0</v>
      </c>
      <c r="T9" s="9">
        <f>INDEX('第10章（ルール表）'!$A$1:$I$2,第10章!$B$2+1,'第10章（セル値の合計）'!T9+1)</f>
        <v>0</v>
      </c>
      <c r="U9" s="20">
        <f>INDEX('第10章（ルール表）'!$A$1:$I$2,第10章!$B$2+1,'第10章（セル値の合計）'!U9+1)</f>
        <v>0</v>
      </c>
      <c r="V9">
        <f t="shared" si="1"/>
        <v>0</v>
      </c>
    </row>
    <row r="10" spans="1:22" x14ac:dyDescent="0.15">
      <c r="A10">
        <f t="shared" si="2"/>
        <v>0</v>
      </c>
      <c r="B10" s="19">
        <f>INDEX('第10章（ルール表）'!$A$1:$I$2,第10章!$B$2+1,'第10章（セル値の合計）'!B10+1)</f>
        <v>0</v>
      </c>
      <c r="C10" s="9">
        <f>INDEX('第10章（ルール表）'!$A$1:$I$2,第10章!$B$2+1,'第10章（セル値の合計）'!C10+1)</f>
        <v>0</v>
      </c>
      <c r="D10" s="9">
        <f>INDEX('第10章（ルール表）'!$A$1:$I$2,第10章!$B$2+1,'第10章（セル値の合計）'!D10+1)</f>
        <v>0</v>
      </c>
      <c r="E10" s="9">
        <f>INDEX('第10章（ルール表）'!$A$1:$I$2,第10章!$B$2+1,'第10章（セル値の合計）'!E10+1)</f>
        <v>0</v>
      </c>
      <c r="F10" s="9">
        <f>INDEX('第10章（ルール表）'!$A$1:$I$2,第10章!$B$2+1,'第10章（セル値の合計）'!F10+1)</f>
        <v>0</v>
      </c>
      <c r="G10" s="9">
        <f>INDEX('第10章（ルール表）'!$A$1:$I$2,第10章!$B$2+1,'第10章（セル値の合計）'!G10+1)</f>
        <v>0</v>
      </c>
      <c r="H10" s="9">
        <f>INDEX('第10章（ルール表）'!$A$1:$I$2,第10章!$B$2+1,'第10章（セル値の合計）'!H10+1)</f>
        <v>0</v>
      </c>
      <c r="I10" s="9">
        <f>INDEX('第10章（ルール表）'!$A$1:$I$2,第10章!$B$2+1,'第10章（セル値の合計）'!I10+1)</f>
        <v>0</v>
      </c>
      <c r="J10" s="9">
        <f>INDEX('第10章（ルール表）'!$A$1:$I$2,第10章!$B$2+1,'第10章（セル値の合計）'!J10+1)</f>
        <v>1</v>
      </c>
      <c r="K10" s="9">
        <f>INDEX('第10章（ルール表）'!$A$1:$I$2,第10章!$B$2+1,'第10章（セル値の合計）'!K10+1)</f>
        <v>0</v>
      </c>
      <c r="L10" s="9">
        <f>INDEX('第10章（ルール表）'!$A$1:$I$2,第10章!$B$2+1,'第10章（セル値の合計）'!L10+1)</f>
        <v>1</v>
      </c>
      <c r="M10" s="9">
        <f>INDEX('第10章（ルール表）'!$A$1:$I$2,第10章!$B$2+1,'第10章（セル値の合計）'!M10+1)</f>
        <v>0</v>
      </c>
      <c r="N10" s="9">
        <f>INDEX('第10章（ルール表）'!$A$1:$I$2,第10章!$B$2+1,'第10章（セル値の合計）'!N10+1)</f>
        <v>0</v>
      </c>
      <c r="O10" s="9">
        <f>INDEX('第10章（ルール表）'!$A$1:$I$2,第10章!$B$2+1,'第10章（セル値の合計）'!O10+1)</f>
        <v>0</v>
      </c>
      <c r="P10" s="9">
        <f>INDEX('第10章（ルール表）'!$A$1:$I$2,第10章!$B$2+1,'第10章（セル値の合計）'!P10+1)</f>
        <v>0</v>
      </c>
      <c r="Q10" s="9">
        <f>INDEX('第10章（ルール表）'!$A$1:$I$2,第10章!$B$2+1,'第10章（セル値の合計）'!Q10+1)</f>
        <v>0</v>
      </c>
      <c r="R10" s="9">
        <f>INDEX('第10章（ルール表）'!$A$1:$I$2,第10章!$B$2+1,'第10章（セル値の合計）'!R10+1)</f>
        <v>0</v>
      </c>
      <c r="S10" s="9">
        <f>INDEX('第10章（ルール表）'!$A$1:$I$2,第10章!$B$2+1,'第10章（セル値の合計）'!S10+1)</f>
        <v>0</v>
      </c>
      <c r="T10" s="9">
        <f>INDEX('第10章（ルール表）'!$A$1:$I$2,第10章!$B$2+1,'第10章（セル値の合計）'!T10+1)</f>
        <v>0</v>
      </c>
      <c r="U10" s="20">
        <f>INDEX('第10章（ルール表）'!$A$1:$I$2,第10章!$B$2+1,'第10章（セル値の合計）'!U10+1)</f>
        <v>0</v>
      </c>
      <c r="V10">
        <f t="shared" si="1"/>
        <v>0</v>
      </c>
    </row>
    <row r="11" spans="1:22" x14ac:dyDescent="0.15">
      <c r="A11">
        <f t="shared" si="2"/>
        <v>0</v>
      </c>
      <c r="B11" s="19">
        <f>INDEX('第10章（ルール表）'!$A$1:$I$2,第10章!$B$2+1,'第10章（セル値の合計）'!B11+1)</f>
        <v>0</v>
      </c>
      <c r="C11" s="9">
        <f>INDEX('第10章（ルール表）'!$A$1:$I$2,第10章!$B$2+1,'第10章（セル値の合計）'!C11+1)</f>
        <v>0</v>
      </c>
      <c r="D11" s="9">
        <f>INDEX('第10章（ルール表）'!$A$1:$I$2,第10章!$B$2+1,'第10章（セル値の合計）'!D11+1)</f>
        <v>0</v>
      </c>
      <c r="E11" s="9">
        <f>INDEX('第10章（ルール表）'!$A$1:$I$2,第10章!$B$2+1,'第10章（セル値の合計）'!E11+1)</f>
        <v>0</v>
      </c>
      <c r="F11" s="9">
        <f>INDEX('第10章（ルール表）'!$A$1:$I$2,第10章!$B$2+1,'第10章（セル値の合計）'!F11+1)</f>
        <v>0</v>
      </c>
      <c r="G11" s="9">
        <f>INDEX('第10章（ルール表）'!$A$1:$I$2,第10章!$B$2+1,'第10章（セル値の合計）'!G11+1)</f>
        <v>0</v>
      </c>
      <c r="H11" s="9">
        <f>INDEX('第10章（ルール表）'!$A$1:$I$2,第10章!$B$2+1,'第10章（セル値の合計）'!H11+1)</f>
        <v>0</v>
      </c>
      <c r="I11" s="9">
        <f>INDEX('第10章（ルール表）'!$A$1:$I$2,第10章!$B$2+1,'第10章（セル値の合計）'!I11+1)</f>
        <v>0</v>
      </c>
      <c r="J11" s="9">
        <f>INDEX('第10章（ルール表）'!$A$1:$I$2,第10章!$B$2+1,'第10章（セル値の合計）'!J11+1)</f>
        <v>1</v>
      </c>
      <c r="K11" s="9">
        <f>INDEX('第10章（ルール表）'!$A$1:$I$2,第10章!$B$2+1,'第10章（セル値の合計）'!K11+1)</f>
        <v>1</v>
      </c>
      <c r="L11" s="9">
        <f>INDEX('第10章（ルール表）'!$A$1:$I$2,第10章!$B$2+1,'第10章（セル値の合計）'!L11+1)</f>
        <v>1</v>
      </c>
      <c r="M11" s="9">
        <f>INDEX('第10章（ルール表）'!$A$1:$I$2,第10章!$B$2+1,'第10章（セル値の合計）'!M11+1)</f>
        <v>0</v>
      </c>
      <c r="N11" s="9">
        <f>INDEX('第10章（ルール表）'!$A$1:$I$2,第10章!$B$2+1,'第10章（セル値の合計）'!N11+1)</f>
        <v>0</v>
      </c>
      <c r="O11" s="9">
        <f>INDEX('第10章（ルール表）'!$A$1:$I$2,第10章!$B$2+1,'第10章（セル値の合計）'!O11+1)</f>
        <v>0</v>
      </c>
      <c r="P11" s="9">
        <f>INDEX('第10章（ルール表）'!$A$1:$I$2,第10章!$B$2+1,'第10章（セル値の合計）'!P11+1)</f>
        <v>0</v>
      </c>
      <c r="Q11" s="9">
        <f>INDEX('第10章（ルール表）'!$A$1:$I$2,第10章!$B$2+1,'第10章（セル値の合計）'!Q11+1)</f>
        <v>0</v>
      </c>
      <c r="R11" s="9">
        <f>INDEX('第10章（ルール表）'!$A$1:$I$2,第10章!$B$2+1,'第10章（セル値の合計）'!R11+1)</f>
        <v>0</v>
      </c>
      <c r="S11" s="9">
        <f>INDEX('第10章（ルール表）'!$A$1:$I$2,第10章!$B$2+1,'第10章（セル値の合計）'!S11+1)</f>
        <v>0</v>
      </c>
      <c r="T11" s="9">
        <f>INDEX('第10章（ルール表）'!$A$1:$I$2,第10章!$B$2+1,'第10章（セル値の合計）'!T11+1)</f>
        <v>0</v>
      </c>
      <c r="U11" s="20">
        <f>INDEX('第10章（ルール表）'!$A$1:$I$2,第10章!$B$2+1,'第10章（セル値の合計）'!U11+1)</f>
        <v>0</v>
      </c>
      <c r="V11">
        <f t="shared" si="1"/>
        <v>0</v>
      </c>
    </row>
    <row r="12" spans="1:22" x14ac:dyDescent="0.15">
      <c r="A12">
        <f t="shared" si="2"/>
        <v>0</v>
      </c>
      <c r="B12" s="19">
        <f>INDEX('第10章（ルール表）'!$A$1:$I$2,第10章!$B$2+1,'第10章（セル値の合計）'!B12+1)</f>
        <v>0</v>
      </c>
      <c r="C12" s="9">
        <f>INDEX('第10章（ルール表）'!$A$1:$I$2,第10章!$B$2+1,'第10章（セル値の合計）'!C12+1)</f>
        <v>0</v>
      </c>
      <c r="D12" s="9">
        <f>INDEX('第10章（ルール表）'!$A$1:$I$2,第10章!$B$2+1,'第10章（セル値の合計）'!D12+1)</f>
        <v>0</v>
      </c>
      <c r="E12" s="9">
        <f>INDEX('第10章（ルール表）'!$A$1:$I$2,第10章!$B$2+1,'第10章（セル値の合計）'!E12+1)</f>
        <v>0</v>
      </c>
      <c r="F12" s="9">
        <f>INDEX('第10章（ルール表）'!$A$1:$I$2,第10章!$B$2+1,'第10章（セル値の合計）'!F12+1)</f>
        <v>0</v>
      </c>
      <c r="G12" s="9">
        <f>INDEX('第10章（ルール表）'!$A$1:$I$2,第10章!$B$2+1,'第10章（セル値の合計）'!G12+1)</f>
        <v>0</v>
      </c>
      <c r="H12" s="9">
        <f>INDEX('第10章（ルール表）'!$A$1:$I$2,第10章!$B$2+1,'第10章（セル値の合計）'!H12+1)</f>
        <v>0</v>
      </c>
      <c r="I12" s="9">
        <f>INDEX('第10章（ルール表）'!$A$1:$I$2,第10章!$B$2+1,'第10章（セル値の合計）'!I12+1)</f>
        <v>0</v>
      </c>
      <c r="J12" s="9">
        <f>INDEX('第10章（ルール表）'!$A$1:$I$2,第10章!$B$2+1,'第10章（セル値の合計）'!J12+1)</f>
        <v>0</v>
      </c>
      <c r="K12" s="9">
        <f>INDEX('第10章（ルール表）'!$A$1:$I$2,第10章!$B$2+1,'第10章（セル値の合計）'!K12+1)</f>
        <v>0</v>
      </c>
      <c r="L12" s="9">
        <f>INDEX('第10章（ルール表）'!$A$1:$I$2,第10章!$B$2+1,'第10章（セル値の合計）'!L12+1)</f>
        <v>0</v>
      </c>
      <c r="M12" s="9">
        <f>INDEX('第10章（ルール表）'!$A$1:$I$2,第10章!$B$2+1,'第10章（セル値の合計）'!M12+1)</f>
        <v>0</v>
      </c>
      <c r="N12" s="9">
        <f>INDEX('第10章（ルール表）'!$A$1:$I$2,第10章!$B$2+1,'第10章（セル値の合計）'!N12+1)</f>
        <v>0</v>
      </c>
      <c r="O12" s="9">
        <f>INDEX('第10章（ルール表）'!$A$1:$I$2,第10章!$B$2+1,'第10章（セル値の合計）'!O12+1)</f>
        <v>0</v>
      </c>
      <c r="P12" s="9">
        <f>INDEX('第10章（ルール表）'!$A$1:$I$2,第10章!$B$2+1,'第10章（セル値の合計）'!P12+1)</f>
        <v>0</v>
      </c>
      <c r="Q12" s="9">
        <f>INDEX('第10章（ルール表）'!$A$1:$I$2,第10章!$B$2+1,'第10章（セル値の合計）'!Q12+1)</f>
        <v>0</v>
      </c>
      <c r="R12" s="9">
        <f>INDEX('第10章（ルール表）'!$A$1:$I$2,第10章!$B$2+1,'第10章（セル値の合計）'!R12+1)</f>
        <v>0</v>
      </c>
      <c r="S12" s="9">
        <f>INDEX('第10章（ルール表）'!$A$1:$I$2,第10章!$B$2+1,'第10章（セル値の合計）'!S12+1)</f>
        <v>0</v>
      </c>
      <c r="T12" s="9">
        <f>INDEX('第10章（ルール表）'!$A$1:$I$2,第10章!$B$2+1,'第10章（セル値の合計）'!T12+1)</f>
        <v>0</v>
      </c>
      <c r="U12" s="20">
        <f>INDEX('第10章（ルール表）'!$A$1:$I$2,第10章!$B$2+1,'第10章（セル値の合計）'!U12+1)</f>
        <v>0</v>
      </c>
      <c r="V12">
        <f t="shared" si="1"/>
        <v>0</v>
      </c>
    </row>
    <row r="13" spans="1:22" x14ac:dyDescent="0.15">
      <c r="A13">
        <f t="shared" si="2"/>
        <v>0</v>
      </c>
      <c r="B13" s="19">
        <f>INDEX('第10章（ルール表）'!$A$1:$I$2,第10章!$B$2+1,'第10章（セル値の合計）'!B13+1)</f>
        <v>0</v>
      </c>
      <c r="C13" s="9">
        <f>INDEX('第10章（ルール表）'!$A$1:$I$2,第10章!$B$2+1,'第10章（セル値の合計）'!C13+1)</f>
        <v>0</v>
      </c>
      <c r="D13" s="9">
        <f>INDEX('第10章（ルール表）'!$A$1:$I$2,第10章!$B$2+1,'第10章（セル値の合計）'!D13+1)</f>
        <v>0</v>
      </c>
      <c r="E13" s="9">
        <f>INDEX('第10章（ルール表）'!$A$1:$I$2,第10章!$B$2+1,'第10章（セル値の合計）'!E13+1)</f>
        <v>0</v>
      </c>
      <c r="F13" s="9">
        <f>INDEX('第10章（ルール表）'!$A$1:$I$2,第10章!$B$2+1,'第10章（セル値の合計）'!F13+1)</f>
        <v>0</v>
      </c>
      <c r="G13" s="9">
        <f>INDEX('第10章（ルール表）'!$A$1:$I$2,第10章!$B$2+1,'第10章（セル値の合計）'!G13+1)</f>
        <v>0</v>
      </c>
      <c r="H13" s="9">
        <f>INDEX('第10章（ルール表）'!$A$1:$I$2,第10章!$B$2+1,'第10章（セル値の合計）'!H13+1)</f>
        <v>0</v>
      </c>
      <c r="I13" s="9">
        <f>INDEX('第10章（ルール表）'!$A$1:$I$2,第10章!$B$2+1,'第10章（セル値の合計）'!I13+1)</f>
        <v>0</v>
      </c>
      <c r="J13" s="9">
        <f>INDEX('第10章（ルール表）'!$A$1:$I$2,第10章!$B$2+1,'第10章（セル値の合計）'!J13+1)</f>
        <v>0</v>
      </c>
      <c r="K13" s="9">
        <f>INDEX('第10章（ルール表）'!$A$1:$I$2,第10章!$B$2+1,'第10章（セル値の合計）'!K13+1)</f>
        <v>0</v>
      </c>
      <c r="L13" s="9">
        <f>INDEX('第10章（ルール表）'!$A$1:$I$2,第10章!$B$2+1,'第10章（セル値の合計）'!L13+1)</f>
        <v>0</v>
      </c>
      <c r="M13" s="9">
        <f>INDEX('第10章（ルール表）'!$A$1:$I$2,第10章!$B$2+1,'第10章（セル値の合計）'!M13+1)</f>
        <v>0</v>
      </c>
      <c r="N13" s="9">
        <f>INDEX('第10章（ルール表）'!$A$1:$I$2,第10章!$B$2+1,'第10章（セル値の合計）'!N13+1)</f>
        <v>0</v>
      </c>
      <c r="O13" s="9">
        <f>INDEX('第10章（ルール表）'!$A$1:$I$2,第10章!$B$2+1,'第10章（セル値の合計）'!O13+1)</f>
        <v>0</v>
      </c>
      <c r="P13" s="9">
        <f>INDEX('第10章（ルール表）'!$A$1:$I$2,第10章!$B$2+1,'第10章（セル値の合計）'!P13+1)</f>
        <v>0</v>
      </c>
      <c r="Q13" s="9">
        <f>INDEX('第10章（ルール表）'!$A$1:$I$2,第10章!$B$2+1,'第10章（セル値の合計）'!Q13+1)</f>
        <v>0</v>
      </c>
      <c r="R13" s="9">
        <f>INDEX('第10章（ルール表）'!$A$1:$I$2,第10章!$B$2+1,'第10章（セル値の合計）'!R13+1)</f>
        <v>0</v>
      </c>
      <c r="S13" s="9">
        <f>INDEX('第10章（ルール表）'!$A$1:$I$2,第10章!$B$2+1,'第10章（セル値の合計）'!S13+1)</f>
        <v>0</v>
      </c>
      <c r="T13" s="9">
        <f>INDEX('第10章（ルール表）'!$A$1:$I$2,第10章!$B$2+1,'第10章（セル値の合計）'!T13+1)</f>
        <v>0</v>
      </c>
      <c r="U13" s="20">
        <f>INDEX('第10章（ルール表）'!$A$1:$I$2,第10章!$B$2+1,'第10章（セル値の合計）'!U13+1)</f>
        <v>0</v>
      </c>
      <c r="V13">
        <f t="shared" si="1"/>
        <v>0</v>
      </c>
    </row>
    <row r="14" spans="1:22" x14ac:dyDescent="0.15">
      <c r="A14">
        <f t="shared" si="2"/>
        <v>0</v>
      </c>
      <c r="B14" s="19">
        <f>INDEX('第10章（ルール表）'!$A$1:$I$2,第10章!$B$2+1,'第10章（セル値の合計）'!B14+1)</f>
        <v>0</v>
      </c>
      <c r="C14" s="9">
        <f>INDEX('第10章（ルール表）'!$A$1:$I$2,第10章!$B$2+1,'第10章（セル値の合計）'!C14+1)</f>
        <v>0</v>
      </c>
      <c r="D14" s="9">
        <f>INDEX('第10章（ルール表）'!$A$1:$I$2,第10章!$B$2+1,'第10章（セル値の合計）'!D14+1)</f>
        <v>0</v>
      </c>
      <c r="E14" s="9">
        <f>INDEX('第10章（ルール表）'!$A$1:$I$2,第10章!$B$2+1,'第10章（セル値の合計）'!E14+1)</f>
        <v>0</v>
      </c>
      <c r="F14" s="9">
        <f>INDEX('第10章（ルール表）'!$A$1:$I$2,第10章!$B$2+1,'第10章（セル値の合計）'!F14+1)</f>
        <v>0</v>
      </c>
      <c r="G14" s="9">
        <f>INDEX('第10章（ルール表）'!$A$1:$I$2,第10章!$B$2+1,'第10章（セル値の合計）'!G14+1)</f>
        <v>0</v>
      </c>
      <c r="H14" s="9">
        <f>INDEX('第10章（ルール表）'!$A$1:$I$2,第10章!$B$2+1,'第10章（セル値の合計）'!H14+1)</f>
        <v>0</v>
      </c>
      <c r="I14" s="9">
        <f>INDEX('第10章（ルール表）'!$A$1:$I$2,第10章!$B$2+1,'第10章（セル値の合計）'!I14+1)</f>
        <v>0</v>
      </c>
      <c r="J14" s="9">
        <f>INDEX('第10章（ルール表）'!$A$1:$I$2,第10章!$B$2+1,'第10章（セル値の合計）'!J14+1)</f>
        <v>0</v>
      </c>
      <c r="K14" s="9">
        <f>INDEX('第10章（ルール表）'!$A$1:$I$2,第10章!$B$2+1,'第10章（セル値の合計）'!K14+1)</f>
        <v>0</v>
      </c>
      <c r="L14" s="9">
        <f>INDEX('第10章（ルール表）'!$A$1:$I$2,第10章!$B$2+1,'第10章（セル値の合計）'!L14+1)</f>
        <v>0</v>
      </c>
      <c r="M14" s="9">
        <f>INDEX('第10章（ルール表）'!$A$1:$I$2,第10章!$B$2+1,'第10章（セル値の合計）'!M14+1)</f>
        <v>0</v>
      </c>
      <c r="N14" s="9">
        <f>INDEX('第10章（ルール表）'!$A$1:$I$2,第10章!$B$2+1,'第10章（セル値の合計）'!N14+1)</f>
        <v>0</v>
      </c>
      <c r="O14" s="9">
        <f>INDEX('第10章（ルール表）'!$A$1:$I$2,第10章!$B$2+1,'第10章（セル値の合計）'!O14+1)</f>
        <v>0</v>
      </c>
      <c r="P14" s="9">
        <f>INDEX('第10章（ルール表）'!$A$1:$I$2,第10章!$B$2+1,'第10章（セル値の合計）'!P14+1)</f>
        <v>0</v>
      </c>
      <c r="Q14" s="9">
        <f>INDEX('第10章（ルール表）'!$A$1:$I$2,第10章!$B$2+1,'第10章（セル値の合計）'!Q14+1)</f>
        <v>0</v>
      </c>
      <c r="R14" s="9">
        <f>INDEX('第10章（ルール表）'!$A$1:$I$2,第10章!$B$2+1,'第10章（セル値の合計）'!R14+1)</f>
        <v>0</v>
      </c>
      <c r="S14" s="9">
        <f>INDEX('第10章（ルール表）'!$A$1:$I$2,第10章!$B$2+1,'第10章（セル値の合計）'!S14+1)</f>
        <v>0</v>
      </c>
      <c r="T14" s="9">
        <f>INDEX('第10章（ルール表）'!$A$1:$I$2,第10章!$B$2+1,'第10章（セル値の合計）'!T14+1)</f>
        <v>0</v>
      </c>
      <c r="U14" s="20">
        <f>INDEX('第10章（ルール表）'!$A$1:$I$2,第10章!$B$2+1,'第10章（セル値の合計）'!U14+1)</f>
        <v>0</v>
      </c>
      <c r="V14">
        <f t="shared" si="1"/>
        <v>0</v>
      </c>
    </row>
    <row r="15" spans="1:22" x14ac:dyDescent="0.15">
      <c r="A15">
        <f t="shared" si="2"/>
        <v>0</v>
      </c>
      <c r="B15" s="19">
        <f>INDEX('第10章（ルール表）'!$A$1:$I$2,第10章!$B$2+1,'第10章（セル値の合計）'!B15+1)</f>
        <v>0</v>
      </c>
      <c r="C15" s="9">
        <f>INDEX('第10章（ルール表）'!$A$1:$I$2,第10章!$B$2+1,'第10章（セル値の合計）'!C15+1)</f>
        <v>0</v>
      </c>
      <c r="D15" s="9">
        <f>INDEX('第10章（ルール表）'!$A$1:$I$2,第10章!$B$2+1,'第10章（セル値の合計）'!D15+1)</f>
        <v>0</v>
      </c>
      <c r="E15" s="9">
        <f>INDEX('第10章（ルール表）'!$A$1:$I$2,第10章!$B$2+1,'第10章（セル値の合計）'!E15+1)</f>
        <v>0</v>
      </c>
      <c r="F15" s="9">
        <f>INDEX('第10章（ルール表）'!$A$1:$I$2,第10章!$B$2+1,'第10章（セル値の合計）'!F15+1)</f>
        <v>0</v>
      </c>
      <c r="G15" s="9">
        <f>INDEX('第10章（ルール表）'!$A$1:$I$2,第10章!$B$2+1,'第10章（セル値の合計）'!G15+1)</f>
        <v>0</v>
      </c>
      <c r="H15" s="9">
        <f>INDEX('第10章（ルール表）'!$A$1:$I$2,第10章!$B$2+1,'第10章（セル値の合計）'!H15+1)</f>
        <v>0</v>
      </c>
      <c r="I15" s="9">
        <f>INDEX('第10章（ルール表）'!$A$1:$I$2,第10章!$B$2+1,'第10章（セル値の合計）'!I15+1)</f>
        <v>0</v>
      </c>
      <c r="J15" s="9">
        <f>INDEX('第10章（ルール表）'!$A$1:$I$2,第10章!$B$2+1,'第10章（セル値の合計）'!J15+1)</f>
        <v>0</v>
      </c>
      <c r="K15" s="9">
        <f>INDEX('第10章（ルール表）'!$A$1:$I$2,第10章!$B$2+1,'第10章（セル値の合計）'!K15+1)</f>
        <v>0</v>
      </c>
      <c r="L15" s="9">
        <f>INDEX('第10章（ルール表）'!$A$1:$I$2,第10章!$B$2+1,'第10章（セル値の合計）'!L15+1)</f>
        <v>0</v>
      </c>
      <c r="M15" s="9">
        <f>INDEX('第10章（ルール表）'!$A$1:$I$2,第10章!$B$2+1,'第10章（セル値の合計）'!M15+1)</f>
        <v>0</v>
      </c>
      <c r="N15" s="9">
        <f>INDEX('第10章（ルール表）'!$A$1:$I$2,第10章!$B$2+1,'第10章（セル値の合計）'!N15+1)</f>
        <v>0</v>
      </c>
      <c r="O15" s="9">
        <f>INDEX('第10章（ルール表）'!$A$1:$I$2,第10章!$B$2+1,'第10章（セル値の合計）'!O15+1)</f>
        <v>0</v>
      </c>
      <c r="P15" s="9">
        <f>INDEX('第10章（ルール表）'!$A$1:$I$2,第10章!$B$2+1,'第10章（セル値の合計）'!P15+1)</f>
        <v>0</v>
      </c>
      <c r="Q15" s="9">
        <f>INDEX('第10章（ルール表）'!$A$1:$I$2,第10章!$B$2+1,'第10章（セル値の合計）'!Q15+1)</f>
        <v>0</v>
      </c>
      <c r="R15" s="9">
        <f>INDEX('第10章（ルール表）'!$A$1:$I$2,第10章!$B$2+1,'第10章（セル値の合計）'!R15+1)</f>
        <v>0</v>
      </c>
      <c r="S15" s="9">
        <f>INDEX('第10章（ルール表）'!$A$1:$I$2,第10章!$B$2+1,'第10章（セル値の合計）'!S15+1)</f>
        <v>0</v>
      </c>
      <c r="T15" s="9">
        <f>INDEX('第10章（ルール表）'!$A$1:$I$2,第10章!$B$2+1,'第10章（セル値の合計）'!T15+1)</f>
        <v>0</v>
      </c>
      <c r="U15" s="20">
        <f>INDEX('第10章（ルール表）'!$A$1:$I$2,第10章!$B$2+1,'第10章（セル値の合計）'!U15+1)</f>
        <v>0</v>
      </c>
      <c r="V15">
        <f t="shared" si="1"/>
        <v>0</v>
      </c>
    </row>
    <row r="16" spans="1:22" x14ac:dyDescent="0.15">
      <c r="A16">
        <f t="shared" si="2"/>
        <v>0</v>
      </c>
      <c r="B16" s="19">
        <f>INDEX('第10章（ルール表）'!$A$1:$I$2,第10章!$B$2+1,'第10章（セル値の合計）'!B16+1)</f>
        <v>0</v>
      </c>
      <c r="C16" s="9">
        <f>INDEX('第10章（ルール表）'!$A$1:$I$2,第10章!$B$2+1,'第10章（セル値の合計）'!C16+1)</f>
        <v>0</v>
      </c>
      <c r="D16" s="9">
        <f>INDEX('第10章（ルール表）'!$A$1:$I$2,第10章!$B$2+1,'第10章（セル値の合計）'!D16+1)</f>
        <v>0</v>
      </c>
      <c r="E16" s="9">
        <f>INDEX('第10章（ルール表）'!$A$1:$I$2,第10章!$B$2+1,'第10章（セル値の合計）'!E16+1)</f>
        <v>0</v>
      </c>
      <c r="F16" s="9">
        <f>INDEX('第10章（ルール表）'!$A$1:$I$2,第10章!$B$2+1,'第10章（セル値の合計）'!F16+1)</f>
        <v>0</v>
      </c>
      <c r="G16" s="9">
        <f>INDEX('第10章（ルール表）'!$A$1:$I$2,第10章!$B$2+1,'第10章（セル値の合計）'!G16+1)</f>
        <v>0</v>
      </c>
      <c r="H16" s="9">
        <f>INDEX('第10章（ルール表）'!$A$1:$I$2,第10章!$B$2+1,'第10章（セル値の合計）'!H16+1)</f>
        <v>0</v>
      </c>
      <c r="I16" s="9">
        <f>INDEX('第10章（ルール表）'!$A$1:$I$2,第10章!$B$2+1,'第10章（セル値の合計）'!I16+1)</f>
        <v>0</v>
      </c>
      <c r="J16" s="9">
        <f>INDEX('第10章（ルール表）'!$A$1:$I$2,第10章!$B$2+1,'第10章（セル値の合計）'!J16+1)</f>
        <v>0</v>
      </c>
      <c r="K16" s="9">
        <f>INDEX('第10章（ルール表）'!$A$1:$I$2,第10章!$B$2+1,'第10章（セル値の合計）'!K16+1)</f>
        <v>0</v>
      </c>
      <c r="L16" s="9">
        <f>INDEX('第10章（ルール表）'!$A$1:$I$2,第10章!$B$2+1,'第10章（セル値の合計）'!L16+1)</f>
        <v>0</v>
      </c>
      <c r="M16" s="9">
        <f>INDEX('第10章（ルール表）'!$A$1:$I$2,第10章!$B$2+1,'第10章（セル値の合計）'!M16+1)</f>
        <v>0</v>
      </c>
      <c r="N16" s="9">
        <f>INDEX('第10章（ルール表）'!$A$1:$I$2,第10章!$B$2+1,'第10章（セル値の合計）'!N16+1)</f>
        <v>0</v>
      </c>
      <c r="O16" s="9">
        <f>INDEX('第10章（ルール表）'!$A$1:$I$2,第10章!$B$2+1,'第10章（セル値の合計）'!O16+1)</f>
        <v>0</v>
      </c>
      <c r="P16" s="9">
        <f>INDEX('第10章（ルール表）'!$A$1:$I$2,第10章!$B$2+1,'第10章（セル値の合計）'!P16+1)</f>
        <v>0</v>
      </c>
      <c r="Q16" s="9">
        <f>INDEX('第10章（ルール表）'!$A$1:$I$2,第10章!$B$2+1,'第10章（セル値の合計）'!Q16+1)</f>
        <v>0</v>
      </c>
      <c r="R16" s="9">
        <f>INDEX('第10章（ルール表）'!$A$1:$I$2,第10章!$B$2+1,'第10章（セル値の合計）'!R16+1)</f>
        <v>0</v>
      </c>
      <c r="S16" s="9">
        <f>INDEX('第10章（ルール表）'!$A$1:$I$2,第10章!$B$2+1,'第10章（セル値の合計）'!S16+1)</f>
        <v>0</v>
      </c>
      <c r="T16" s="9">
        <f>INDEX('第10章（ルール表）'!$A$1:$I$2,第10章!$B$2+1,'第10章（セル値の合計）'!T16+1)</f>
        <v>0</v>
      </c>
      <c r="U16" s="20">
        <f>INDEX('第10章（ルール表）'!$A$1:$I$2,第10章!$B$2+1,'第10章（セル値の合計）'!U16+1)</f>
        <v>0</v>
      </c>
      <c r="V16">
        <f t="shared" si="1"/>
        <v>0</v>
      </c>
    </row>
    <row r="17" spans="1:22" x14ac:dyDescent="0.15">
      <c r="A17">
        <f t="shared" si="2"/>
        <v>0</v>
      </c>
      <c r="B17" s="19">
        <f>INDEX('第10章（ルール表）'!$A$1:$I$2,第10章!$B$2+1,'第10章（セル値の合計）'!B17+1)</f>
        <v>0</v>
      </c>
      <c r="C17" s="9">
        <f>INDEX('第10章（ルール表）'!$A$1:$I$2,第10章!$B$2+1,'第10章（セル値の合計）'!C17+1)</f>
        <v>0</v>
      </c>
      <c r="D17" s="9">
        <f>INDEX('第10章（ルール表）'!$A$1:$I$2,第10章!$B$2+1,'第10章（セル値の合計）'!D17+1)</f>
        <v>0</v>
      </c>
      <c r="E17" s="9">
        <f>INDEX('第10章（ルール表）'!$A$1:$I$2,第10章!$B$2+1,'第10章（セル値の合計）'!E17+1)</f>
        <v>0</v>
      </c>
      <c r="F17" s="9">
        <f>INDEX('第10章（ルール表）'!$A$1:$I$2,第10章!$B$2+1,'第10章（セル値の合計）'!F17+1)</f>
        <v>0</v>
      </c>
      <c r="G17" s="9">
        <f>INDEX('第10章（ルール表）'!$A$1:$I$2,第10章!$B$2+1,'第10章（セル値の合計）'!G17+1)</f>
        <v>0</v>
      </c>
      <c r="H17" s="9">
        <f>INDEX('第10章（ルール表）'!$A$1:$I$2,第10章!$B$2+1,'第10章（セル値の合計）'!H17+1)</f>
        <v>0</v>
      </c>
      <c r="I17" s="9">
        <f>INDEX('第10章（ルール表）'!$A$1:$I$2,第10章!$B$2+1,'第10章（セル値の合計）'!I17+1)</f>
        <v>0</v>
      </c>
      <c r="J17" s="9">
        <f>INDEX('第10章（ルール表）'!$A$1:$I$2,第10章!$B$2+1,'第10章（セル値の合計）'!J17+1)</f>
        <v>0</v>
      </c>
      <c r="K17" s="9">
        <f>INDEX('第10章（ルール表）'!$A$1:$I$2,第10章!$B$2+1,'第10章（セル値の合計）'!K17+1)</f>
        <v>0</v>
      </c>
      <c r="L17" s="9">
        <f>INDEX('第10章（ルール表）'!$A$1:$I$2,第10章!$B$2+1,'第10章（セル値の合計）'!L17+1)</f>
        <v>0</v>
      </c>
      <c r="M17" s="9">
        <f>INDEX('第10章（ルール表）'!$A$1:$I$2,第10章!$B$2+1,'第10章（セル値の合計）'!M17+1)</f>
        <v>0</v>
      </c>
      <c r="N17" s="9">
        <f>INDEX('第10章（ルール表）'!$A$1:$I$2,第10章!$B$2+1,'第10章（セル値の合計）'!N17+1)</f>
        <v>0</v>
      </c>
      <c r="O17" s="9">
        <f>INDEX('第10章（ルール表）'!$A$1:$I$2,第10章!$B$2+1,'第10章（セル値の合計）'!O17+1)</f>
        <v>0</v>
      </c>
      <c r="P17" s="9">
        <f>INDEX('第10章（ルール表）'!$A$1:$I$2,第10章!$B$2+1,'第10章（セル値の合計）'!P17+1)</f>
        <v>0</v>
      </c>
      <c r="Q17" s="9">
        <f>INDEX('第10章（ルール表）'!$A$1:$I$2,第10章!$B$2+1,'第10章（セル値の合計）'!Q17+1)</f>
        <v>0</v>
      </c>
      <c r="R17" s="9">
        <f>INDEX('第10章（ルール表）'!$A$1:$I$2,第10章!$B$2+1,'第10章（セル値の合計）'!R17+1)</f>
        <v>0</v>
      </c>
      <c r="S17" s="9">
        <f>INDEX('第10章（ルール表）'!$A$1:$I$2,第10章!$B$2+1,'第10章（セル値の合計）'!S17+1)</f>
        <v>0</v>
      </c>
      <c r="T17" s="9">
        <f>INDEX('第10章（ルール表）'!$A$1:$I$2,第10章!$B$2+1,'第10章（セル値の合計）'!T17+1)</f>
        <v>0</v>
      </c>
      <c r="U17" s="20">
        <f>INDEX('第10章（ルール表）'!$A$1:$I$2,第10章!$B$2+1,'第10章（セル値の合計）'!U17+1)</f>
        <v>0</v>
      </c>
      <c r="V17">
        <f t="shared" si="1"/>
        <v>0</v>
      </c>
    </row>
    <row r="18" spans="1:22" x14ac:dyDescent="0.15">
      <c r="A18">
        <f t="shared" si="2"/>
        <v>0</v>
      </c>
      <c r="B18" s="19">
        <f>INDEX('第10章（ルール表）'!$A$1:$I$2,第10章!$B$2+1,'第10章（セル値の合計）'!B18+1)</f>
        <v>0</v>
      </c>
      <c r="C18" s="9">
        <f>INDEX('第10章（ルール表）'!$A$1:$I$2,第10章!$B$2+1,'第10章（セル値の合計）'!C18+1)</f>
        <v>0</v>
      </c>
      <c r="D18" s="9">
        <f>INDEX('第10章（ルール表）'!$A$1:$I$2,第10章!$B$2+1,'第10章（セル値の合計）'!D18+1)</f>
        <v>0</v>
      </c>
      <c r="E18" s="9">
        <f>INDEX('第10章（ルール表）'!$A$1:$I$2,第10章!$B$2+1,'第10章（セル値の合計）'!E18+1)</f>
        <v>0</v>
      </c>
      <c r="F18" s="9">
        <f>INDEX('第10章（ルール表）'!$A$1:$I$2,第10章!$B$2+1,'第10章（セル値の合計）'!F18+1)</f>
        <v>0</v>
      </c>
      <c r="G18" s="9">
        <f>INDEX('第10章（ルール表）'!$A$1:$I$2,第10章!$B$2+1,'第10章（セル値の合計）'!G18+1)</f>
        <v>0</v>
      </c>
      <c r="H18" s="9">
        <f>INDEX('第10章（ルール表）'!$A$1:$I$2,第10章!$B$2+1,'第10章（セル値の合計）'!H18+1)</f>
        <v>0</v>
      </c>
      <c r="I18" s="9">
        <f>INDEX('第10章（ルール表）'!$A$1:$I$2,第10章!$B$2+1,'第10章（セル値の合計）'!I18+1)</f>
        <v>0</v>
      </c>
      <c r="J18" s="9">
        <f>INDEX('第10章（ルール表）'!$A$1:$I$2,第10章!$B$2+1,'第10章（セル値の合計）'!J18+1)</f>
        <v>0</v>
      </c>
      <c r="K18" s="9">
        <f>INDEX('第10章（ルール表）'!$A$1:$I$2,第10章!$B$2+1,'第10章（セル値の合計）'!K18+1)</f>
        <v>0</v>
      </c>
      <c r="L18" s="9">
        <f>INDEX('第10章（ルール表）'!$A$1:$I$2,第10章!$B$2+1,'第10章（セル値の合計）'!L18+1)</f>
        <v>0</v>
      </c>
      <c r="M18" s="9">
        <f>INDEX('第10章（ルール表）'!$A$1:$I$2,第10章!$B$2+1,'第10章（セル値の合計）'!M18+1)</f>
        <v>0</v>
      </c>
      <c r="N18" s="9">
        <f>INDEX('第10章（ルール表）'!$A$1:$I$2,第10章!$B$2+1,'第10章（セル値の合計）'!N18+1)</f>
        <v>0</v>
      </c>
      <c r="O18" s="9">
        <f>INDEX('第10章（ルール表）'!$A$1:$I$2,第10章!$B$2+1,'第10章（セル値の合計）'!O18+1)</f>
        <v>0</v>
      </c>
      <c r="P18" s="9">
        <f>INDEX('第10章（ルール表）'!$A$1:$I$2,第10章!$B$2+1,'第10章（セル値の合計）'!P18+1)</f>
        <v>0</v>
      </c>
      <c r="Q18" s="9">
        <f>INDEX('第10章（ルール表）'!$A$1:$I$2,第10章!$B$2+1,'第10章（セル値の合計）'!Q18+1)</f>
        <v>0</v>
      </c>
      <c r="R18" s="9">
        <f>INDEX('第10章（ルール表）'!$A$1:$I$2,第10章!$B$2+1,'第10章（セル値の合計）'!R18+1)</f>
        <v>0</v>
      </c>
      <c r="S18" s="9">
        <f>INDEX('第10章（ルール表）'!$A$1:$I$2,第10章!$B$2+1,'第10章（セル値の合計）'!S18+1)</f>
        <v>0</v>
      </c>
      <c r="T18" s="9">
        <f>INDEX('第10章（ルール表）'!$A$1:$I$2,第10章!$B$2+1,'第10章（セル値の合計）'!T18+1)</f>
        <v>0</v>
      </c>
      <c r="U18" s="20">
        <f>INDEX('第10章（ルール表）'!$A$1:$I$2,第10章!$B$2+1,'第10章（セル値の合計）'!U18+1)</f>
        <v>0</v>
      </c>
      <c r="V18">
        <f t="shared" si="1"/>
        <v>0</v>
      </c>
    </row>
    <row r="19" spans="1:22" x14ac:dyDescent="0.15">
      <c r="A19">
        <f t="shared" si="2"/>
        <v>0</v>
      </c>
      <c r="B19" s="19">
        <f>INDEX('第10章（ルール表）'!$A$1:$I$2,第10章!$B$2+1,'第10章（セル値の合計）'!B19+1)</f>
        <v>0</v>
      </c>
      <c r="C19" s="9">
        <f>INDEX('第10章（ルール表）'!$A$1:$I$2,第10章!$B$2+1,'第10章（セル値の合計）'!C19+1)</f>
        <v>0</v>
      </c>
      <c r="D19" s="9">
        <f>INDEX('第10章（ルール表）'!$A$1:$I$2,第10章!$B$2+1,'第10章（セル値の合計）'!D19+1)</f>
        <v>0</v>
      </c>
      <c r="E19" s="9">
        <f>INDEX('第10章（ルール表）'!$A$1:$I$2,第10章!$B$2+1,'第10章（セル値の合計）'!E19+1)</f>
        <v>0</v>
      </c>
      <c r="F19" s="9">
        <f>INDEX('第10章（ルール表）'!$A$1:$I$2,第10章!$B$2+1,'第10章（セル値の合計）'!F19+1)</f>
        <v>0</v>
      </c>
      <c r="G19" s="9">
        <f>INDEX('第10章（ルール表）'!$A$1:$I$2,第10章!$B$2+1,'第10章（セル値の合計）'!G19+1)</f>
        <v>0</v>
      </c>
      <c r="H19" s="9">
        <f>INDEX('第10章（ルール表）'!$A$1:$I$2,第10章!$B$2+1,'第10章（セル値の合計）'!H19+1)</f>
        <v>0</v>
      </c>
      <c r="I19" s="9">
        <f>INDEX('第10章（ルール表）'!$A$1:$I$2,第10章!$B$2+1,'第10章（セル値の合計）'!I19+1)</f>
        <v>0</v>
      </c>
      <c r="J19" s="9">
        <f>INDEX('第10章（ルール表）'!$A$1:$I$2,第10章!$B$2+1,'第10章（セル値の合計）'!J19+1)</f>
        <v>0</v>
      </c>
      <c r="K19" s="9">
        <f>INDEX('第10章（ルール表）'!$A$1:$I$2,第10章!$B$2+1,'第10章（セル値の合計）'!K19+1)</f>
        <v>0</v>
      </c>
      <c r="L19" s="9">
        <f>INDEX('第10章（ルール表）'!$A$1:$I$2,第10章!$B$2+1,'第10章（セル値の合計）'!L19+1)</f>
        <v>0</v>
      </c>
      <c r="M19" s="9">
        <f>INDEX('第10章（ルール表）'!$A$1:$I$2,第10章!$B$2+1,'第10章（セル値の合計）'!M19+1)</f>
        <v>0</v>
      </c>
      <c r="N19" s="9">
        <f>INDEX('第10章（ルール表）'!$A$1:$I$2,第10章!$B$2+1,'第10章（セル値の合計）'!N19+1)</f>
        <v>0</v>
      </c>
      <c r="O19" s="9">
        <f>INDEX('第10章（ルール表）'!$A$1:$I$2,第10章!$B$2+1,'第10章（セル値の合計）'!O19+1)</f>
        <v>0</v>
      </c>
      <c r="P19" s="9">
        <f>INDEX('第10章（ルール表）'!$A$1:$I$2,第10章!$B$2+1,'第10章（セル値の合計）'!P19+1)</f>
        <v>0</v>
      </c>
      <c r="Q19" s="9">
        <f>INDEX('第10章（ルール表）'!$A$1:$I$2,第10章!$B$2+1,'第10章（セル値の合計）'!Q19+1)</f>
        <v>0</v>
      </c>
      <c r="R19" s="9">
        <f>INDEX('第10章（ルール表）'!$A$1:$I$2,第10章!$B$2+1,'第10章（セル値の合計）'!R19+1)</f>
        <v>0</v>
      </c>
      <c r="S19" s="9">
        <f>INDEX('第10章（ルール表）'!$A$1:$I$2,第10章!$B$2+1,'第10章（セル値の合計）'!S19+1)</f>
        <v>0</v>
      </c>
      <c r="T19" s="9">
        <f>INDEX('第10章（ルール表）'!$A$1:$I$2,第10章!$B$2+1,'第10章（セル値の合計）'!T19+1)</f>
        <v>0</v>
      </c>
      <c r="U19" s="20">
        <f>INDEX('第10章（ルール表）'!$A$1:$I$2,第10章!$B$2+1,'第10章（セル値の合計）'!U19+1)</f>
        <v>0</v>
      </c>
      <c r="V19">
        <f t="shared" si="1"/>
        <v>0</v>
      </c>
    </row>
    <row r="20" spans="1:22" x14ac:dyDescent="0.15">
      <c r="A20">
        <f t="shared" si="2"/>
        <v>0</v>
      </c>
      <c r="B20" s="19">
        <f>INDEX('第10章（ルール表）'!$A$1:$I$2,第10章!$B$2+1,'第10章（セル値の合計）'!B20+1)</f>
        <v>0</v>
      </c>
      <c r="C20" s="9">
        <f>INDEX('第10章（ルール表）'!$A$1:$I$2,第10章!$B$2+1,'第10章（セル値の合計）'!C20+1)</f>
        <v>0</v>
      </c>
      <c r="D20" s="9">
        <f>INDEX('第10章（ルール表）'!$A$1:$I$2,第10章!$B$2+1,'第10章（セル値の合計）'!D20+1)</f>
        <v>0</v>
      </c>
      <c r="E20" s="9">
        <f>INDEX('第10章（ルール表）'!$A$1:$I$2,第10章!$B$2+1,'第10章（セル値の合計）'!E20+1)</f>
        <v>0</v>
      </c>
      <c r="F20" s="9">
        <f>INDEX('第10章（ルール表）'!$A$1:$I$2,第10章!$B$2+1,'第10章（セル値の合計）'!F20+1)</f>
        <v>0</v>
      </c>
      <c r="G20" s="9">
        <f>INDEX('第10章（ルール表）'!$A$1:$I$2,第10章!$B$2+1,'第10章（セル値の合計）'!G20+1)</f>
        <v>0</v>
      </c>
      <c r="H20" s="9">
        <f>INDEX('第10章（ルール表）'!$A$1:$I$2,第10章!$B$2+1,'第10章（セル値の合計）'!H20+1)</f>
        <v>0</v>
      </c>
      <c r="I20" s="9">
        <f>INDEX('第10章（ルール表）'!$A$1:$I$2,第10章!$B$2+1,'第10章（セル値の合計）'!I20+1)</f>
        <v>0</v>
      </c>
      <c r="J20" s="9">
        <f>INDEX('第10章（ルール表）'!$A$1:$I$2,第10章!$B$2+1,'第10章（セル値の合計）'!J20+1)</f>
        <v>0</v>
      </c>
      <c r="K20" s="9">
        <f>INDEX('第10章（ルール表）'!$A$1:$I$2,第10章!$B$2+1,'第10章（セル値の合計）'!K20+1)</f>
        <v>0</v>
      </c>
      <c r="L20" s="9">
        <f>INDEX('第10章（ルール表）'!$A$1:$I$2,第10章!$B$2+1,'第10章（セル値の合計）'!L20+1)</f>
        <v>0</v>
      </c>
      <c r="M20" s="9">
        <f>INDEX('第10章（ルール表）'!$A$1:$I$2,第10章!$B$2+1,'第10章（セル値の合計）'!M20+1)</f>
        <v>0</v>
      </c>
      <c r="N20" s="9">
        <f>INDEX('第10章（ルール表）'!$A$1:$I$2,第10章!$B$2+1,'第10章（セル値の合計）'!N20+1)</f>
        <v>0</v>
      </c>
      <c r="O20" s="9">
        <f>INDEX('第10章（ルール表）'!$A$1:$I$2,第10章!$B$2+1,'第10章（セル値の合計）'!O20+1)</f>
        <v>0</v>
      </c>
      <c r="P20" s="9">
        <f>INDEX('第10章（ルール表）'!$A$1:$I$2,第10章!$B$2+1,'第10章（セル値の合計）'!P20+1)</f>
        <v>0</v>
      </c>
      <c r="Q20" s="9">
        <f>INDEX('第10章（ルール表）'!$A$1:$I$2,第10章!$B$2+1,'第10章（セル値の合計）'!Q20+1)</f>
        <v>0</v>
      </c>
      <c r="R20" s="9">
        <f>INDEX('第10章（ルール表）'!$A$1:$I$2,第10章!$B$2+1,'第10章（セル値の合計）'!R20+1)</f>
        <v>0</v>
      </c>
      <c r="S20" s="9">
        <f>INDEX('第10章（ルール表）'!$A$1:$I$2,第10章!$B$2+1,'第10章（セル値の合計）'!S20+1)</f>
        <v>0</v>
      </c>
      <c r="T20" s="9">
        <f>INDEX('第10章（ルール表）'!$A$1:$I$2,第10章!$B$2+1,'第10章（セル値の合計）'!T20+1)</f>
        <v>0</v>
      </c>
      <c r="U20" s="20">
        <f>INDEX('第10章（ルール表）'!$A$1:$I$2,第10章!$B$2+1,'第10章（セル値の合計）'!U20+1)</f>
        <v>0</v>
      </c>
      <c r="V20">
        <f t="shared" si="1"/>
        <v>0</v>
      </c>
    </row>
    <row r="21" spans="1:22" ht="14.25" thickBot="1" x14ac:dyDescent="0.2">
      <c r="A21">
        <f t="shared" si="2"/>
        <v>0</v>
      </c>
      <c r="B21" s="21">
        <f>INDEX('第10章（ルール表）'!$A$1:$I$2,第10章!$B$2+1,'第10章（セル値の合計）'!B21+1)</f>
        <v>0</v>
      </c>
      <c r="C21" s="22">
        <f>INDEX('第10章（ルール表）'!$A$1:$I$2,第10章!$B$2+1,'第10章（セル値の合計）'!C21+1)</f>
        <v>0</v>
      </c>
      <c r="D21" s="22">
        <f>INDEX('第10章（ルール表）'!$A$1:$I$2,第10章!$B$2+1,'第10章（セル値の合計）'!D21+1)</f>
        <v>0</v>
      </c>
      <c r="E21" s="22">
        <f>INDEX('第10章（ルール表）'!$A$1:$I$2,第10章!$B$2+1,'第10章（セル値の合計）'!E21+1)</f>
        <v>0</v>
      </c>
      <c r="F21" s="22">
        <f>INDEX('第10章（ルール表）'!$A$1:$I$2,第10章!$B$2+1,'第10章（セル値の合計）'!F21+1)</f>
        <v>0</v>
      </c>
      <c r="G21" s="22">
        <f>INDEX('第10章（ルール表）'!$A$1:$I$2,第10章!$B$2+1,'第10章（セル値の合計）'!G21+1)</f>
        <v>0</v>
      </c>
      <c r="H21" s="22">
        <f>INDEX('第10章（ルール表）'!$A$1:$I$2,第10章!$B$2+1,'第10章（セル値の合計）'!H21+1)</f>
        <v>0</v>
      </c>
      <c r="I21" s="22">
        <f>INDEX('第10章（ルール表）'!$A$1:$I$2,第10章!$B$2+1,'第10章（セル値の合計）'!I21+1)</f>
        <v>0</v>
      </c>
      <c r="J21" s="22">
        <f>INDEX('第10章（ルール表）'!$A$1:$I$2,第10章!$B$2+1,'第10章（セル値の合計）'!J21+1)</f>
        <v>0</v>
      </c>
      <c r="K21" s="22">
        <f>INDEX('第10章（ルール表）'!$A$1:$I$2,第10章!$B$2+1,'第10章（セル値の合計）'!K21+1)</f>
        <v>0</v>
      </c>
      <c r="L21" s="22">
        <f>INDEX('第10章（ルール表）'!$A$1:$I$2,第10章!$B$2+1,'第10章（セル値の合計）'!L21+1)</f>
        <v>0</v>
      </c>
      <c r="M21" s="22">
        <f>INDEX('第10章（ルール表）'!$A$1:$I$2,第10章!$B$2+1,'第10章（セル値の合計）'!M21+1)</f>
        <v>0</v>
      </c>
      <c r="N21" s="22">
        <f>INDEX('第10章（ルール表）'!$A$1:$I$2,第10章!$B$2+1,'第10章（セル値の合計）'!N21+1)</f>
        <v>0</v>
      </c>
      <c r="O21" s="22">
        <f>INDEX('第10章（ルール表）'!$A$1:$I$2,第10章!$B$2+1,'第10章（セル値の合計）'!O21+1)</f>
        <v>0</v>
      </c>
      <c r="P21" s="22">
        <f>INDEX('第10章（ルール表）'!$A$1:$I$2,第10章!$B$2+1,'第10章（セル値の合計）'!P21+1)</f>
        <v>0</v>
      </c>
      <c r="Q21" s="22">
        <f>INDEX('第10章（ルール表）'!$A$1:$I$2,第10章!$B$2+1,'第10章（セル値の合計）'!Q21+1)</f>
        <v>0</v>
      </c>
      <c r="R21" s="22">
        <f>INDEX('第10章（ルール表）'!$A$1:$I$2,第10章!$B$2+1,'第10章（セル値の合計）'!R21+1)</f>
        <v>0</v>
      </c>
      <c r="S21" s="22">
        <f>INDEX('第10章（ルール表）'!$A$1:$I$2,第10章!$B$2+1,'第10章（セル値の合計）'!S21+1)</f>
        <v>0</v>
      </c>
      <c r="T21" s="22">
        <f>INDEX('第10章（ルール表）'!$A$1:$I$2,第10章!$B$2+1,'第10章（セル値の合計）'!T21+1)</f>
        <v>0</v>
      </c>
      <c r="U21" s="23">
        <f>INDEX('第10章（ルール表）'!$A$1:$I$2,第10章!$B$2+1,'第10章（セル値の合計）'!U21+1)</f>
        <v>0</v>
      </c>
      <c r="V21">
        <f t="shared" si="1"/>
        <v>0</v>
      </c>
    </row>
    <row r="22" spans="1:22" x14ac:dyDescent="0.15">
      <c r="A22">
        <f>A2</f>
        <v>0</v>
      </c>
      <c r="B22">
        <f t="shared" ref="B22:V22" si="3">B2</f>
        <v>0</v>
      </c>
      <c r="C22">
        <f t="shared" si="3"/>
        <v>0</v>
      </c>
      <c r="D22">
        <f t="shared" si="3"/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>
        <f t="shared" si="3"/>
        <v>0</v>
      </c>
      <c r="J22">
        <f t="shared" si="3"/>
        <v>0</v>
      </c>
      <c r="K22">
        <f t="shared" si="3"/>
        <v>0</v>
      </c>
      <c r="L22">
        <f t="shared" si="3"/>
        <v>0</v>
      </c>
      <c r="M22">
        <f t="shared" si="3"/>
        <v>0</v>
      </c>
      <c r="N22">
        <f t="shared" si="3"/>
        <v>0</v>
      </c>
      <c r="O22">
        <f t="shared" si="3"/>
        <v>0</v>
      </c>
      <c r="P22">
        <f t="shared" si="3"/>
        <v>0</v>
      </c>
      <c r="Q22">
        <f t="shared" si="3"/>
        <v>0</v>
      </c>
      <c r="R22">
        <f t="shared" si="3"/>
        <v>0</v>
      </c>
      <c r="S22">
        <f t="shared" si="3"/>
        <v>0</v>
      </c>
      <c r="T22">
        <f t="shared" si="3"/>
        <v>0</v>
      </c>
      <c r="U22">
        <f t="shared" si="3"/>
        <v>0</v>
      </c>
      <c r="V22">
        <f t="shared" si="3"/>
        <v>0</v>
      </c>
    </row>
  </sheetData>
  <phoneticPr fontId="1"/>
  <conditionalFormatting sqref="B2:U21">
    <cfRule type="cellIs" dxfId="24" priority="1" operator="equal">
      <formula>1</formula>
    </cfRule>
    <cfRule type="cellIs" dxfId="23" priority="2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"/>
  <sheetViews>
    <sheetView workbookViewId="0">
      <selection activeCell="S46" sqref="S46"/>
    </sheetView>
  </sheetViews>
  <sheetFormatPr defaultRowHeight="13.5" x14ac:dyDescent="0.15"/>
  <cols>
    <col min="1" max="9" width="5.625" customWidth="1"/>
  </cols>
  <sheetData>
    <row r="1" spans="1:11" x14ac:dyDescent="0.15">
      <c r="A1" s="27">
        <v>0</v>
      </c>
      <c r="B1" s="28">
        <v>0</v>
      </c>
      <c r="C1" s="28">
        <v>0</v>
      </c>
      <c r="D1" s="28">
        <v>1</v>
      </c>
      <c r="E1" s="28">
        <v>0</v>
      </c>
      <c r="F1" s="28">
        <v>0</v>
      </c>
      <c r="G1" s="28">
        <v>0</v>
      </c>
      <c r="H1" s="28">
        <v>0</v>
      </c>
      <c r="I1" s="31">
        <v>0</v>
      </c>
      <c r="J1" s="33" t="s">
        <v>36</v>
      </c>
      <c r="K1" s="34"/>
    </row>
    <row r="2" spans="1:11" ht="14.25" thickBot="1" x14ac:dyDescent="0.2">
      <c r="A2" s="29">
        <v>0</v>
      </c>
      <c r="B2" s="30">
        <v>0</v>
      </c>
      <c r="C2" s="30">
        <v>1</v>
      </c>
      <c r="D2" s="30">
        <v>1</v>
      </c>
      <c r="E2" s="30">
        <v>0</v>
      </c>
      <c r="F2" s="30">
        <v>0</v>
      </c>
      <c r="G2" s="30">
        <v>0</v>
      </c>
      <c r="H2" s="30">
        <v>0</v>
      </c>
      <c r="I2" s="32">
        <v>0</v>
      </c>
      <c r="J2" s="35" t="s">
        <v>37</v>
      </c>
      <c r="K2" s="36"/>
    </row>
    <row r="3" spans="1:11" x14ac:dyDescent="0.15">
      <c r="A3" s="33">
        <v>0</v>
      </c>
      <c r="B3" s="37">
        <v>1</v>
      </c>
      <c r="C3" s="37">
        <v>2</v>
      </c>
      <c r="D3" s="37">
        <v>3</v>
      </c>
      <c r="E3" s="37">
        <v>4</v>
      </c>
      <c r="F3" s="37">
        <v>5</v>
      </c>
      <c r="G3" s="37">
        <v>6</v>
      </c>
      <c r="H3" s="37">
        <v>7</v>
      </c>
      <c r="I3" s="34">
        <v>8</v>
      </c>
    </row>
    <row r="4" spans="1:11" ht="14.25" thickBot="1" x14ac:dyDescent="0.2">
      <c r="A4" s="47" t="s">
        <v>35</v>
      </c>
      <c r="B4" s="48"/>
      <c r="C4" s="48"/>
      <c r="D4" s="48"/>
      <c r="E4" s="48"/>
      <c r="F4" s="48"/>
      <c r="G4" s="48"/>
      <c r="H4" s="48"/>
      <c r="I4" s="49"/>
    </row>
  </sheetData>
  <mergeCells count="1">
    <mergeCell ref="A4:I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Z26"/>
  <sheetViews>
    <sheetView tabSelected="1" workbookViewId="0">
      <selection activeCell="Y16" sqref="Y16"/>
    </sheetView>
  </sheetViews>
  <sheetFormatPr defaultRowHeight="12" customHeight="1" x14ac:dyDescent="0.15"/>
  <cols>
    <col min="1" max="40" width="2.125" customWidth="1"/>
  </cols>
  <sheetData>
    <row r="2" spans="2:26" ht="12" customHeight="1" x14ac:dyDescent="0.15">
      <c r="B2" s="57">
        <v>1</v>
      </c>
      <c r="C2" s="57">
        <v>1</v>
      </c>
      <c r="D2" s="57">
        <v>1</v>
      </c>
      <c r="E2" s="57">
        <v>1</v>
      </c>
      <c r="F2" s="57">
        <v>1</v>
      </c>
      <c r="G2" s="57">
        <v>1</v>
      </c>
      <c r="H2" s="57">
        <v>1</v>
      </c>
      <c r="I2" s="57">
        <v>1</v>
      </c>
      <c r="J2" s="57">
        <v>1</v>
      </c>
      <c r="K2" s="57">
        <v>1</v>
      </c>
      <c r="L2" s="57">
        <v>1</v>
      </c>
      <c r="M2" s="57">
        <v>1</v>
      </c>
      <c r="N2" s="57">
        <v>1</v>
      </c>
      <c r="O2" s="57">
        <v>1</v>
      </c>
      <c r="P2" s="57">
        <v>1</v>
      </c>
      <c r="Q2" s="57">
        <v>1</v>
      </c>
      <c r="R2" s="57">
        <v>1</v>
      </c>
      <c r="S2" s="57">
        <v>1</v>
      </c>
      <c r="T2" s="57">
        <v>1</v>
      </c>
      <c r="U2" s="57">
        <v>1</v>
      </c>
      <c r="V2" s="57">
        <v>1</v>
      </c>
      <c r="W2" s="57">
        <v>1</v>
      </c>
      <c r="X2" s="57">
        <v>1</v>
      </c>
      <c r="Y2" s="57">
        <v>1</v>
      </c>
      <c r="Z2" s="57">
        <v>1</v>
      </c>
    </row>
    <row r="3" spans="2:26" ht="12" customHeight="1" x14ac:dyDescent="0.15">
      <c r="B3" s="57">
        <v>1</v>
      </c>
      <c r="C3" s="57">
        <v>1</v>
      </c>
      <c r="D3" s="57">
        <v>1</v>
      </c>
      <c r="E3" s="57">
        <v>1</v>
      </c>
      <c r="F3" s="57">
        <v>1</v>
      </c>
      <c r="G3" s="57">
        <v>1</v>
      </c>
      <c r="H3" s="57">
        <v>1</v>
      </c>
      <c r="I3" s="57">
        <v>1</v>
      </c>
      <c r="J3" s="57">
        <v>1</v>
      </c>
      <c r="K3" s="57">
        <v>1</v>
      </c>
      <c r="L3" s="57">
        <v>1</v>
      </c>
      <c r="M3" s="57">
        <v>1</v>
      </c>
      <c r="N3" s="57">
        <v>1</v>
      </c>
      <c r="O3" s="57">
        <v>1</v>
      </c>
      <c r="P3" s="57">
        <v>1</v>
      </c>
      <c r="Q3" s="57">
        <v>1</v>
      </c>
      <c r="R3" s="57">
        <v>1</v>
      </c>
      <c r="S3" s="57">
        <v>1</v>
      </c>
      <c r="T3" s="57">
        <v>1</v>
      </c>
      <c r="U3" s="57">
        <v>1</v>
      </c>
      <c r="V3" s="57">
        <v>1</v>
      </c>
      <c r="W3" s="57">
        <v>1</v>
      </c>
      <c r="X3" s="57">
        <v>1</v>
      </c>
      <c r="Y3" s="57">
        <v>1</v>
      </c>
      <c r="Z3" s="57">
        <v>1</v>
      </c>
    </row>
    <row r="4" spans="2:26" ht="12" customHeight="1" x14ac:dyDescent="0.15">
      <c r="B4" s="57">
        <v>1</v>
      </c>
      <c r="C4" s="57">
        <v>1</v>
      </c>
      <c r="D4" s="57">
        <v>1</v>
      </c>
      <c r="E4" s="57">
        <v>1</v>
      </c>
      <c r="F4" s="57">
        <v>1</v>
      </c>
      <c r="G4" s="57">
        <v>1</v>
      </c>
      <c r="H4" s="57">
        <v>1</v>
      </c>
      <c r="I4" s="57">
        <v>1</v>
      </c>
      <c r="J4" s="57">
        <v>1</v>
      </c>
      <c r="K4" s="57">
        <v>1</v>
      </c>
      <c r="L4" s="57">
        <v>1</v>
      </c>
      <c r="M4" s="57">
        <v>1</v>
      </c>
      <c r="N4" s="57">
        <v>1</v>
      </c>
      <c r="O4" s="57">
        <v>1</v>
      </c>
      <c r="P4" s="57">
        <v>1</v>
      </c>
      <c r="Q4" s="57">
        <v>1</v>
      </c>
      <c r="R4" s="57">
        <v>1</v>
      </c>
      <c r="S4" s="57">
        <v>1</v>
      </c>
      <c r="T4" s="57">
        <v>1</v>
      </c>
      <c r="U4" s="57">
        <v>1</v>
      </c>
      <c r="V4" s="57">
        <v>1</v>
      </c>
      <c r="W4" s="57">
        <v>1</v>
      </c>
      <c r="X4" s="57">
        <v>1</v>
      </c>
      <c r="Y4" s="57">
        <v>1</v>
      </c>
      <c r="Z4" s="57">
        <v>1</v>
      </c>
    </row>
    <row r="5" spans="2:26" ht="12" customHeight="1" x14ac:dyDescent="0.15">
      <c r="B5" s="57">
        <v>1</v>
      </c>
      <c r="C5" s="57">
        <v>1</v>
      </c>
      <c r="D5" s="57">
        <v>1</v>
      </c>
      <c r="E5" s="57">
        <v>1</v>
      </c>
      <c r="F5" s="57">
        <v>1</v>
      </c>
      <c r="G5" s="57">
        <v>1</v>
      </c>
      <c r="H5" s="57">
        <v>1</v>
      </c>
      <c r="I5" s="57">
        <v>1</v>
      </c>
      <c r="J5" s="57">
        <v>1</v>
      </c>
      <c r="K5" s="57">
        <v>1</v>
      </c>
      <c r="L5" s="57">
        <v>1</v>
      </c>
      <c r="M5" s="57">
        <v>1</v>
      </c>
      <c r="N5" s="57">
        <v>1</v>
      </c>
      <c r="O5" s="57">
        <v>1</v>
      </c>
      <c r="P5" s="57">
        <v>1</v>
      </c>
      <c r="Q5" s="57">
        <v>1</v>
      </c>
      <c r="R5" s="57">
        <v>1</v>
      </c>
      <c r="S5" s="57">
        <v>1</v>
      </c>
      <c r="T5" s="57">
        <v>1</v>
      </c>
      <c r="U5" s="57">
        <v>1</v>
      </c>
      <c r="V5" s="57">
        <v>1</v>
      </c>
      <c r="W5" s="57">
        <v>1</v>
      </c>
      <c r="X5" s="57">
        <v>1</v>
      </c>
      <c r="Y5" s="57">
        <v>1</v>
      </c>
      <c r="Z5" s="57">
        <v>1</v>
      </c>
    </row>
    <row r="6" spans="2:26" ht="12" customHeight="1" x14ac:dyDescent="0.15">
      <c r="B6" s="57">
        <v>1</v>
      </c>
      <c r="C6" s="57">
        <v>1</v>
      </c>
      <c r="D6" s="57">
        <v>1</v>
      </c>
      <c r="E6" s="57">
        <v>1</v>
      </c>
      <c r="F6" s="57">
        <v>1</v>
      </c>
      <c r="G6" s="57">
        <v>1</v>
      </c>
      <c r="H6" s="57">
        <v>1</v>
      </c>
      <c r="I6" s="57">
        <v>1</v>
      </c>
      <c r="J6" s="57">
        <v>1</v>
      </c>
      <c r="K6" s="57">
        <v>1</v>
      </c>
      <c r="L6" s="57">
        <v>1</v>
      </c>
      <c r="M6" s="57">
        <v>1</v>
      </c>
      <c r="N6" s="57">
        <v>1</v>
      </c>
      <c r="O6" s="57">
        <v>1</v>
      </c>
      <c r="P6" s="57">
        <v>1</v>
      </c>
      <c r="Q6" s="57">
        <v>1</v>
      </c>
      <c r="R6" s="57">
        <v>1</v>
      </c>
      <c r="S6" s="57">
        <v>1</v>
      </c>
      <c r="T6" s="57">
        <v>1</v>
      </c>
      <c r="U6" s="57">
        <v>1</v>
      </c>
      <c r="V6" s="57">
        <v>1</v>
      </c>
      <c r="W6" s="57">
        <v>1</v>
      </c>
      <c r="X6" s="57">
        <v>1</v>
      </c>
      <c r="Y6" s="57">
        <v>1</v>
      </c>
      <c r="Z6" s="57">
        <v>1</v>
      </c>
    </row>
    <row r="7" spans="2:26" ht="12" customHeight="1" x14ac:dyDescent="0.15">
      <c r="B7" s="57">
        <v>1</v>
      </c>
      <c r="C7" s="57">
        <v>1</v>
      </c>
      <c r="D7" s="57">
        <v>1</v>
      </c>
      <c r="E7" s="57">
        <v>1</v>
      </c>
      <c r="F7" s="57">
        <v>1</v>
      </c>
      <c r="G7" s="57">
        <v>1</v>
      </c>
      <c r="H7" s="57">
        <v>1</v>
      </c>
      <c r="I7" s="57">
        <v>1</v>
      </c>
      <c r="J7" s="57">
        <v>1</v>
      </c>
      <c r="K7" s="57">
        <v>1</v>
      </c>
      <c r="L7" s="57">
        <v>1</v>
      </c>
      <c r="M7" s="57">
        <v>1</v>
      </c>
      <c r="N7" s="57">
        <v>1</v>
      </c>
      <c r="O7" s="57">
        <v>1</v>
      </c>
      <c r="P7" s="57">
        <v>1</v>
      </c>
      <c r="Q7" s="57">
        <v>1</v>
      </c>
      <c r="R7" s="57">
        <v>1</v>
      </c>
      <c r="S7" s="57">
        <v>1</v>
      </c>
      <c r="T7" s="57">
        <v>1</v>
      </c>
      <c r="U7" s="57">
        <v>1</v>
      </c>
      <c r="V7" s="57">
        <v>1</v>
      </c>
      <c r="W7" s="57">
        <v>1</v>
      </c>
      <c r="X7" s="57">
        <v>1</v>
      </c>
      <c r="Y7" s="57">
        <v>1</v>
      </c>
      <c r="Z7" s="57">
        <v>1</v>
      </c>
    </row>
    <row r="8" spans="2:26" ht="12" customHeight="1" x14ac:dyDescent="0.15">
      <c r="B8" s="57">
        <v>1</v>
      </c>
      <c r="C8" s="57">
        <v>1</v>
      </c>
      <c r="D8" s="57">
        <v>1</v>
      </c>
      <c r="E8" s="57">
        <v>1</v>
      </c>
      <c r="F8" s="57">
        <v>1</v>
      </c>
      <c r="G8" s="57">
        <v>1</v>
      </c>
      <c r="H8" s="57">
        <v>1</v>
      </c>
      <c r="I8" s="57">
        <v>1</v>
      </c>
      <c r="J8" s="57">
        <v>1</v>
      </c>
      <c r="K8" s="57">
        <v>1</v>
      </c>
      <c r="L8" s="57">
        <v>1</v>
      </c>
      <c r="M8" s="57">
        <v>1</v>
      </c>
      <c r="N8" s="57">
        <v>1</v>
      </c>
      <c r="O8" s="57">
        <v>1</v>
      </c>
      <c r="P8" s="57">
        <v>1</v>
      </c>
      <c r="Q8" s="57">
        <v>1</v>
      </c>
      <c r="R8" s="57">
        <v>1</v>
      </c>
      <c r="S8" s="57">
        <v>1</v>
      </c>
      <c r="T8" s="57">
        <v>1</v>
      </c>
      <c r="U8" s="57">
        <v>1</v>
      </c>
      <c r="V8" s="57">
        <v>1</v>
      </c>
      <c r="W8" s="57">
        <v>1</v>
      </c>
      <c r="X8" s="57">
        <v>1</v>
      </c>
      <c r="Y8" s="57">
        <v>1</v>
      </c>
      <c r="Z8" s="57">
        <v>1</v>
      </c>
    </row>
    <row r="9" spans="2:26" ht="12" customHeight="1" x14ac:dyDescent="0.15">
      <c r="B9" s="57">
        <v>1</v>
      </c>
      <c r="C9" s="57">
        <v>1</v>
      </c>
      <c r="D9" s="57">
        <v>1</v>
      </c>
      <c r="E9" s="57">
        <v>1</v>
      </c>
      <c r="F9" s="57">
        <v>1</v>
      </c>
      <c r="G9" s="57">
        <v>1</v>
      </c>
      <c r="H9" s="57">
        <v>1</v>
      </c>
      <c r="I9" s="57">
        <v>1</v>
      </c>
      <c r="J9" s="57">
        <v>1</v>
      </c>
      <c r="K9" s="57">
        <v>1</v>
      </c>
      <c r="L9" s="57">
        <v>1</v>
      </c>
      <c r="M9" s="57">
        <v>1</v>
      </c>
      <c r="N9" s="57">
        <v>1</v>
      </c>
      <c r="O9" s="57">
        <v>1</v>
      </c>
      <c r="P9" s="57">
        <v>1</v>
      </c>
      <c r="Q9" s="57">
        <v>1</v>
      </c>
      <c r="R9" s="57">
        <v>1</v>
      </c>
      <c r="S9" s="57">
        <v>1</v>
      </c>
      <c r="T9" s="57">
        <v>1</v>
      </c>
      <c r="U9" s="57">
        <v>1</v>
      </c>
      <c r="V9" s="57">
        <v>1</v>
      </c>
      <c r="W9" s="57">
        <v>1</v>
      </c>
      <c r="X9" s="57">
        <v>1</v>
      </c>
      <c r="Y9" s="57">
        <v>1</v>
      </c>
      <c r="Z9" s="57">
        <v>1</v>
      </c>
    </row>
    <row r="10" spans="2:26" ht="12" customHeight="1" x14ac:dyDescent="0.15">
      <c r="B10" s="57">
        <v>1</v>
      </c>
      <c r="C10" s="57">
        <v>1</v>
      </c>
      <c r="D10" s="57">
        <v>1</v>
      </c>
      <c r="E10" s="57">
        <v>1</v>
      </c>
      <c r="F10" s="57">
        <v>1</v>
      </c>
      <c r="G10" s="57">
        <v>1</v>
      </c>
      <c r="H10" s="57">
        <v>1</v>
      </c>
      <c r="I10" s="57">
        <v>1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v>0</v>
      </c>
      <c r="Q10" s="57">
        <v>0</v>
      </c>
      <c r="R10" s="57">
        <v>0</v>
      </c>
      <c r="S10" s="57">
        <v>1</v>
      </c>
      <c r="T10" s="57">
        <v>1</v>
      </c>
      <c r="U10" s="57">
        <v>1</v>
      </c>
      <c r="V10" s="57">
        <v>1</v>
      </c>
      <c r="W10" s="57">
        <v>1</v>
      </c>
      <c r="X10" s="57">
        <v>1</v>
      </c>
      <c r="Y10" s="57">
        <v>1</v>
      </c>
      <c r="Z10" s="57">
        <v>1</v>
      </c>
    </row>
    <row r="11" spans="2:26" ht="12" customHeight="1" x14ac:dyDescent="0.15">
      <c r="B11" s="57">
        <v>1</v>
      </c>
      <c r="C11" s="57">
        <v>1</v>
      </c>
      <c r="D11" s="57">
        <v>1</v>
      </c>
      <c r="E11" s="57">
        <v>1</v>
      </c>
      <c r="F11" s="57">
        <v>1</v>
      </c>
      <c r="G11" s="57">
        <v>1</v>
      </c>
      <c r="H11" s="57">
        <v>1</v>
      </c>
      <c r="I11" s="57">
        <v>1</v>
      </c>
      <c r="J11" s="57">
        <v>0</v>
      </c>
      <c r="K11" s="57">
        <v>1</v>
      </c>
      <c r="L11" s="57">
        <v>1</v>
      </c>
      <c r="M11" s="57">
        <v>1</v>
      </c>
      <c r="N11" s="57">
        <v>1</v>
      </c>
      <c r="O11" s="57">
        <v>1</v>
      </c>
      <c r="P11" s="57">
        <v>1</v>
      </c>
      <c r="Q11" s="57">
        <v>1</v>
      </c>
      <c r="R11" s="57">
        <v>0</v>
      </c>
      <c r="S11" s="57">
        <v>1</v>
      </c>
      <c r="T11" s="57">
        <v>1</v>
      </c>
      <c r="U11" s="57">
        <v>1</v>
      </c>
      <c r="V11" s="57">
        <v>1</v>
      </c>
      <c r="W11" s="57">
        <v>1</v>
      </c>
      <c r="X11" s="57">
        <v>1</v>
      </c>
      <c r="Y11" s="57">
        <v>1</v>
      </c>
      <c r="Z11" s="57">
        <v>1</v>
      </c>
    </row>
    <row r="12" spans="2:26" ht="12" customHeight="1" x14ac:dyDescent="0.15">
      <c r="B12" s="57">
        <v>1</v>
      </c>
      <c r="C12" s="57">
        <v>1</v>
      </c>
      <c r="D12" s="57">
        <v>1</v>
      </c>
      <c r="E12" s="57">
        <v>1</v>
      </c>
      <c r="F12" s="57">
        <v>1</v>
      </c>
      <c r="G12" s="57">
        <v>1</v>
      </c>
      <c r="H12" s="57">
        <v>1</v>
      </c>
      <c r="I12" s="57">
        <v>1</v>
      </c>
      <c r="J12" s="57">
        <v>0</v>
      </c>
      <c r="K12" s="57">
        <v>1</v>
      </c>
      <c r="L12" s="57">
        <v>1</v>
      </c>
      <c r="M12" s="57">
        <v>1</v>
      </c>
      <c r="N12" s="57">
        <v>1</v>
      </c>
      <c r="O12" s="57">
        <v>1</v>
      </c>
      <c r="P12" s="57">
        <v>1</v>
      </c>
      <c r="Q12" s="57">
        <v>1</v>
      </c>
      <c r="R12" s="57">
        <v>0</v>
      </c>
      <c r="S12" s="57">
        <v>1</v>
      </c>
      <c r="T12" s="57">
        <v>1</v>
      </c>
      <c r="U12" s="57">
        <v>1</v>
      </c>
      <c r="V12" s="57">
        <v>1</v>
      </c>
      <c r="W12" s="57">
        <v>1</v>
      </c>
      <c r="X12" s="57">
        <v>1</v>
      </c>
      <c r="Y12" s="57">
        <v>1</v>
      </c>
      <c r="Z12" s="57">
        <v>1</v>
      </c>
    </row>
    <row r="13" spans="2:26" ht="12" customHeight="1" x14ac:dyDescent="0.15">
      <c r="B13" s="57">
        <v>1</v>
      </c>
      <c r="C13" s="57">
        <v>1</v>
      </c>
      <c r="D13" s="57">
        <v>1</v>
      </c>
      <c r="E13" s="57">
        <v>1</v>
      </c>
      <c r="F13" s="57">
        <v>1</v>
      </c>
      <c r="G13" s="57">
        <v>1</v>
      </c>
      <c r="H13" s="57">
        <v>1</v>
      </c>
      <c r="I13" s="57">
        <v>1</v>
      </c>
      <c r="J13" s="57">
        <v>0</v>
      </c>
      <c r="K13" s="57">
        <v>1</v>
      </c>
      <c r="L13" s="57">
        <v>1</v>
      </c>
      <c r="M13" s="57">
        <v>1</v>
      </c>
      <c r="N13" s="57">
        <v>1</v>
      </c>
      <c r="O13" s="57">
        <v>1</v>
      </c>
      <c r="P13" s="57">
        <v>1</v>
      </c>
      <c r="Q13" s="57">
        <v>1</v>
      </c>
      <c r="R13" s="57">
        <v>0</v>
      </c>
      <c r="S13" s="57">
        <v>1</v>
      </c>
      <c r="T13" s="57">
        <v>1</v>
      </c>
      <c r="U13" s="57">
        <v>1</v>
      </c>
      <c r="V13" s="57">
        <v>1</v>
      </c>
      <c r="W13" s="57">
        <v>1</v>
      </c>
      <c r="X13" s="57">
        <v>1</v>
      </c>
      <c r="Y13" s="57">
        <v>1</v>
      </c>
      <c r="Z13" s="57">
        <v>1</v>
      </c>
    </row>
    <row r="14" spans="2:26" ht="12" customHeight="1" x14ac:dyDescent="0.15">
      <c r="B14" s="57">
        <v>1</v>
      </c>
      <c r="C14" s="57">
        <v>1</v>
      </c>
      <c r="D14" s="57">
        <v>1</v>
      </c>
      <c r="E14" s="57">
        <v>1</v>
      </c>
      <c r="F14" s="57">
        <v>1</v>
      </c>
      <c r="G14" s="57">
        <v>1</v>
      </c>
      <c r="H14" s="57">
        <v>1</v>
      </c>
      <c r="I14" s="57">
        <v>1</v>
      </c>
      <c r="J14" s="57">
        <v>0</v>
      </c>
      <c r="K14" s="57">
        <v>1</v>
      </c>
      <c r="L14" s="57">
        <v>1</v>
      </c>
      <c r="M14" s="57">
        <v>1</v>
      </c>
      <c r="N14" s="57">
        <v>5</v>
      </c>
      <c r="O14" s="57">
        <v>1</v>
      </c>
      <c r="P14" s="57">
        <v>1</v>
      </c>
      <c r="Q14" s="57">
        <v>1</v>
      </c>
      <c r="R14" s="57">
        <v>0</v>
      </c>
      <c r="S14" s="57">
        <v>1</v>
      </c>
      <c r="T14" s="57">
        <v>1</v>
      </c>
      <c r="U14" s="57">
        <v>1</v>
      </c>
      <c r="V14" s="57">
        <v>1</v>
      </c>
      <c r="W14" s="57">
        <v>1</v>
      </c>
      <c r="X14" s="57">
        <v>1</v>
      </c>
      <c r="Y14" s="57">
        <v>1</v>
      </c>
      <c r="Z14" s="57">
        <v>1</v>
      </c>
    </row>
    <row r="15" spans="2:26" ht="12" customHeight="1" x14ac:dyDescent="0.15">
      <c r="B15" s="57">
        <v>1</v>
      </c>
      <c r="C15" s="57">
        <v>1</v>
      </c>
      <c r="D15" s="57">
        <v>1</v>
      </c>
      <c r="E15" s="57">
        <v>1</v>
      </c>
      <c r="F15" s="57">
        <v>1</v>
      </c>
      <c r="G15" s="57">
        <v>1</v>
      </c>
      <c r="H15" s="57">
        <v>1</v>
      </c>
      <c r="I15" s="57">
        <v>1</v>
      </c>
      <c r="J15" s="57">
        <v>0</v>
      </c>
      <c r="K15" s="57">
        <v>1</v>
      </c>
      <c r="L15" s="57">
        <v>1</v>
      </c>
      <c r="M15" s="57">
        <v>1</v>
      </c>
      <c r="N15" s="57">
        <v>1</v>
      </c>
      <c r="O15" s="57">
        <v>1</v>
      </c>
      <c r="P15" s="57">
        <v>1</v>
      </c>
      <c r="Q15" s="57">
        <v>1</v>
      </c>
      <c r="R15" s="57">
        <v>0</v>
      </c>
      <c r="S15" s="57">
        <v>1</v>
      </c>
      <c r="T15" s="57">
        <v>1</v>
      </c>
      <c r="U15" s="57">
        <v>1</v>
      </c>
      <c r="V15" s="57">
        <v>1</v>
      </c>
      <c r="W15" s="57">
        <v>1</v>
      </c>
      <c r="X15" s="57">
        <v>1</v>
      </c>
      <c r="Y15" s="57">
        <v>1</v>
      </c>
      <c r="Z15" s="57">
        <v>1</v>
      </c>
    </row>
    <row r="16" spans="2:26" ht="12" customHeight="1" x14ac:dyDescent="0.15">
      <c r="B16" s="57">
        <v>1</v>
      </c>
      <c r="C16" s="57">
        <v>1</v>
      </c>
      <c r="D16" s="57">
        <v>1</v>
      </c>
      <c r="E16" s="57">
        <v>1</v>
      </c>
      <c r="F16" s="57">
        <v>1</v>
      </c>
      <c r="G16" s="57">
        <v>1</v>
      </c>
      <c r="H16" s="57">
        <v>1</v>
      </c>
      <c r="I16" s="57">
        <v>1</v>
      </c>
      <c r="J16" s="57">
        <v>0</v>
      </c>
      <c r="K16" s="57">
        <v>1</v>
      </c>
      <c r="L16" s="57">
        <v>1</v>
      </c>
      <c r="M16" s="57">
        <v>1</v>
      </c>
      <c r="N16" s="57">
        <v>1</v>
      </c>
      <c r="O16" s="57">
        <v>1</v>
      </c>
      <c r="P16" s="57">
        <v>1</v>
      </c>
      <c r="Q16" s="57">
        <v>1</v>
      </c>
      <c r="R16" s="57">
        <v>0</v>
      </c>
      <c r="S16" s="57">
        <v>1</v>
      </c>
      <c r="T16" s="57">
        <v>1</v>
      </c>
      <c r="U16" s="57">
        <v>1</v>
      </c>
      <c r="V16" s="57">
        <v>1</v>
      </c>
      <c r="W16" s="57">
        <v>1</v>
      </c>
      <c r="X16" s="57">
        <v>1</v>
      </c>
      <c r="Y16" s="57">
        <v>1</v>
      </c>
      <c r="Z16" s="57">
        <v>1</v>
      </c>
    </row>
    <row r="17" spans="2:26" ht="12" customHeight="1" x14ac:dyDescent="0.15">
      <c r="B17" s="57">
        <v>1</v>
      </c>
      <c r="C17" s="57">
        <v>1</v>
      </c>
      <c r="D17" s="57">
        <v>1</v>
      </c>
      <c r="E17" s="57">
        <v>1</v>
      </c>
      <c r="F17" s="57">
        <v>1</v>
      </c>
      <c r="G17" s="57">
        <v>1</v>
      </c>
      <c r="H17" s="57">
        <v>1</v>
      </c>
      <c r="I17" s="57">
        <v>1</v>
      </c>
      <c r="J17" s="57">
        <v>0</v>
      </c>
      <c r="K17" s="57">
        <v>1</v>
      </c>
      <c r="L17" s="57">
        <v>1</v>
      </c>
      <c r="M17" s="57">
        <v>1</v>
      </c>
      <c r="N17" s="57">
        <v>1</v>
      </c>
      <c r="O17" s="57">
        <v>1</v>
      </c>
      <c r="P17" s="57">
        <v>1</v>
      </c>
      <c r="Q17" s="57">
        <v>1</v>
      </c>
      <c r="R17" s="57">
        <v>0</v>
      </c>
      <c r="S17" s="57">
        <v>1</v>
      </c>
      <c r="T17" s="57">
        <v>1</v>
      </c>
      <c r="U17" s="57">
        <v>1</v>
      </c>
      <c r="V17" s="57">
        <v>1</v>
      </c>
      <c r="W17" s="57">
        <v>1</v>
      </c>
      <c r="X17" s="57">
        <v>1</v>
      </c>
      <c r="Y17" s="57">
        <v>1</v>
      </c>
      <c r="Z17" s="57">
        <v>1</v>
      </c>
    </row>
    <row r="18" spans="2:26" ht="12" customHeight="1" x14ac:dyDescent="0.15">
      <c r="B18" s="57">
        <v>1</v>
      </c>
      <c r="C18" s="57">
        <v>1</v>
      </c>
      <c r="D18" s="57">
        <v>1</v>
      </c>
      <c r="E18" s="57">
        <v>1</v>
      </c>
      <c r="F18" s="57">
        <v>1</v>
      </c>
      <c r="G18" s="57">
        <v>1</v>
      </c>
      <c r="H18" s="57">
        <v>1</v>
      </c>
      <c r="I18" s="57">
        <v>1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v>0</v>
      </c>
      <c r="Q18" s="57">
        <v>0</v>
      </c>
      <c r="R18" s="57">
        <v>0</v>
      </c>
      <c r="S18" s="57">
        <v>1</v>
      </c>
      <c r="T18" s="57">
        <v>1</v>
      </c>
      <c r="U18" s="57">
        <v>1</v>
      </c>
      <c r="V18" s="57">
        <v>1</v>
      </c>
      <c r="W18" s="57">
        <v>1</v>
      </c>
      <c r="X18" s="57">
        <v>1</v>
      </c>
      <c r="Y18" s="57">
        <v>1</v>
      </c>
      <c r="Z18" s="57">
        <v>1</v>
      </c>
    </row>
    <row r="19" spans="2:26" ht="12" customHeight="1" x14ac:dyDescent="0.15">
      <c r="B19" s="57">
        <v>1</v>
      </c>
      <c r="C19" s="57">
        <v>1</v>
      </c>
      <c r="D19" s="57">
        <v>1</v>
      </c>
      <c r="E19" s="57">
        <v>1</v>
      </c>
      <c r="F19" s="57">
        <v>1</v>
      </c>
      <c r="G19" s="57">
        <v>1</v>
      </c>
      <c r="H19" s="57">
        <v>1</v>
      </c>
      <c r="I19" s="57">
        <v>1</v>
      </c>
      <c r="J19" s="57">
        <v>1</v>
      </c>
      <c r="K19" s="57">
        <v>1</v>
      </c>
      <c r="L19" s="57">
        <v>1</v>
      </c>
      <c r="M19" s="57">
        <v>1</v>
      </c>
      <c r="N19" s="57">
        <v>1</v>
      </c>
      <c r="O19" s="57">
        <v>1</v>
      </c>
      <c r="P19" s="57">
        <v>1</v>
      </c>
      <c r="Q19" s="57">
        <v>1</v>
      </c>
      <c r="R19" s="57">
        <v>1</v>
      </c>
      <c r="S19" s="57">
        <v>1</v>
      </c>
      <c r="T19" s="57">
        <v>1</v>
      </c>
      <c r="U19" s="57">
        <v>1</v>
      </c>
      <c r="V19" s="57">
        <v>1</v>
      </c>
      <c r="W19" s="57">
        <v>1</v>
      </c>
      <c r="X19" s="57">
        <v>1</v>
      </c>
      <c r="Y19" s="57">
        <v>1</v>
      </c>
      <c r="Z19" s="57">
        <v>1</v>
      </c>
    </row>
    <row r="20" spans="2:26" ht="12" customHeight="1" x14ac:dyDescent="0.15">
      <c r="B20" s="57">
        <v>1</v>
      </c>
      <c r="C20" s="57">
        <v>1</v>
      </c>
      <c r="D20" s="57">
        <v>1</v>
      </c>
      <c r="E20" s="57">
        <v>1</v>
      </c>
      <c r="F20" s="57">
        <v>1</v>
      </c>
      <c r="G20" s="57">
        <v>1</v>
      </c>
      <c r="H20" s="57">
        <v>1</v>
      </c>
      <c r="I20" s="57">
        <v>1</v>
      </c>
      <c r="J20" s="57">
        <v>1</v>
      </c>
      <c r="K20" s="57">
        <v>1</v>
      </c>
      <c r="L20" s="57">
        <v>1</v>
      </c>
      <c r="M20" s="57">
        <v>1</v>
      </c>
      <c r="N20" s="57">
        <v>1</v>
      </c>
      <c r="O20" s="57">
        <v>1</v>
      </c>
      <c r="P20" s="57">
        <v>1</v>
      </c>
      <c r="Q20" s="57">
        <v>1</v>
      </c>
      <c r="R20" s="57">
        <v>1</v>
      </c>
      <c r="S20" s="57">
        <v>1</v>
      </c>
      <c r="T20" s="57">
        <v>1</v>
      </c>
      <c r="U20" s="57">
        <v>1</v>
      </c>
      <c r="V20" s="57">
        <v>1</v>
      </c>
      <c r="W20" s="57">
        <v>1</v>
      </c>
      <c r="X20" s="57">
        <v>1</v>
      </c>
      <c r="Y20" s="57">
        <v>1</v>
      </c>
      <c r="Z20" s="57">
        <v>1</v>
      </c>
    </row>
    <row r="21" spans="2:26" ht="12" customHeight="1" x14ac:dyDescent="0.15">
      <c r="B21" s="57">
        <v>1</v>
      </c>
      <c r="C21" s="57">
        <v>1</v>
      </c>
      <c r="D21" s="57">
        <v>1</v>
      </c>
      <c r="E21" s="57">
        <v>1</v>
      </c>
      <c r="F21" s="57">
        <v>1</v>
      </c>
      <c r="G21" s="57">
        <v>1</v>
      </c>
      <c r="H21" s="57">
        <v>1</v>
      </c>
      <c r="I21" s="57">
        <v>1</v>
      </c>
      <c r="J21" s="57">
        <v>1</v>
      </c>
      <c r="K21" s="57">
        <v>1</v>
      </c>
      <c r="L21" s="57">
        <v>1</v>
      </c>
      <c r="M21" s="57">
        <v>1</v>
      </c>
      <c r="N21" s="57">
        <v>1</v>
      </c>
      <c r="O21" s="57">
        <v>1</v>
      </c>
      <c r="P21" s="57">
        <v>1</v>
      </c>
      <c r="Q21" s="57">
        <v>1</v>
      </c>
      <c r="R21" s="57">
        <v>1</v>
      </c>
      <c r="S21" s="57">
        <v>1</v>
      </c>
      <c r="T21" s="57">
        <v>1</v>
      </c>
      <c r="U21" s="57">
        <v>1</v>
      </c>
      <c r="V21" s="57">
        <v>1</v>
      </c>
      <c r="W21" s="57">
        <v>1</v>
      </c>
      <c r="X21" s="57">
        <v>1</v>
      </c>
      <c r="Y21" s="57">
        <v>1</v>
      </c>
      <c r="Z21" s="57">
        <v>1</v>
      </c>
    </row>
    <row r="22" spans="2:26" ht="12" customHeight="1" x14ac:dyDescent="0.15">
      <c r="B22" s="57">
        <v>1</v>
      </c>
      <c r="C22" s="57">
        <v>1</v>
      </c>
      <c r="D22" s="57">
        <v>1</v>
      </c>
      <c r="E22" s="57">
        <v>1</v>
      </c>
      <c r="F22" s="57">
        <v>1</v>
      </c>
      <c r="G22" s="57">
        <v>1</v>
      </c>
      <c r="H22" s="57">
        <v>1</v>
      </c>
      <c r="I22" s="57">
        <v>1</v>
      </c>
      <c r="J22" s="57">
        <v>1</v>
      </c>
      <c r="K22" s="57">
        <v>1</v>
      </c>
      <c r="L22" s="57">
        <v>1</v>
      </c>
      <c r="M22" s="57">
        <v>1</v>
      </c>
      <c r="N22" s="57">
        <v>1</v>
      </c>
      <c r="O22" s="57">
        <v>1</v>
      </c>
      <c r="P22" s="57">
        <v>1</v>
      </c>
      <c r="Q22" s="57">
        <v>1</v>
      </c>
      <c r="R22" s="57">
        <v>1</v>
      </c>
      <c r="S22" s="57">
        <v>1</v>
      </c>
      <c r="T22" s="57">
        <v>1</v>
      </c>
      <c r="U22" s="57">
        <v>1</v>
      </c>
      <c r="V22" s="57">
        <v>1</v>
      </c>
      <c r="W22" s="57">
        <v>1</v>
      </c>
      <c r="X22" s="57">
        <v>1</v>
      </c>
      <c r="Y22" s="57">
        <v>1</v>
      </c>
      <c r="Z22" s="57">
        <v>1</v>
      </c>
    </row>
    <row r="23" spans="2:26" ht="12" customHeight="1" x14ac:dyDescent="0.15">
      <c r="B23" s="57">
        <v>1</v>
      </c>
      <c r="C23" s="57">
        <v>1</v>
      </c>
      <c r="D23" s="57">
        <v>1</v>
      </c>
      <c r="E23" s="57">
        <v>1</v>
      </c>
      <c r="F23" s="57">
        <v>1</v>
      </c>
      <c r="G23" s="57">
        <v>1</v>
      </c>
      <c r="H23" s="57">
        <v>1</v>
      </c>
      <c r="I23" s="57">
        <v>1</v>
      </c>
      <c r="J23" s="57">
        <v>1</v>
      </c>
      <c r="K23" s="57">
        <v>1</v>
      </c>
      <c r="L23" s="57">
        <v>1</v>
      </c>
      <c r="M23" s="57">
        <v>1</v>
      </c>
      <c r="N23" s="57">
        <v>1</v>
      </c>
      <c r="O23" s="57">
        <v>1</v>
      </c>
      <c r="P23" s="57">
        <v>1</v>
      </c>
      <c r="Q23" s="57">
        <v>1</v>
      </c>
      <c r="R23" s="57">
        <v>1</v>
      </c>
      <c r="S23" s="57">
        <v>1</v>
      </c>
      <c r="T23" s="57">
        <v>1</v>
      </c>
      <c r="U23" s="57">
        <v>1</v>
      </c>
      <c r="V23" s="57">
        <v>1</v>
      </c>
      <c r="W23" s="57">
        <v>1</v>
      </c>
      <c r="X23" s="57">
        <v>1</v>
      </c>
      <c r="Y23" s="57">
        <v>1</v>
      </c>
      <c r="Z23" s="57">
        <v>1</v>
      </c>
    </row>
    <row r="24" spans="2:26" ht="12" customHeight="1" x14ac:dyDescent="0.15">
      <c r="B24" s="57">
        <v>1</v>
      </c>
      <c r="C24" s="57">
        <v>1</v>
      </c>
      <c r="D24" s="57">
        <v>1</v>
      </c>
      <c r="E24" s="57">
        <v>1</v>
      </c>
      <c r="F24" s="57">
        <v>1</v>
      </c>
      <c r="G24" s="57">
        <v>1</v>
      </c>
      <c r="H24" s="57">
        <v>1</v>
      </c>
      <c r="I24" s="57">
        <v>1</v>
      </c>
      <c r="J24" s="57">
        <v>1</v>
      </c>
      <c r="K24" s="57">
        <v>1</v>
      </c>
      <c r="L24" s="57">
        <v>1</v>
      </c>
      <c r="M24" s="57">
        <v>1</v>
      </c>
      <c r="N24" s="57">
        <v>1</v>
      </c>
      <c r="O24" s="57">
        <v>1</v>
      </c>
      <c r="P24" s="57">
        <v>1</v>
      </c>
      <c r="Q24" s="57">
        <v>1</v>
      </c>
      <c r="R24" s="57">
        <v>1</v>
      </c>
      <c r="S24" s="57">
        <v>1</v>
      </c>
      <c r="T24" s="57">
        <v>1</v>
      </c>
      <c r="U24" s="57">
        <v>1</v>
      </c>
      <c r="V24" s="57">
        <v>1</v>
      </c>
      <c r="W24" s="57">
        <v>1</v>
      </c>
      <c r="X24" s="57">
        <v>1</v>
      </c>
      <c r="Y24" s="57">
        <v>1</v>
      </c>
      <c r="Z24" s="57">
        <v>1</v>
      </c>
    </row>
    <row r="25" spans="2:26" ht="12" customHeight="1" x14ac:dyDescent="0.15">
      <c r="B25" s="57">
        <v>1</v>
      </c>
      <c r="C25" s="57">
        <v>1</v>
      </c>
      <c r="D25" s="57">
        <v>1</v>
      </c>
      <c r="E25" s="57">
        <v>1</v>
      </c>
      <c r="F25" s="57">
        <v>1</v>
      </c>
      <c r="G25" s="57">
        <v>1</v>
      </c>
      <c r="H25" s="57">
        <v>1</v>
      </c>
      <c r="I25" s="57">
        <v>1</v>
      </c>
      <c r="J25" s="57">
        <v>1</v>
      </c>
      <c r="K25" s="57">
        <v>1</v>
      </c>
      <c r="L25" s="57">
        <v>1</v>
      </c>
      <c r="M25" s="57">
        <v>1</v>
      </c>
      <c r="N25" s="57">
        <v>1</v>
      </c>
      <c r="O25" s="57">
        <v>1</v>
      </c>
      <c r="P25" s="57">
        <v>1</v>
      </c>
      <c r="Q25" s="57">
        <v>1</v>
      </c>
      <c r="R25" s="57">
        <v>1</v>
      </c>
      <c r="S25" s="57">
        <v>1</v>
      </c>
      <c r="T25" s="57">
        <v>1</v>
      </c>
      <c r="U25" s="57">
        <v>1</v>
      </c>
      <c r="V25" s="57">
        <v>1</v>
      </c>
      <c r="W25" s="57">
        <v>1</v>
      </c>
      <c r="X25" s="57">
        <v>1</v>
      </c>
      <c r="Y25" s="57">
        <v>1</v>
      </c>
      <c r="Z25" s="57">
        <v>1</v>
      </c>
    </row>
    <row r="26" spans="2:26" ht="12" customHeight="1" x14ac:dyDescent="0.15">
      <c r="B26" s="57">
        <v>1</v>
      </c>
      <c r="C26" s="57">
        <v>1</v>
      </c>
      <c r="D26" s="57">
        <v>1</v>
      </c>
      <c r="E26" s="57">
        <v>1</v>
      </c>
      <c r="F26" s="57">
        <v>1</v>
      </c>
      <c r="G26" s="57">
        <v>1</v>
      </c>
      <c r="H26" s="57">
        <v>1</v>
      </c>
      <c r="I26" s="57">
        <v>1</v>
      </c>
      <c r="J26" s="57">
        <v>1</v>
      </c>
      <c r="K26" s="57">
        <v>1</v>
      </c>
      <c r="L26" s="57">
        <v>1</v>
      </c>
      <c r="M26" s="57">
        <v>1</v>
      </c>
      <c r="N26" s="57">
        <v>1</v>
      </c>
      <c r="O26" s="57">
        <v>1</v>
      </c>
      <c r="P26" s="57">
        <v>1</v>
      </c>
      <c r="Q26" s="57">
        <v>1</v>
      </c>
      <c r="R26" s="57">
        <v>1</v>
      </c>
      <c r="S26" s="57">
        <v>1</v>
      </c>
      <c r="T26" s="57">
        <v>1</v>
      </c>
      <c r="U26" s="57">
        <v>1</v>
      </c>
      <c r="V26" s="57">
        <v>1</v>
      </c>
      <c r="W26" s="57">
        <v>1</v>
      </c>
      <c r="X26" s="57">
        <v>1</v>
      </c>
      <c r="Y26" s="57">
        <v>1</v>
      </c>
      <c r="Z26" s="57">
        <v>1</v>
      </c>
    </row>
  </sheetData>
  <phoneticPr fontId="1"/>
  <conditionalFormatting sqref="B2:Z26">
    <cfRule type="cellIs" dxfId="14" priority="1" operator="equal">
      <formula>9</formula>
    </cfRule>
    <cfRule type="cellIs" dxfId="13" priority="2" operator="between">
      <formula>5</formula>
      <formula>8</formula>
    </cfRule>
    <cfRule type="cellIs" dxfId="12" priority="3" operator="between">
      <formula>1</formula>
      <formula>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第11章_更新">
                <anchor moveWithCells="1" sizeWithCells="1">
                  <from>
                    <xdr:col>27</xdr:col>
                    <xdr:colOff>133350</xdr:colOff>
                    <xdr:row>1</xdr:row>
                    <xdr:rowOff>76200</xdr:rowOff>
                  </from>
                  <to>
                    <xdr:col>34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クリア">
                <anchor moveWithCells="1" sizeWithCells="1">
                  <from>
                    <xdr:col>28</xdr:col>
                    <xdr:colOff>9525</xdr:colOff>
                    <xdr:row>5</xdr:row>
                    <xdr:rowOff>66675</xdr:rowOff>
                  </from>
                  <to>
                    <xdr:col>33</xdr:col>
                    <xdr:colOff>152400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Z26"/>
  <sheetViews>
    <sheetView workbookViewId="0">
      <selection activeCell="B2" sqref="B2:Z26"/>
    </sheetView>
  </sheetViews>
  <sheetFormatPr defaultRowHeight="12" customHeight="1" x14ac:dyDescent="0.15"/>
  <cols>
    <col min="1" max="40" width="2.125" customWidth="1"/>
  </cols>
  <sheetData>
    <row r="2" spans="2:26" ht="12" customHeight="1" x14ac:dyDescent="0.15">
      <c r="B2" s="57">
        <f>INDEX('第11章(ルール)'!$D$3:$M$12,'第11章(森林)'!B2+1,'第11章(発火セル合計)'!B2+1)</f>
        <v>1</v>
      </c>
      <c r="C2" s="57">
        <f>INDEX('第11章(ルール)'!$D$3:$M$12,'第11章(森林)'!C2+1,'第11章(発火セル合計)'!C2+1)</f>
        <v>1</v>
      </c>
      <c r="D2" s="57">
        <f>INDEX('第11章(ルール)'!$D$3:$M$12,'第11章(森林)'!D2+1,'第11章(発火セル合計)'!D2+1)</f>
        <v>1</v>
      </c>
      <c r="E2" s="57">
        <f>INDEX('第11章(ルール)'!$D$3:$M$12,'第11章(森林)'!E2+1,'第11章(発火セル合計)'!E2+1)</f>
        <v>1</v>
      </c>
      <c r="F2" s="57">
        <f>INDEX('第11章(ルール)'!$D$3:$M$12,'第11章(森林)'!F2+1,'第11章(発火セル合計)'!F2+1)</f>
        <v>1</v>
      </c>
      <c r="G2" s="57">
        <f>INDEX('第11章(ルール)'!$D$3:$M$12,'第11章(森林)'!G2+1,'第11章(発火セル合計)'!G2+1)</f>
        <v>1</v>
      </c>
      <c r="H2" s="57">
        <f>INDEX('第11章(ルール)'!$D$3:$M$12,'第11章(森林)'!H2+1,'第11章(発火セル合計)'!H2+1)</f>
        <v>1</v>
      </c>
      <c r="I2" s="57">
        <f>INDEX('第11章(ルール)'!$D$3:$M$12,'第11章(森林)'!I2+1,'第11章(発火セル合計)'!I2+1)</f>
        <v>1</v>
      </c>
      <c r="J2" s="57">
        <f>INDEX('第11章(ルール)'!$D$3:$M$12,'第11章(森林)'!J2+1,'第11章(発火セル合計)'!J2+1)</f>
        <v>1</v>
      </c>
      <c r="K2" s="57">
        <f>INDEX('第11章(ルール)'!$D$3:$M$12,'第11章(森林)'!K2+1,'第11章(発火セル合計)'!K2+1)</f>
        <v>1</v>
      </c>
      <c r="L2" s="57">
        <f>INDEX('第11章(ルール)'!$D$3:$M$12,'第11章(森林)'!L2+1,'第11章(発火セル合計)'!L2+1)</f>
        <v>1</v>
      </c>
      <c r="M2" s="57">
        <f>INDEX('第11章(ルール)'!$D$3:$M$12,'第11章(森林)'!M2+1,'第11章(発火セル合計)'!M2+1)</f>
        <v>1</v>
      </c>
      <c r="N2" s="57">
        <f>INDEX('第11章(ルール)'!$D$3:$M$12,'第11章(森林)'!N2+1,'第11章(発火セル合計)'!N2+1)</f>
        <v>1</v>
      </c>
      <c r="O2" s="57">
        <f>INDEX('第11章(ルール)'!$D$3:$M$12,'第11章(森林)'!O2+1,'第11章(発火セル合計)'!O2+1)</f>
        <v>1</v>
      </c>
      <c r="P2" s="57">
        <f>INDEX('第11章(ルール)'!$D$3:$M$12,'第11章(森林)'!P2+1,'第11章(発火セル合計)'!P2+1)</f>
        <v>1</v>
      </c>
      <c r="Q2" s="57">
        <f>INDEX('第11章(ルール)'!$D$3:$M$12,'第11章(森林)'!Q2+1,'第11章(発火セル合計)'!Q2+1)</f>
        <v>1</v>
      </c>
      <c r="R2" s="57">
        <f>INDEX('第11章(ルール)'!$D$3:$M$12,'第11章(森林)'!R2+1,'第11章(発火セル合計)'!R2+1)</f>
        <v>1</v>
      </c>
      <c r="S2" s="57">
        <f>INDEX('第11章(ルール)'!$D$3:$M$12,'第11章(森林)'!S2+1,'第11章(発火セル合計)'!S2+1)</f>
        <v>1</v>
      </c>
      <c r="T2" s="57">
        <f>INDEX('第11章(ルール)'!$D$3:$M$12,'第11章(森林)'!T2+1,'第11章(発火セル合計)'!T2+1)</f>
        <v>1</v>
      </c>
      <c r="U2" s="57">
        <f>INDEX('第11章(ルール)'!$D$3:$M$12,'第11章(森林)'!U2+1,'第11章(発火セル合計)'!U2+1)</f>
        <v>1</v>
      </c>
      <c r="V2" s="57">
        <f>INDEX('第11章(ルール)'!$D$3:$M$12,'第11章(森林)'!V2+1,'第11章(発火セル合計)'!V2+1)</f>
        <v>1</v>
      </c>
      <c r="W2" s="57">
        <f>INDEX('第11章(ルール)'!$D$3:$M$12,'第11章(森林)'!W2+1,'第11章(発火セル合計)'!W2+1)</f>
        <v>1</v>
      </c>
      <c r="X2" s="57">
        <f>INDEX('第11章(ルール)'!$D$3:$M$12,'第11章(森林)'!X2+1,'第11章(発火セル合計)'!X2+1)</f>
        <v>1</v>
      </c>
      <c r="Y2" s="57">
        <f>INDEX('第11章(ルール)'!$D$3:$M$12,'第11章(森林)'!Y2+1,'第11章(発火セル合計)'!Y2+1)</f>
        <v>1</v>
      </c>
      <c r="Z2" s="57">
        <f>INDEX('第11章(ルール)'!$D$3:$M$12,'第11章(森林)'!Z2+1,'第11章(発火セル合計)'!Z2+1)</f>
        <v>1</v>
      </c>
    </row>
    <row r="3" spans="2:26" ht="12" customHeight="1" x14ac:dyDescent="0.15">
      <c r="B3" s="57">
        <f>INDEX('第11章(ルール)'!$D$3:$M$12,'第11章(森林)'!B3+1,'第11章(発火セル合計)'!B3+1)</f>
        <v>1</v>
      </c>
      <c r="C3" s="57">
        <f>INDEX('第11章(ルール)'!$D$3:$M$12,'第11章(森林)'!C3+1,'第11章(発火セル合計)'!C3+1)</f>
        <v>1</v>
      </c>
      <c r="D3" s="57">
        <f>INDEX('第11章(ルール)'!$D$3:$M$12,'第11章(森林)'!D3+1,'第11章(発火セル合計)'!D3+1)</f>
        <v>1</v>
      </c>
      <c r="E3" s="57">
        <f>INDEX('第11章(ルール)'!$D$3:$M$12,'第11章(森林)'!E3+1,'第11章(発火セル合計)'!E3+1)</f>
        <v>1</v>
      </c>
      <c r="F3" s="57">
        <f>INDEX('第11章(ルール)'!$D$3:$M$12,'第11章(森林)'!F3+1,'第11章(発火セル合計)'!F3+1)</f>
        <v>1</v>
      </c>
      <c r="G3" s="57">
        <f>INDEX('第11章(ルール)'!$D$3:$M$12,'第11章(森林)'!G3+1,'第11章(発火セル合計)'!G3+1)</f>
        <v>1</v>
      </c>
      <c r="H3" s="57">
        <f>INDEX('第11章(ルール)'!$D$3:$M$12,'第11章(森林)'!H3+1,'第11章(発火セル合計)'!H3+1)</f>
        <v>1</v>
      </c>
      <c r="I3" s="57">
        <f>INDEX('第11章(ルール)'!$D$3:$M$12,'第11章(森林)'!I3+1,'第11章(発火セル合計)'!I3+1)</f>
        <v>1</v>
      </c>
      <c r="J3" s="57">
        <f>INDEX('第11章(ルール)'!$D$3:$M$12,'第11章(森林)'!J3+1,'第11章(発火セル合計)'!J3+1)</f>
        <v>1</v>
      </c>
      <c r="K3" s="57">
        <f>INDEX('第11章(ルール)'!$D$3:$M$12,'第11章(森林)'!K3+1,'第11章(発火セル合計)'!K3+1)</f>
        <v>1</v>
      </c>
      <c r="L3" s="57">
        <f>INDEX('第11章(ルール)'!$D$3:$M$12,'第11章(森林)'!L3+1,'第11章(発火セル合計)'!L3+1)</f>
        <v>1</v>
      </c>
      <c r="M3" s="57">
        <f>INDEX('第11章(ルール)'!$D$3:$M$12,'第11章(森林)'!M3+1,'第11章(発火セル合計)'!M3+1)</f>
        <v>1</v>
      </c>
      <c r="N3" s="57">
        <f>INDEX('第11章(ルール)'!$D$3:$M$12,'第11章(森林)'!N3+1,'第11章(発火セル合計)'!N3+1)</f>
        <v>1</v>
      </c>
      <c r="O3" s="57">
        <f>INDEX('第11章(ルール)'!$D$3:$M$12,'第11章(森林)'!O3+1,'第11章(発火セル合計)'!O3+1)</f>
        <v>1</v>
      </c>
      <c r="P3" s="57">
        <f>INDEX('第11章(ルール)'!$D$3:$M$12,'第11章(森林)'!P3+1,'第11章(発火セル合計)'!P3+1)</f>
        <v>1</v>
      </c>
      <c r="Q3" s="57">
        <f>INDEX('第11章(ルール)'!$D$3:$M$12,'第11章(森林)'!Q3+1,'第11章(発火セル合計)'!Q3+1)</f>
        <v>1</v>
      </c>
      <c r="R3" s="57">
        <f>INDEX('第11章(ルール)'!$D$3:$M$12,'第11章(森林)'!R3+1,'第11章(発火セル合計)'!R3+1)</f>
        <v>1</v>
      </c>
      <c r="S3" s="57">
        <f>INDEX('第11章(ルール)'!$D$3:$M$12,'第11章(森林)'!S3+1,'第11章(発火セル合計)'!S3+1)</f>
        <v>1</v>
      </c>
      <c r="T3" s="57">
        <f>INDEX('第11章(ルール)'!$D$3:$M$12,'第11章(森林)'!T3+1,'第11章(発火セル合計)'!T3+1)</f>
        <v>1</v>
      </c>
      <c r="U3" s="57">
        <f>INDEX('第11章(ルール)'!$D$3:$M$12,'第11章(森林)'!U3+1,'第11章(発火セル合計)'!U3+1)</f>
        <v>1</v>
      </c>
      <c r="V3" s="57">
        <f>INDEX('第11章(ルール)'!$D$3:$M$12,'第11章(森林)'!V3+1,'第11章(発火セル合計)'!V3+1)</f>
        <v>1</v>
      </c>
      <c r="W3" s="57">
        <f>INDEX('第11章(ルール)'!$D$3:$M$12,'第11章(森林)'!W3+1,'第11章(発火セル合計)'!W3+1)</f>
        <v>1</v>
      </c>
      <c r="X3" s="57">
        <f>INDEX('第11章(ルール)'!$D$3:$M$12,'第11章(森林)'!X3+1,'第11章(発火セル合計)'!X3+1)</f>
        <v>1</v>
      </c>
      <c r="Y3" s="57">
        <f>INDEX('第11章(ルール)'!$D$3:$M$12,'第11章(森林)'!Y3+1,'第11章(発火セル合計)'!Y3+1)</f>
        <v>1</v>
      </c>
      <c r="Z3" s="57">
        <f>INDEX('第11章(ルール)'!$D$3:$M$12,'第11章(森林)'!Z3+1,'第11章(発火セル合計)'!Z3+1)</f>
        <v>1</v>
      </c>
    </row>
    <row r="4" spans="2:26" ht="12" customHeight="1" x14ac:dyDescent="0.15">
      <c r="B4" s="57">
        <f>INDEX('第11章(ルール)'!$D$3:$M$12,'第11章(森林)'!B4+1,'第11章(発火セル合計)'!B4+1)</f>
        <v>1</v>
      </c>
      <c r="C4" s="57">
        <f>INDEX('第11章(ルール)'!$D$3:$M$12,'第11章(森林)'!C4+1,'第11章(発火セル合計)'!C4+1)</f>
        <v>1</v>
      </c>
      <c r="D4" s="57">
        <f>INDEX('第11章(ルール)'!$D$3:$M$12,'第11章(森林)'!D4+1,'第11章(発火セル合計)'!D4+1)</f>
        <v>1</v>
      </c>
      <c r="E4" s="57">
        <f>INDEX('第11章(ルール)'!$D$3:$M$12,'第11章(森林)'!E4+1,'第11章(発火セル合計)'!E4+1)</f>
        <v>1</v>
      </c>
      <c r="F4" s="57">
        <f>INDEX('第11章(ルール)'!$D$3:$M$12,'第11章(森林)'!F4+1,'第11章(発火セル合計)'!F4+1)</f>
        <v>1</v>
      </c>
      <c r="G4" s="57">
        <f>INDEX('第11章(ルール)'!$D$3:$M$12,'第11章(森林)'!G4+1,'第11章(発火セル合計)'!G4+1)</f>
        <v>1</v>
      </c>
      <c r="H4" s="57">
        <f>INDEX('第11章(ルール)'!$D$3:$M$12,'第11章(森林)'!H4+1,'第11章(発火セル合計)'!H4+1)</f>
        <v>1</v>
      </c>
      <c r="I4" s="57">
        <f>INDEX('第11章(ルール)'!$D$3:$M$12,'第11章(森林)'!I4+1,'第11章(発火セル合計)'!I4+1)</f>
        <v>1</v>
      </c>
      <c r="J4" s="57">
        <f>INDEX('第11章(ルール)'!$D$3:$M$12,'第11章(森林)'!J4+1,'第11章(発火セル合計)'!J4+1)</f>
        <v>1</v>
      </c>
      <c r="K4" s="57">
        <f>INDEX('第11章(ルール)'!$D$3:$M$12,'第11章(森林)'!K4+1,'第11章(発火セル合計)'!K4+1)</f>
        <v>1</v>
      </c>
      <c r="L4" s="57">
        <f>INDEX('第11章(ルール)'!$D$3:$M$12,'第11章(森林)'!L4+1,'第11章(発火セル合計)'!L4+1)</f>
        <v>1</v>
      </c>
      <c r="M4" s="57">
        <f>INDEX('第11章(ルール)'!$D$3:$M$12,'第11章(森林)'!M4+1,'第11章(発火セル合計)'!M4+1)</f>
        <v>1</v>
      </c>
      <c r="N4" s="57">
        <f>INDEX('第11章(ルール)'!$D$3:$M$12,'第11章(森林)'!N4+1,'第11章(発火セル合計)'!N4+1)</f>
        <v>1</v>
      </c>
      <c r="O4" s="57">
        <f>INDEX('第11章(ルール)'!$D$3:$M$12,'第11章(森林)'!O4+1,'第11章(発火セル合計)'!O4+1)</f>
        <v>1</v>
      </c>
      <c r="P4" s="57">
        <f>INDEX('第11章(ルール)'!$D$3:$M$12,'第11章(森林)'!P4+1,'第11章(発火セル合計)'!P4+1)</f>
        <v>1</v>
      </c>
      <c r="Q4" s="57">
        <f>INDEX('第11章(ルール)'!$D$3:$M$12,'第11章(森林)'!Q4+1,'第11章(発火セル合計)'!Q4+1)</f>
        <v>1</v>
      </c>
      <c r="R4" s="57">
        <f>INDEX('第11章(ルール)'!$D$3:$M$12,'第11章(森林)'!R4+1,'第11章(発火セル合計)'!R4+1)</f>
        <v>1</v>
      </c>
      <c r="S4" s="57">
        <f>INDEX('第11章(ルール)'!$D$3:$M$12,'第11章(森林)'!S4+1,'第11章(発火セル合計)'!S4+1)</f>
        <v>1</v>
      </c>
      <c r="T4" s="57">
        <f>INDEX('第11章(ルール)'!$D$3:$M$12,'第11章(森林)'!T4+1,'第11章(発火セル合計)'!T4+1)</f>
        <v>1</v>
      </c>
      <c r="U4" s="57">
        <f>INDEX('第11章(ルール)'!$D$3:$M$12,'第11章(森林)'!U4+1,'第11章(発火セル合計)'!U4+1)</f>
        <v>1</v>
      </c>
      <c r="V4" s="57">
        <f>INDEX('第11章(ルール)'!$D$3:$M$12,'第11章(森林)'!V4+1,'第11章(発火セル合計)'!V4+1)</f>
        <v>1</v>
      </c>
      <c r="W4" s="57">
        <f>INDEX('第11章(ルール)'!$D$3:$M$12,'第11章(森林)'!W4+1,'第11章(発火セル合計)'!W4+1)</f>
        <v>1</v>
      </c>
      <c r="X4" s="57">
        <f>INDEX('第11章(ルール)'!$D$3:$M$12,'第11章(森林)'!X4+1,'第11章(発火セル合計)'!X4+1)</f>
        <v>1</v>
      </c>
      <c r="Y4" s="57">
        <f>INDEX('第11章(ルール)'!$D$3:$M$12,'第11章(森林)'!Y4+1,'第11章(発火セル合計)'!Y4+1)</f>
        <v>1</v>
      </c>
      <c r="Z4" s="57">
        <f>INDEX('第11章(ルール)'!$D$3:$M$12,'第11章(森林)'!Z4+1,'第11章(発火セル合計)'!Z4+1)</f>
        <v>1</v>
      </c>
    </row>
    <row r="5" spans="2:26" ht="12" customHeight="1" x14ac:dyDescent="0.15">
      <c r="B5" s="57">
        <f>INDEX('第11章(ルール)'!$D$3:$M$12,'第11章(森林)'!B5+1,'第11章(発火セル合計)'!B5+1)</f>
        <v>1</v>
      </c>
      <c r="C5" s="57">
        <f>INDEX('第11章(ルール)'!$D$3:$M$12,'第11章(森林)'!C5+1,'第11章(発火セル合計)'!C5+1)</f>
        <v>1</v>
      </c>
      <c r="D5" s="57">
        <f>INDEX('第11章(ルール)'!$D$3:$M$12,'第11章(森林)'!D5+1,'第11章(発火セル合計)'!D5+1)</f>
        <v>1</v>
      </c>
      <c r="E5" s="57">
        <f>INDEX('第11章(ルール)'!$D$3:$M$12,'第11章(森林)'!E5+1,'第11章(発火セル合計)'!E5+1)</f>
        <v>1</v>
      </c>
      <c r="F5" s="57">
        <f>INDEX('第11章(ルール)'!$D$3:$M$12,'第11章(森林)'!F5+1,'第11章(発火セル合計)'!F5+1)</f>
        <v>1</v>
      </c>
      <c r="G5" s="57">
        <f>INDEX('第11章(ルール)'!$D$3:$M$12,'第11章(森林)'!G5+1,'第11章(発火セル合計)'!G5+1)</f>
        <v>1</v>
      </c>
      <c r="H5" s="57">
        <f>INDEX('第11章(ルール)'!$D$3:$M$12,'第11章(森林)'!H5+1,'第11章(発火セル合計)'!H5+1)</f>
        <v>1</v>
      </c>
      <c r="I5" s="57">
        <f>INDEX('第11章(ルール)'!$D$3:$M$12,'第11章(森林)'!I5+1,'第11章(発火セル合計)'!I5+1)</f>
        <v>1</v>
      </c>
      <c r="J5" s="57">
        <f>INDEX('第11章(ルール)'!$D$3:$M$12,'第11章(森林)'!J5+1,'第11章(発火セル合計)'!J5+1)</f>
        <v>1</v>
      </c>
      <c r="K5" s="57">
        <f>INDEX('第11章(ルール)'!$D$3:$M$12,'第11章(森林)'!K5+1,'第11章(発火セル合計)'!K5+1)</f>
        <v>1</v>
      </c>
      <c r="L5" s="57">
        <f>INDEX('第11章(ルール)'!$D$3:$M$12,'第11章(森林)'!L5+1,'第11章(発火セル合計)'!L5+1)</f>
        <v>1</v>
      </c>
      <c r="M5" s="57">
        <f>INDEX('第11章(ルール)'!$D$3:$M$12,'第11章(森林)'!M5+1,'第11章(発火セル合計)'!M5+1)</f>
        <v>1</v>
      </c>
      <c r="N5" s="57">
        <f>INDEX('第11章(ルール)'!$D$3:$M$12,'第11章(森林)'!N5+1,'第11章(発火セル合計)'!N5+1)</f>
        <v>1</v>
      </c>
      <c r="O5" s="57">
        <f>INDEX('第11章(ルール)'!$D$3:$M$12,'第11章(森林)'!O5+1,'第11章(発火セル合計)'!O5+1)</f>
        <v>1</v>
      </c>
      <c r="P5" s="57">
        <f>INDEX('第11章(ルール)'!$D$3:$M$12,'第11章(森林)'!P5+1,'第11章(発火セル合計)'!P5+1)</f>
        <v>1</v>
      </c>
      <c r="Q5" s="57">
        <f>INDEX('第11章(ルール)'!$D$3:$M$12,'第11章(森林)'!Q5+1,'第11章(発火セル合計)'!Q5+1)</f>
        <v>1</v>
      </c>
      <c r="R5" s="57">
        <f>INDEX('第11章(ルール)'!$D$3:$M$12,'第11章(森林)'!R5+1,'第11章(発火セル合計)'!R5+1)</f>
        <v>1</v>
      </c>
      <c r="S5" s="57">
        <f>INDEX('第11章(ルール)'!$D$3:$M$12,'第11章(森林)'!S5+1,'第11章(発火セル合計)'!S5+1)</f>
        <v>1</v>
      </c>
      <c r="T5" s="57">
        <f>INDEX('第11章(ルール)'!$D$3:$M$12,'第11章(森林)'!T5+1,'第11章(発火セル合計)'!T5+1)</f>
        <v>1</v>
      </c>
      <c r="U5" s="57">
        <f>INDEX('第11章(ルール)'!$D$3:$M$12,'第11章(森林)'!U5+1,'第11章(発火セル合計)'!U5+1)</f>
        <v>1</v>
      </c>
      <c r="V5" s="57">
        <f>INDEX('第11章(ルール)'!$D$3:$M$12,'第11章(森林)'!V5+1,'第11章(発火セル合計)'!V5+1)</f>
        <v>1</v>
      </c>
      <c r="W5" s="57">
        <f>INDEX('第11章(ルール)'!$D$3:$M$12,'第11章(森林)'!W5+1,'第11章(発火セル合計)'!W5+1)</f>
        <v>1</v>
      </c>
      <c r="X5" s="57">
        <f>INDEX('第11章(ルール)'!$D$3:$M$12,'第11章(森林)'!X5+1,'第11章(発火セル合計)'!X5+1)</f>
        <v>1</v>
      </c>
      <c r="Y5" s="57">
        <f>INDEX('第11章(ルール)'!$D$3:$M$12,'第11章(森林)'!Y5+1,'第11章(発火セル合計)'!Y5+1)</f>
        <v>1</v>
      </c>
      <c r="Z5" s="57">
        <f>INDEX('第11章(ルール)'!$D$3:$M$12,'第11章(森林)'!Z5+1,'第11章(発火セル合計)'!Z5+1)</f>
        <v>1</v>
      </c>
    </row>
    <row r="6" spans="2:26" ht="12" customHeight="1" x14ac:dyDescent="0.15">
      <c r="B6" s="57">
        <f>INDEX('第11章(ルール)'!$D$3:$M$12,'第11章(森林)'!B6+1,'第11章(発火セル合計)'!B6+1)</f>
        <v>1</v>
      </c>
      <c r="C6" s="57">
        <f>INDEX('第11章(ルール)'!$D$3:$M$12,'第11章(森林)'!C6+1,'第11章(発火セル合計)'!C6+1)</f>
        <v>1</v>
      </c>
      <c r="D6" s="57">
        <f>INDEX('第11章(ルール)'!$D$3:$M$12,'第11章(森林)'!D6+1,'第11章(発火セル合計)'!D6+1)</f>
        <v>1</v>
      </c>
      <c r="E6" s="57">
        <f>INDEX('第11章(ルール)'!$D$3:$M$12,'第11章(森林)'!E6+1,'第11章(発火セル合計)'!E6+1)</f>
        <v>1</v>
      </c>
      <c r="F6" s="57">
        <f>INDEX('第11章(ルール)'!$D$3:$M$12,'第11章(森林)'!F6+1,'第11章(発火セル合計)'!F6+1)</f>
        <v>1</v>
      </c>
      <c r="G6" s="57">
        <f>INDEX('第11章(ルール)'!$D$3:$M$12,'第11章(森林)'!G6+1,'第11章(発火セル合計)'!G6+1)</f>
        <v>1</v>
      </c>
      <c r="H6" s="57">
        <f>INDEX('第11章(ルール)'!$D$3:$M$12,'第11章(森林)'!H6+1,'第11章(発火セル合計)'!H6+1)</f>
        <v>1</v>
      </c>
      <c r="I6" s="57">
        <f>INDEX('第11章(ルール)'!$D$3:$M$12,'第11章(森林)'!I6+1,'第11章(発火セル合計)'!I6+1)</f>
        <v>1</v>
      </c>
      <c r="J6" s="57">
        <f>INDEX('第11章(ルール)'!$D$3:$M$12,'第11章(森林)'!J6+1,'第11章(発火セル合計)'!J6+1)</f>
        <v>1</v>
      </c>
      <c r="K6" s="57">
        <f>INDEX('第11章(ルール)'!$D$3:$M$12,'第11章(森林)'!K6+1,'第11章(発火セル合計)'!K6+1)</f>
        <v>1</v>
      </c>
      <c r="L6" s="57">
        <f>INDEX('第11章(ルール)'!$D$3:$M$12,'第11章(森林)'!L6+1,'第11章(発火セル合計)'!L6+1)</f>
        <v>1</v>
      </c>
      <c r="M6" s="57">
        <f>INDEX('第11章(ルール)'!$D$3:$M$12,'第11章(森林)'!M6+1,'第11章(発火セル合計)'!M6+1)</f>
        <v>1</v>
      </c>
      <c r="N6" s="57">
        <f>INDEX('第11章(ルール)'!$D$3:$M$12,'第11章(森林)'!N6+1,'第11章(発火セル合計)'!N6+1)</f>
        <v>1</v>
      </c>
      <c r="O6" s="57">
        <f>INDEX('第11章(ルール)'!$D$3:$M$12,'第11章(森林)'!O6+1,'第11章(発火セル合計)'!O6+1)</f>
        <v>1</v>
      </c>
      <c r="P6" s="57">
        <f>INDEX('第11章(ルール)'!$D$3:$M$12,'第11章(森林)'!P6+1,'第11章(発火セル合計)'!P6+1)</f>
        <v>1</v>
      </c>
      <c r="Q6" s="57">
        <f>INDEX('第11章(ルール)'!$D$3:$M$12,'第11章(森林)'!Q6+1,'第11章(発火セル合計)'!Q6+1)</f>
        <v>1</v>
      </c>
      <c r="R6" s="57">
        <f>INDEX('第11章(ルール)'!$D$3:$M$12,'第11章(森林)'!R6+1,'第11章(発火セル合計)'!R6+1)</f>
        <v>1</v>
      </c>
      <c r="S6" s="57">
        <f>INDEX('第11章(ルール)'!$D$3:$M$12,'第11章(森林)'!S6+1,'第11章(発火セル合計)'!S6+1)</f>
        <v>1</v>
      </c>
      <c r="T6" s="57">
        <f>INDEX('第11章(ルール)'!$D$3:$M$12,'第11章(森林)'!T6+1,'第11章(発火セル合計)'!T6+1)</f>
        <v>1</v>
      </c>
      <c r="U6" s="57">
        <f>INDEX('第11章(ルール)'!$D$3:$M$12,'第11章(森林)'!U6+1,'第11章(発火セル合計)'!U6+1)</f>
        <v>1</v>
      </c>
      <c r="V6" s="57">
        <f>INDEX('第11章(ルール)'!$D$3:$M$12,'第11章(森林)'!V6+1,'第11章(発火セル合計)'!V6+1)</f>
        <v>1</v>
      </c>
      <c r="W6" s="57">
        <f>INDEX('第11章(ルール)'!$D$3:$M$12,'第11章(森林)'!W6+1,'第11章(発火セル合計)'!W6+1)</f>
        <v>1</v>
      </c>
      <c r="X6" s="57">
        <f>INDEX('第11章(ルール)'!$D$3:$M$12,'第11章(森林)'!X6+1,'第11章(発火セル合計)'!X6+1)</f>
        <v>1</v>
      </c>
      <c r="Y6" s="57">
        <f>INDEX('第11章(ルール)'!$D$3:$M$12,'第11章(森林)'!Y6+1,'第11章(発火セル合計)'!Y6+1)</f>
        <v>1</v>
      </c>
      <c r="Z6" s="57">
        <f>INDEX('第11章(ルール)'!$D$3:$M$12,'第11章(森林)'!Z6+1,'第11章(発火セル合計)'!Z6+1)</f>
        <v>1</v>
      </c>
    </row>
    <row r="7" spans="2:26" ht="12" customHeight="1" x14ac:dyDescent="0.15">
      <c r="B7" s="57">
        <f>INDEX('第11章(ルール)'!$D$3:$M$12,'第11章(森林)'!B7+1,'第11章(発火セル合計)'!B7+1)</f>
        <v>1</v>
      </c>
      <c r="C7" s="57">
        <f>INDEX('第11章(ルール)'!$D$3:$M$12,'第11章(森林)'!C7+1,'第11章(発火セル合計)'!C7+1)</f>
        <v>1</v>
      </c>
      <c r="D7" s="57">
        <f>INDEX('第11章(ルール)'!$D$3:$M$12,'第11章(森林)'!D7+1,'第11章(発火セル合計)'!D7+1)</f>
        <v>1</v>
      </c>
      <c r="E7" s="57">
        <f>INDEX('第11章(ルール)'!$D$3:$M$12,'第11章(森林)'!E7+1,'第11章(発火セル合計)'!E7+1)</f>
        <v>1</v>
      </c>
      <c r="F7" s="57">
        <f>INDEX('第11章(ルール)'!$D$3:$M$12,'第11章(森林)'!F7+1,'第11章(発火セル合計)'!F7+1)</f>
        <v>1</v>
      </c>
      <c r="G7" s="57">
        <f>INDEX('第11章(ルール)'!$D$3:$M$12,'第11章(森林)'!G7+1,'第11章(発火セル合計)'!G7+1)</f>
        <v>1</v>
      </c>
      <c r="H7" s="57">
        <f>INDEX('第11章(ルール)'!$D$3:$M$12,'第11章(森林)'!H7+1,'第11章(発火セル合計)'!H7+1)</f>
        <v>1</v>
      </c>
      <c r="I7" s="57">
        <f>INDEX('第11章(ルール)'!$D$3:$M$12,'第11章(森林)'!I7+1,'第11章(発火セル合計)'!I7+1)</f>
        <v>1</v>
      </c>
      <c r="J7" s="57">
        <f>INDEX('第11章(ルール)'!$D$3:$M$12,'第11章(森林)'!J7+1,'第11章(発火セル合計)'!J7+1)</f>
        <v>1</v>
      </c>
      <c r="K7" s="57">
        <f>INDEX('第11章(ルール)'!$D$3:$M$12,'第11章(森林)'!K7+1,'第11章(発火セル合計)'!K7+1)</f>
        <v>1</v>
      </c>
      <c r="L7" s="57">
        <f>INDEX('第11章(ルール)'!$D$3:$M$12,'第11章(森林)'!L7+1,'第11章(発火セル合計)'!L7+1)</f>
        <v>1</v>
      </c>
      <c r="M7" s="57">
        <f>INDEX('第11章(ルール)'!$D$3:$M$12,'第11章(森林)'!M7+1,'第11章(発火セル合計)'!M7+1)</f>
        <v>1</v>
      </c>
      <c r="N7" s="57">
        <f>INDEX('第11章(ルール)'!$D$3:$M$12,'第11章(森林)'!N7+1,'第11章(発火セル合計)'!N7+1)</f>
        <v>1</v>
      </c>
      <c r="O7" s="57">
        <f>INDEX('第11章(ルール)'!$D$3:$M$12,'第11章(森林)'!O7+1,'第11章(発火セル合計)'!O7+1)</f>
        <v>1</v>
      </c>
      <c r="P7" s="57">
        <f>INDEX('第11章(ルール)'!$D$3:$M$12,'第11章(森林)'!P7+1,'第11章(発火セル合計)'!P7+1)</f>
        <v>1</v>
      </c>
      <c r="Q7" s="57">
        <f>INDEX('第11章(ルール)'!$D$3:$M$12,'第11章(森林)'!Q7+1,'第11章(発火セル合計)'!Q7+1)</f>
        <v>1</v>
      </c>
      <c r="R7" s="57">
        <f>INDEX('第11章(ルール)'!$D$3:$M$12,'第11章(森林)'!R7+1,'第11章(発火セル合計)'!R7+1)</f>
        <v>1</v>
      </c>
      <c r="S7" s="57">
        <f>INDEX('第11章(ルール)'!$D$3:$M$12,'第11章(森林)'!S7+1,'第11章(発火セル合計)'!S7+1)</f>
        <v>1</v>
      </c>
      <c r="T7" s="57">
        <f>INDEX('第11章(ルール)'!$D$3:$M$12,'第11章(森林)'!T7+1,'第11章(発火セル合計)'!T7+1)</f>
        <v>1</v>
      </c>
      <c r="U7" s="57">
        <f>INDEX('第11章(ルール)'!$D$3:$M$12,'第11章(森林)'!U7+1,'第11章(発火セル合計)'!U7+1)</f>
        <v>1</v>
      </c>
      <c r="V7" s="57">
        <f>INDEX('第11章(ルール)'!$D$3:$M$12,'第11章(森林)'!V7+1,'第11章(発火セル合計)'!V7+1)</f>
        <v>1</v>
      </c>
      <c r="W7" s="57">
        <f>INDEX('第11章(ルール)'!$D$3:$M$12,'第11章(森林)'!W7+1,'第11章(発火セル合計)'!W7+1)</f>
        <v>1</v>
      </c>
      <c r="X7" s="57">
        <f>INDEX('第11章(ルール)'!$D$3:$M$12,'第11章(森林)'!X7+1,'第11章(発火セル合計)'!X7+1)</f>
        <v>1</v>
      </c>
      <c r="Y7" s="57">
        <f>INDEX('第11章(ルール)'!$D$3:$M$12,'第11章(森林)'!Y7+1,'第11章(発火セル合計)'!Y7+1)</f>
        <v>1</v>
      </c>
      <c r="Z7" s="57">
        <f>INDEX('第11章(ルール)'!$D$3:$M$12,'第11章(森林)'!Z7+1,'第11章(発火セル合計)'!Z7+1)</f>
        <v>1</v>
      </c>
    </row>
    <row r="8" spans="2:26" ht="12" customHeight="1" x14ac:dyDescent="0.15">
      <c r="B8" s="57">
        <f>INDEX('第11章(ルール)'!$D$3:$M$12,'第11章(森林)'!B8+1,'第11章(発火セル合計)'!B8+1)</f>
        <v>1</v>
      </c>
      <c r="C8" s="57">
        <f>INDEX('第11章(ルール)'!$D$3:$M$12,'第11章(森林)'!C8+1,'第11章(発火セル合計)'!C8+1)</f>
        <v>1</v>
      </c>
      <c r="D8" s="57">
        <f>INDEX('第11章(ルール)'!$D$3:$M$12,'第11章(森林)'!D8+1,'第11章(発火セル合計)'!D8+1)</f>
        <v>1</v>
      </c>
      <c r="E8" s="57">
        <f>INDEX('第11章(ルール)'!$D$3:$M$12,'第11章(森林)'!E8+1,'第11章(発火セル合計)'!E8+1)</f>
        <v>1</v>
      </c>
      <c r="F8" s="57">
        <f>INDEX('第11章(ルール)'!$D$3:$M$12,'第11章(森林)'!F8+1,'第11章(発火セル合計)'!F8+1)</f>
        <v>1</v>
      </c>
      <c r="G8" s="57">
        <f>INDEX('第11章(ルール)'!$D$3:$M$12,'第11章(森林)'!G8+1,'第11章(発火セル合計)'!G8+1)</f>
        <v>1</v>
      </c>
      <c r="H8" s="57">
        <f>INDEX('第11章(ルール)'!$D$3:$M$12,'第11章(森林)'!H8+1,'第11章(発火セル合計)'!H8+1)</f>
        <v>1</v>
      </c>
      <c r="I8" s="57">
        <f>INDEX('第11章(ルール)'!$D$3:$M$12,'第11章(森林)'!I8+1,'第11章(発火セル合計)'!I8+1)</f>
        <v>1</v>
      </c>
      <c r="J8" s="57">
        <f>INDEX('第11章(ルール)'!$D$3:$M$12,'第11章(森林)'!J8+1,'第11章(発火セル合計)'!J8+1)</f>
        <v>1</v>
      </c>
      <c r="K8" s="57">
        <f>INDEX('第11章(ルール)'!$D$3:$M$12,'第11章(森林)'!K8+1,'第11章(発火セル合計)'!K8+1)</f>
        <v>1</v>
      </c>
      <c r="L8" s="57">
        <f>INDEX('第11章(ルール)'!$D$3:$M$12,'第11章(森林)'!L8+1,'第11章(発火セル合計)'!L8+1)</f>
        <v>1</v>
      </c>
      <c r="M8" s="57">
        <f>INDEX('第11章(ルール)'!$D$3:$M$12,'第11章(森林)'!M8+1,'第11章(発火セル合計)'!M8+1)</f>
        <v>1</v>
      </c>
      <c r="N8" s="57">
        <f>INDEX('第11章(ルール)'!$D$3:$M$12,'第11章(森林)'!N8+1,'第11章(発火セル合計)'!N8+1)</f>
        <v>1</v>
      </c>
      <c r="O8" s="57">
        <f>INDEX('第11章(ルール)'!$D$3:$M$12,'第11章(森林)'!O8+1,'第11章(発火セル合計)'!O8+1)</f>
        <v>1</v>
      </c>
      <c r="P8" s="57">
        <f>INDEX('第11章(ルール)'!$D$3:$M$12,'第11章(森林)'!P8+1,'第11章(発火セル合計)'!P8+1)</f>
        <v>1</v>
      </c>
      <c r="Q8" s="57">
        <f>INDEX('第11章(ルール)'!$D$3:$M$12,'第11章(森林)'!Q8+1,'第11章(発火セル合計)'!Q8+1)</f>
        <v>1</v>
      </c>
      <c r="R8" s="57">
        <f>INDEX('第11章(ルール)'!$D$3:$M$12,'第11章(森林)'!R8+1,'第11章(発火セル合計)'!R8+1)</f>
        <v>1</v>
      </c>
      <c r="S8" s="57">
        <f>INDEX('第11章(ルール)'!$D$3:$M$12,'第11章(森林)'!S8+1,'第11章(発火セル合計)'!S8+1)</f>
        <v>1</v>
      </c>
      <c r="T8" s="57">
        <f>INDEX('第11章(ルール)'!$D$3:$M$12,'第11章(森林)'!T8+1,'第11章(発火セル合計)'!T8+1)</f>
        <v>1</v>
      </c>
      <c r="U8" s="57">
        <f>INDEX('第11章(ルール)'!$D$3:$M$12,'第11章(森林)'!U8+1,'第11章(発火セル合計)'!U8+1)</f>
        <v>1</v>
      </c>
      <c r="V8" s="57">
        <f>INDEX('第11章(ルール)'!$D$3:$M$12,'第11章(森林)'!V8+1,'第11章(発火セル合計)'!V8+1)</f>
        <v>1</v>
      </c>
      <c r="W8" s="57">
        <f>INDEX('第11章(ルール)'!$D$3:$M$12,'第11章(森林)'!W8+1,'第11章(発火セル合計)'!W8+1)</f>
        <v>1</v>
      </c>
      <c r="X8" s="57">
        <f>INDEX('第11章(ルール)'!$D$3:$M$12,'第11章(森林)'!X8+1,'第11章(発火セル合計)'!X8+1)</f>
        <v>1</v>
      </c>
      <c r="Y8" s="57">
        <f>INDEX('第11章(ルール)'!$D$3:$M$12,'第11章(森林)'!Y8+1,'第11章(発火セル合計)'!Y8+1)</f>
        <v>1</v>
      </c>
      <c r="Z8" s="57">
        <f>INDEX('第11章(ルール)'!$D$3:$M$12,'第11章(森林)'!Z8+1,'第11章(発火セル合計)'!Z8+1)</f>
        <v>1</v>
      </c>
    </row>
    <row r="9" spans="2:26" ht="12" customHeight="1" x14ac:dyDescent="0.15">
      <c r="B9" s="57">
        <f>INDEX('第11章(ルール)'!$D$3:$M$12,'第11章(森林)'!B9+1,'第11章(発火セル合計)'!B9+1)</f>
        <v>1</v>
      </c>
      <c r="C9" s="57">
        <f>INDEX('第11章(ルール)'!$D$3:$M$12,'第11章(森林)'!C9+1,'第11章(発火セル合計)'!C9+1)</f>
        <v>1</v>
      </c>
      <c r="D9" s="57">
        <f>INDEX('第11章(ルール)'!$D$3:$M$12,'第11章(森林)'!D9+1,'第11章(発火セル合計)'!D9+1)</f>
        <v>1</v>
      </c>
      <c r="E9" s="57">
        <f>INDEX('第11章(ルール)'!$D$3:$M$12,'第11章(森林)'!E9+1,'第11章(発火セル合計)'!E9+1)</f>
        <v>1</v>
      </c>
      <c r="F9" s="57">
        <f>INDEX('第11章(ルール)'!$D$3:$M$12,'第11章(森林)'!F9+1,'第11章(発火セル合計)'!F9+1)</f>
        <v>1</v>
      </c>
      <c r="G9" s="57">
        <f>INDEX('第11章(ルール)'!$D$3:$M$12,'第11章(森林)'!G9+1,'第11章(発火セル合計)'!G9+1)</f>
        <v>1</v>
      </c>
      <c r="H9" s="57">
        <f>INDEX('第11章(ルール)'!$D$3:$M$12,'第11章(森林)'!H9+1,'第11章(発火セル合計)'!H9+1)</f>
        <v>1</v>
      </c>
      <c r="I9" s="57">
        <f>INDEX('第11章(ルール)'!$D$3:$M$12,'第11章(森林)'!I9+1,'第11章(発火セル合計)'!I9+1)</f>
        <v>1</v>
      </c>
      <c r="J9" s="57">
        <f>INDEX('第11章(ルール)'!$D$3:$M$12,'第11章(森林)'!J9+1,'第11章(発火セル合計)'!J9+1)</f>
        <v>1</v>
      </c>
      <c r="K9" s="57">
        <f>INDEX('第11章(ルール)'!$D$3:$M$12,'第11章(森林)'!K9+1,'第11章(発火セル合計)'!K9+1)</f>
        <v>1</v>
      </c>
      <c r="L9" s="57">
        <f>INDEX('第11章(ルール)'!$D$3:$M$12,'第11章(森林)'!L9+1,'第11章(発火セル合計)'!L9+1)</f>
        <v>1</v>
      </c>
      <c r="M9" s="57">
        <f>INDEX('第11章(ルール)'!$D$3:$M$12,'第11章(森林)'!M9+1,'第11章(発火セル合計)'!M9+1)</f>
        <v>1</v>
      </c>
      <c r="N9" s="57">
        <f>INDEX('第11章(ルール)'!$D$3:$M$12,'第11章(森林)'!N9+1,'第11章(発火セル合計)'!N9+1)</f>
        <v>1</v>
      </c>
      <c r="O9" s="57">
        <f>INDEX('第11章(ルール)'!$D$3:$M$12,'第11章(森林)'!O9+1,'第11章(発火セル合計)'!O9+1)</f>
        <v>1</v>
      </c>
      <c r="P9" s="57">
        <f>INDEX('第11章(ルール)'!$D$3:$M$12,'第11章(森林)'!P9+1,'第11章(発火セル合計)'!P9+1)</f>
        <v>1</v>
      </c>
      <c r="Q9" s="57">
        <f>INDEX('第11章(ルール)'!$D$3:$M$12,'第11章(森林)'!Q9+1,'第11章(発火セル合計)'!Q9+1)</f>
        <v>1</v>
      </c>
      <c r="R9" s="57">
        <f>INDEX('第11章(ルール)'!$D$3:$M$12,'第11章(森林)'!R9+1,'第11章(発火セル合計)'!R9+1)</f>
        <v>1</v>
      </c>
      <c r="S9" s="57">
        <f>INDEX('第11章(ルール)'!$D$3:$M$12,'第11章(森林)'!S9+1,'第11章(発火セル合計)'!S9+1)</f>
        <v>1</v>
      </c>
      <c r="T9" s="57">
        <f>INDEX('第11章(ルール)'!$D$3:$M$12,'第11章(森林)'!T9+1,'第11章(発火セル合計)'!T9+1)</f>
        <v>1</v>
      </c>
      <c r="U9" s="57">
        <f>INDEX('第11章(ルール)'!$D$3:$M$12,'第11章(森林)'!U9+1,'第11章(発火セル合計)'!U9+1)</f>
        <v>1</v>
      </c>
      <c r="V9" s="57">
        <f>INDEX('第11章(ルール)'!$D$3:$M$12,'第11章(森林)'!V9+1,'第11章(発火セル合計)'!V9+1)</f>
        <v>1</v>
      </c>
      <c r="W9" s="57">
        <f>INDEX('第11章(ルール)'!$D$3:$M$12,'第11章(森林)'!W9+1,'第11章(発火セル合計)'!W9+1)</f>
        <v>1</v>
      </c>
      <c r="X9" s="57">
        <f>INDEX('第11章(ルール)'!$D$3:$M$12,'第11章(森林)'!X9+1,'第11章(発火セル合計)'!X9+1)</f>
        <v>1</v>
      </c>
      <c r="Y9" s="57">
        <f>INDEX('第11章(ルール)'!$D$3:$M$12,'第11章(森林)'!Y9+1,'第11章(発火セル合計)'!Y9+1)</f>
        <v>1</v>
      </c>
      <c r="Z9" s="57">
        <f>INDEX('第11章(ルール)'!$D$3:$M$12,'第11章(森林)'!Z9+1,'第11章(発火セル合計)'!Z9+1)</f>
        <v>1</v>
      </c>
    </row>
    <row r="10" spans="2:26" ht="12" customHeight="1" x14ac:dyDescent="0.15">
      <c r="B10" s="57">
        <f>INDEX('第11章(ルール)'!$D$3:$M$12,'第11章(森林)'!B10+1,'第11章(発火セル合計)'!B10+1)</f>
        <v>1</v>
      </c>
      <c r="C10" s="57">
        <f>INDEX('第11章(ルール)'!$D$3:$M$12,'第11章(森林)'!C10+1,'第11章(発火セル合計)'!C10+1)</f>
        <v>1</v>
      </c>
      <c r="D10" s="57">
        <f>INDEX('第11章(ルール)'!$D$3:$M$12,'第11章(森林)'!D10+1,'第11章(発火セル合計)'!D10+1)</f>
        <v>1</v>
      </c>
      <c r="E10" s="57">
        <f>INDEX('第11章(ルール)'!$D$3:$M$12,'第11章(森林)'!E10+1,'第11章(発火セル合計)'!E10+1)</f>
        <v>1</v>
      </c>
      <c r="F10" s="57">
        <f>INDEX('第11章(ルール)'!$D$3:$M$12,'第11章(森林)'!F10+1,'第11章(発火セル合計)'!F10+1)</f>
        <v>1</v>
      </c>
      <c r="G10" s="57">
        <f>INDEX('第11章(ルール)'!$D$3:$M$12,'第11章(森林)'!G10+1,'第11章(発火セル合計)'!G10+1)</f>
        <v>1</v>
      </c>
      <c r="H10" s="57">
        <f>INDEX('第11章(ルール)'!$D$3:$M$12,'第11章(森林)'!H10+1,'第11章(発火セル合計)'!H10+1)</f>
        <v>1</v>
      </c>
      <c r="I10" s="57">
        <f>INDEX('第11章(ルール)'!$D$3:$M$12,'第11章(森林)'!I10+1,'第11章(発火セル合計)'!I10+1)</f>
        <v>1</v>
      </c>
      <c r="J10" s="57">
        <f>INDEX('第11章(ルール)'!$D$3:$M$12,'第11章(森林)'!J10+1,'第11章(発火セル合計)'!J10+1)</f>
        <v>0</v>
      </c>
      <c r="K10" s="57">
        <f>INDEX('第11章(ルール)'!$D$3:$M$12,'第11章(森林)'!K10+1,'第11章(発火セル合計)'!K10+1)</f>
        <v>0</v>
      </c>
      <c r="L10" s="57">
        <f>INDEX('第11章(ルール)'!$D$3:$M$12,'第11章(森林)'!L10+1,'第11章(発火セル合計)'!L10+1)</f>
        <v>0</v>
      </c>
      <c r="M10" s="57">
        <f>INDEX('第11章(ルール)'!$D$3:$M$12,'第11章(森林)'!M10+1,'第11章(発火セル合計)'!M10+1)</f>
        <v>0</v>
      </c>
      <c r="N10" s="57">
        <f>INDEX('第11章(ルール)'!$D$3:$M$12,'第11章(森林)'!N10+1,'第11章(発火セル合計)'!N10+1)</f>
        <v>0</v>
      </c>
      <c r="O10" s="57">
        <f>INDEX('第11章(ルール)'!$D$3:$M$12,'第11章(森林)'!O10+1,'第11章(発火セル合計)'!O10+1)</f>
        <v>0</v>
      </c>
      <c r="P10" s="57">
        <f>INDEX('第11章(ルール)'!$D$3:$M$12,'第11章(森林)'!P10+1,'第11章(発火セル合計)'!P10+1)</f>
        <v>0</v>
      </c>
      <c r="Q10" s="57">
        <f>INDEX('第11章(ルール)'!$D$3:$M$12,'第11章(森林)'!Q10+1,'第11章(発火セル合計)'!Q10+1)</f>
        <v>0</v>
      </c>
      <c r="R10" s="57">
        <f>INDEX('第11章(ルール)'!$D$3:$M$12,'第11章(森林)'!R10+1,'第11章(発火セル合計)'!R10+1)</f>
        <v>0</v>
      </c>
      <c r="S10" s="57">
        <f>INDEX('第11章(ルール)'!$D$3:$M$12,'第11章(森林)'!S10+1,'第11章(発火セル合計)'!S10+1)</f>
        <v>1</v>
      </c>
      <c r="T10" s="57">
        <f>INDEX('第11章(ルール)'!$D$3:$M$12,'第11章(森林)'!T10+1,'第11章(発火セル合計)'!T10+1)</f>
        <v>1</v>
      </c>
      <c r="U10" s="57">
        <f>INDEX('第11章(ルール)'!$D$3:$M$12,'第11章(森林)'!U10+1,'第11章(発火セル合計)'!U10+1)</f>
        <v>1</v>
      </c>
      <c r="V10" s="57">
        <f>INDEX('第11章(ルール)'!$D$3:$M$12,'第11章(森林)'!V10+1,'第11章(発火セル合計)'!V10+1)</f>
        <v>1</v>
      </c>
      <c r="W10" s="57">
        <f>INDEX('第11章(ルール)'!$D$3:$M$12,'第11章(森林)'!W10+1,'第11章(発火セル合計)'!W10+1)</f>
        <v>1</v>
      </c>
      <c r="X10" s="57">
        <f>INDEX('第11章(ルール)'!$D$3:$M$12,'第11章(森林)'!X10+1,'第11章(発火セル合計)'!X10+1)</f>
        <v>1</v>
      </c>
      <c r="Y10" s="57">
        <f>INDEX('第11章(ルール)'!$D$3:$M$12,'第11章(森林)'!Y10+1,'第11章(発火セル合計)'!Y10+1)</f>
        <v>1</v>
      </c>
      <c r="Z10" s="57">
        <f>INDEX('第11章(ルール)'!$D$3:$M$12,'第11章(森林)'!Z10+1,'第11章(発火セル合計)'!Z10+1)</f>
        <v>1</v>
      </c>
    </row>
    <row r="11" spans="2:26" ht="12" customHeight="1" x14ac:dyDescent="0.15">
      <c r="B11" s="57">
        <f>INDEX('第11章(ルール)'!$D$3:$M$12,'第11章(森林)'!B11+1,'第11章(発火セル合計)'!B11+1)</f>
        <v>1</v>
      </c>
      <c r="C11" s="57">
        <f>INDEX('第11章(ルール)'!$D$3:$M$12,'第11章(森林)'!C11+1,'第11章(発火セル合計)'!C11+1)</f>
        <v>1</v>
      </c>
      <c r="D11" s="57">
        <f>INDEX('第11章(ルール)'!$D$3:$M$12,'第11章(森林)'!D11+1,'第11章(発火セル合計)'!D11+1)</f>
        <v>1</v>
      </c>
      <c r="E11" s="57">
        <f>INDEX('第11章(ルール)'!$D$3:$M$12,'第11章(森林)'!E11+1,'第11章(発火セル合計)'!E11+1)</f>
        <v>1</v>
      </c>
      <c r="F11" s="57">
        <f>INDEX('第11章(ルール)'!$D$3:$M$12,'第11章(森林)'!F11+1,'第11章(発火セル合計)'!F11+1)</f>
        <v>1</v>
      </c>
      <c r="G11" s="57">
        <f>INDEX('第11章(ルール)'!$D$3:$M$12,'第11章(森林)'!G11+1,'第11章(発火セル合計)'!G11+1)</f>
        <v>1</v>
      </c>
      <c r="H11" s="57">
        <f>INDEX('第11章(ルール)'!$D$3:$M$12,'第11章(森林)'!H11+1,'第11章(発火セル合計)'!H11+1)</f>
        <v>1</v>
      </c>
      <c r="I11" s="57">
        <f>INDEX('第11章(ルール)'!$D$3:$M$12,'第11章(森林)'!I11+1,'第11章(発火セル合計)'!I11+1)</f>
        <v>1</v>
      </c>
      <c r="J11" s="57">
        <f>INDEX('第11章(ルール)'!$D$3:$M$12,'第11章(森林)'!J11+1,'第11章(発火セル合計)'!J11+1)</f>
        <v>0</v>
      </c>
      <c r="K11" s="57">
        <f>INDEX('第11章(ルール)'!$D$3:$M$12,'第11章(森林)'!K11+1,'第11章(発火セル合計)'!K11+1)</f>
        <v>1</v>
      </c>
      <c r="L11" s="57">
        <f>INDEX('第11章(ルール)'!$D$3:$M$12,'第11章(森林)'!L11+1,'第11章(発火セル合計)'!L11+1)</f>
        <v>1</v>
      </c>
      <c r="M11" s="57">
        <f>INDEX('第11章(ルール)'!$D$3:$M$12,'第11章(森林)'!M11+1,'第11章(発火セル合計)'!M11+1)</f>
        <v>1</v>
      </c>
      <c r="N11" s="57">
        <f>INDEX('第11章(ルール)'!$D$3:$M$12,'第11章(森林)'!N11+1,'第11章(発火セル合計)'!N11+1)</f>
        <v>1</v>
      </c>
      <c r="O11" s="57">
        <f>INDEX('第11章(ルール)'!$D$3:$M$12,'第11章(森林)'!O11+1,'第11章(発火セル合計)'!O11+1)</f>
        <v>1</v>
      </c>
      <c r="P11" s="57">
        <f>INDEX('第11章(ルール)'!$D$3:$M$12,'第11章(森林)'!P11+1,'第11章(発火セル合計)'!P11+1)</f>
        <v>1</v>
      </c>
      <c r="Q11" s="57">
        <f>INDEX('第11章(ルール)'!$D$3:$M$12,'第11章(森林)'!Q11+1,'第11章(発火セル合計)'!Q11+1)</f>
        <v>1</v>
      </c>
      <c r="R11" s="57">
        <f>INDEX('第11章(ルール)'!$D$3:$M$12,'第11章(森林)'!R11+1,'第11章(発火セル合計)'!R11+1)</f>
        <v>0</v>
      </c>
      <c r="S11" s="57">
        <f>INDEX('第11章(ルール)'!$D$3:$M$12,'第11章(森林)'!S11+1,'第11章(発火セル合計)'!S11+1)</f>
        <v>1</v>
      </c>
      <c r="T11" s="57">
        <f>INDEX('第11章(ルール)'!$D$3:$M$12,'第11章(森林)'!T11+1,'第11章(発火セル合計)'!T11+1)</f>
        <v>1</v>
      </c>
      <c r="U11" s="57">
        <f>INDEX('第11章(ルール)'!$D$3:$M$12,'第11章(森林)'!U11+1,'第11章(発火セル合計)'!U11+1)</f>
        <v>1</v>
      </c>
      <c r="V11" s="57">
        <f>INDEX('第11章(ルール)'!$D$3:$M$12,'第11章(森林)'!V11+1,'第11章(発火セル合計)'!V11+1)</f>
        <v>1</v>
      </c>
      <c r="W11" s="57">
        <f>INDEX('第11章(ルール)'!$D$3:$M$12,'第11章(森林)'!W11+1,'第11章(発火セル合計)'!W11+1)</f>
        <v>1</v>
      </c>
      <c r="X11" s="57">
        <f>INDEX('第11章(ルール)'!$D$3:$M$12,'第11章(森林)'!X11+1,'第11章(発火セル合計)'!X11+1)</f>
        <v>1</v>
      </c>
      <c r="Y11" s="57">
        <f>INDEX('第11章(ルール)'!$D$3:$M$12,'第11章(森林)'!Y11+1,'第11章(発火セル合計)'!Y11+1)</f>
        <v>1</v>
      </c>
      <c r="Z11" s="57">
        <f>INDEX('第11章(ルール)'!$D$3:$M$12,'第11章(森林)'!Z11+1,'第11章(発火セル合計)'!Z11+1)</f>
        <v>1</v>
      </c>
    </row>
    <row r="12" spans="2:26" ht="12" customHeight="1" x14ac:dyDescent="0.15">
      <c r="B12" s="57">
        <f>INDEX('第11章(ルール)'!$D$3:$M$12,'第11章(森林)'!B12+1,'第11章(発火セル合計)'!B12+1)</f>
        <v>1</v>
      </c>
      <c r="C12" s="57">
        <f>INDEX('第11章(ルール)'!$D$3:$M$12,'第11章(森林)'!C12+1,'第11章(発火セル合計)'!C12+1)</f>
        <v>1</v>
      </c>
      <c r="D12" s="57">
        <f>INDEX('第11章(ルール)'!$D$3:$M$12,'第11章(森林)'!D12+1,'第11章(発火セル合計)'!D12+1)</f>
        <v>1</v>
      </c>
      <c r="E12" s="57">
        <f>INDEX('第11章(ルール)'!$D$3:$M$12,'第11章(森林)'!E12+1,'第11章(発火セル合計)'!E12+1)</f>
        <v>1</v>
      </c>
      <c r="F12" s="57">
        <f>INDEX('第11章(ルール)'!$D$3:$M$12,'第11章(森林)'!F12+1,'第11章(発火セル合計)'!F12+1)</f>
        <v>1</v>
      </c>
      <c r="G12" s="57">
        <f>INDEX('第11章(ルール)'!$D$3:$M$12,'第11章(森林)'!G12+1,'第11章(発火セル合計)'!G12+1)</f>
        <v>1</v>
      </c>
      <c r="H12" s="57">
        <f>INDEX('第11章(ルール)'!$D$3:$M$12,'第11章(森林)'!H12+1,'第11章(発火セル合計)'!H12+1)</f>
        <v>1</v>
      </c>
      <c r="I12" s="57">
        <f>INDEX('第11章(ルール)'!$D$3:$M$12,'第11章(森林)'!I12+1,'第11章(発火セル合計)'!I12+1)</f>
        <v>1</v>
      </c>
      <c r="J12" s="57">
        <f>INDEX('第11章(ルール)'!$D$3:$M$12,'第11章(森林)'!J12+1,'第11章(発火セル合計)'!J12+1)</f>
        <v>0</v>
      </c>
      <c r="K12" s="57">
        <f>INDEX('第11章(ルール)'!$D$3:$M$12,'第11章(森林)'!K12+1,'第11章(発火セル合計)'!K12+1)</f>
        <v>1</v>
      </c>
      <c r="L12" s="57">
        <f>INDEX('第11章(ルール)'!$D$3:$M$12,'第11章(森林)'!L12+1,'第11章(発火セル合計)'!L12+1)</f>
        <v>1</v>
      </c>
      <c r="M12" s="57">
        <f>INDEX('第11章(ルール)'!$D$3:$M$12,'第11章(森林)'!M12+1,'第11章(発火セル合計)'!M12+1)</f>
        <v>1</v>
      </c>
      <c r="N12" s="57">
        <f>INDEX('第11章(ルール)'!$D$3:$M$12,'第11章(森林)'!N12+1,'第11章(発火セル合計)'!N12+1)</f>
        <v>1</v>
      </c>
      <c r="O12" s="57">
        <f>INDEX('第11章(ルール)'!$D$3:$M$12,'第11章(森林)'!O12+1,'第11章(発火セル合計)'!O12+1)</f>
        <v>1</v>
      </c>
      <c r="P12" s="57">
        <f>INDEX('第11章(ルール)'!$D$3:$M$12,'第11章(森林)'!P12+1,'第11章(発火セル合計)'!P12+1)</f>
        <v>1</v>
      </c>
      <c r="Q12" s="57">
        <f>INDEX('第11章(ルール)'!$D$3:$M$12,'第11章(森林)'!Q12+1,'第11章(発火セル合計)'!Q12+1)</f>
        <v>1</v>
      </c>
      <c r="R12" s="57">
        <f>INDEX('第11章(ルール)'!$D$3:$M$12,'第11章(森林)'!R12+1,'第11章(発火セル合計)'!R12+1)</f>
        <v>0</v>
      </c>
      <c r="S12" s="57">
        <f>INDEX('第11章(ルール)'!$D$3:$M$12,'第11章(森林)'!S12+1,'第11章(発火セル合計)'!S12+1)</f>
        <v>1</v>
      </c>
      <c r="T12" s="57">
        <f>INDEX('第11章(ルール)'!$D$3:$M$12,'第11章(森林)'!T12+1,'第11章(発火セル合計)'!T12+1)</f>
        <v>1</v>
      </c>
      <c r="U12" s="57">
        <f>INDEX('第11章(ルール)'!$D$3:$M$12,'第11章(森林)'!U12+1,'第11章(発火セル合計)'!U12+1)</f>
        <v>1</v>
      </c>
      <c r="V12" s="57">
        <f>INDEX('第11章(ルール)'!$D$3:$M$12,'第11章(森林)'!V12+1,'第11章(発火セル合計)'!V12+1)</f>
        <v>1</v>
      </c>
      <c r="W12" s="57">
        <f>INDEX('第11章(ルール)'!$D$3:$M$12,'第11章(森林)'!W12+1,'第11章(発火セル合計)'!W12+1)</f>
        <v>1</v>
      </c>
      <c r="X12" s="57">
        <f>INDEX('第11章(ルール)'!$D$3:$M$12,'第11章(森林)'!X12+1,'第11章(発火セル合計)'!X12+1)</f>
        <v>1</v>
      </c>
      <c r="Y12" s="57">
        <f>INDEX('第11章(ルール)'!$D$3:$M$12,'第11章(森林)'!Y12+1,'第11章(発火セル合計)'!Y12+1)</f>
        <v>1</v>
      </c>
      <c r="Z12" s="57">
        <f>INDEX('第11章(ルール)'!$D$3:$M$12,'第11章(森林)'!Z12+1,'第11章(発火セル合計)'!Z12+1)</f>
        <v>1</v>
      </c>
    </row>
    <row r="13" spans="2:26" ht="12" customHeight="1" x14ac:dyDescent="0.15">
      <c r="B13" s="57">
        <f>INDEX('第11章(ルール)'!$D$3:$M$12,'第11章(森林)'!B13+1,'第11章(発火セル合計)'!B13+1)</f>
        <v>1</v>
      </c>
      <c r="C13" s="57">
        <f>INDEX('第11章(ルール)'!$D$3:$M$12,'第11章(森林)'!C13+1,'第11章(発火セル合計)'!C13+1)</f>
        <v>1</v>
      </c>
      <c r="D13" s="57">
        <f>INDEX('第11章(ルール)'!$D$3:$M$12,'第11章(森林)'!D13+1,'第11章(発火セル合計)'!D13+1)</f>
        <v>1</v>
      </c>
      <c r="E13" s="57">
        <f>INDEX('第11章(ルール)'!$D$3:$M$12,'第11章(森林)'!E13+1,'第11章(発火セル合計)'!E13+1)</f>
        <v>1</v>
      </c>
      <c r="F13" s="57">
        <f>INDEX('第11章(ルール)'!$D$3:$M$12,'第11章(森林)'!F13+1,'第11章(発火セル合計)'!F13+1)</f>
        <v>1</v>
      </c>
      <c r="G13" s="57">
        <f>INDEX('第11章(ルール)'!$D$3:$M$12,'第11章(森林)'!G13+1,'第11章(発火セル合計)'!G13+1)</f>
        <v>1</v>
      </c>
      <c r="H13" s="57">
        <f>INDEX('第11章(ルール)'!$D$3:$M$12,'第11章(森林)'!H13+1,'第11章(発火セル合計)'!H13+1)</f>
        <v>1</v>
      </c>
      <c r="I13" s="57">
        <f>INDEX('第11章(ルール)'!$D$3:$M$12,'第11章(森林)'!I13+1,'第11章(発火セル合計)'!I13+1)</f>
        <v>1</v>
      </c>
      <c r="J13" s="57">
        <f>INDEX('第11章(ルール)'!$D$3:$M$12,'第11章(森林)'!J13+1,'第11章(発火セル合計)'!J13+1)</f>
        <v>0</v>
      </c>
      <c r="K13" s="57">
        <f>INDEX('第11章(ルール)'!$D$3:$M$12,'第11章(森林)'!K13+1,'第11章(発火セル合計)'!K13+1)</f>
        <v>1</v>
      </c>
      <c r="L13" s="57">
        <f>INDEX('第11章(ルール)'!$D$3:$M$12,'第11章(森林)'!L13+1,'第11章(発火セル合計)'!L13+1)</f>
        <v>1</v>
      </c>
      <c r="M13" s="57">
        <f>INDEX('第11章(ルール)'!$D$3:$M$12,'第11章(森林)'!M13+1,'第11章(発火セル合計)'!M13+1)</f>
        <v>2</v>
      </c>
      <c r="N13" s="57">
        <f>INDEX('第11章(ルール)'!$D$3:$M$12,'第11章(森林)'!N13+1,'第11章(発火セル合計)'!N13+1)</f>
        <v>2</v>
      </c>
      <c r="O13" s="57">
        <f>INDEX('第11章(ルール)'!$D$3:$M$12,'第11章(森林)'!O13+1,'第11章(発火セル合計)'!O13+1)</f>
        <v>2</v>
      </c>
      <c r="P13" s="57">
        <f>INDEX('第11章(ルール)'!$D$3:$M$12,'第11章(森林)'!P13+1,'第11章(発火セル合計)'!P13+1)</f>
        <v>1</v>
      </c>
      <c r="Q13" s="57">
        <f>INDEX('第11章(ルール)'!$D$3:$M$12,'第11章(森林)'!Q13+1,'第11章(発火セル合計)'!Q13+1)</f>
        <v>1</v>
      </c>
      <c r="R13" s="57">
        <f>INDEX('第11章(ルール)'!$D$3:$M$12,'第11章(森林)'!R13+1,'第11章(発火セル合計)'!R13+1)</f>
        <v>0</v>
      </c>
      <c r="S13" s="57">
        <f>INDEX('第11章(ルール)'!$D$3:$M$12,'第11章(森林)'!S13+1,'第11章(発火セル合計)'!S13+1)</f>
        <v>1</v>
      </c>
      <c r="T13" s="57">
        <f>INDEX('第11章(ルール)'!$D$3:$M$12,'第11章(森林)'!T13+1,'第11章(発火セル合計)'!T13+1)</f>
        <v>1</v>
      </c>
      <c r="U13" s="57">
        <f>INDEX('第11章(ルール)'!$D$3:$M$12,'第11章(森林)'!U13+1,'第11章(発火セル合計)'!U13+1)</f>
        <v>1</v>
      </c>
      <c r="V13" s="57">
        <f>INDEX('第11章(ルール)'!$D$3:$M$12,'第11章(森林)'!V13+1,'第11章(発火セル合計)'!V13+1)</f>
        <v>1</v>
      </c>
      <c r="W13" s="57">
        <f>INDEX('第11章(ルール)'!$D$3:$M$12,'第11章(森林)'!W13+1,'第11章(発火セル合計)'!W13+1)</f>
        <v>1</v>
      </c>
      <c r="X13" s="57">
        <f>INDEX('第11章(ルール)'!$D$3:$M$12,'第11章(森林)'!X13+1,'第11章(発火セル合計)'!X13+1)</f>
        <v>1</v>
      </c>
      <c r="Y13" s="57">
        <f>INDEX('第11章(ルール)'!$D$3:$M$12,'第11章(森林)'!Y13+1,'第11章(発火セル合計)'!Y13+1)</f>
        <v>1</v>
      </c>
      <c r="Z13" s="57">
        <f>INDEX('第11章(ルール)'!$D$3:$M$12,'第11章(森林)'!Z13+1,'第11章(発火セル合計)'!Z13+1)</f>
        <v>1</v>
      </c>
    </row>
    <row r="14" spans="2:26" ht="12" customHeight="1" x14ac:dyDescent="0.15">
      <c r="B14" s="57">
        <f>INDEX('第11章(ルール)'!$D$3:$M$12,'第11章(森林)'!B14+1,'第11章(発火セル合計)'!B14+1)</f>
        <v>1</v>
      </c>
      <c r="C14" s="57">
        <f>INDEX('第11章(ルール)'!$D$3:$M$12,'第11章(森林)'!C14+1,'第11章(発火セル合計)'!C14+1)</f>
        <v>1</v>
      </c>
      <c r="D14" s="57">
        <f>INDEX('第11章(ルール)'!$D$3:$M$12,'第11章(森林)'!D14+1,'第11章(発火セル合計)'!D14+1)</f>
        <v>1</v>
      </c>
      <c r="E14" s="57">
        <f>INDEX('第11章(ルール)'!$D$3:$M$12,'第11章(森林)'!E14+1,'第11章(発火セル合計)'!E14+1)</f>
        <v>1</v>
      </c>
      <c r="F14" s="57">
        <f>INDEX('第11章(ルール)'!$D$3:$M$12,'第11章(森林)'!F14+1,'第11章(発火セル合計)'!F14+1)</f>
        <v>1</v>
      </c>
      <c r="G14" s="57">
        <f>INDEX('第11章(ルール)'!$D$3:$M$12,'第11章(森林)'!G14+1,'第11章(発火セル合計)'!G14+1)</f>
        <v>1</v>
      </c>
      <c r="H14" s="57">
        <f>INDEX('第11章(ルール)'!$D$3:$M$12,'第11章(森林)'!H14+1,'第11章(発火セル合計)'!H14+1)</f>
        <v>1</v>
      </c>
      <c r="I14" s="57">
        <f>INDEX('第11章(ルール)'!$D$3:$M$12,'第11章(森林)'!I14+1,'第11章(発火セル合計)'!I14+1)</f>
        <v>1</v>
      </c>
      <c r="J14" s="57">
        <f>INDEX('第11章(ルール)'!$D$3:$M$12,'第11章(森林)'!J14+1,'第11章(発火セル合計)'!J14+1)</f>
        <v>0</v>
      </c>
      <c r="K14" s="57">
        <f>INDEX('第11章(ルール)'!$D$3:$M$12,'第11章(森林)'!K14+1,'第11章(発火セル合計)'!K14+1)</f>
        <v>1</v>
      </c>
      <c r="L14" s="57">
        <f>INDEX('第11章(ルール)'!$D$3:$M$12,'第11章(森林)'!L14+1,'第11章(発火セル合計)'!L14+1)</f>
        <v>1</v>
      </c>
      <c r="M14" s="57">
        <f>INDEX('第11章(ルール)'!$D$3:$M$12,'第11章(森林)'!M14+1,'第11章(発火セル合計)'!M14+1)</f>
        <v>2</v>
      </c>
      <c r="N14" s="57">
        <f>INDEX('第11章(ルール)'!$D$3:$M$12,'第11章(森林)'!N14+1,'第11章(発火セル合計)'!N14+1)</f>
        <v>6</v>
      </c>
      <c r="O14" s="57">
        <f>INDEX('第11章(ルール)'!$D$3:$M$12,'第11章(森林)'!O14+1,'第11章(発火セル合計)'!O14+1)</f>
        <v>2</v>
      </c>
      <c r="P14" s="57">
        <f>INDEX('第11章(ルール)'!$D$3:$M$12,'第11章(森林)'!P14+1,'第11章(発火セル合計)'!P14+1)</f>
        <v>1</v>
      </c>
      <c r="Q14" s="57">
        <f>INDEX('第11章(ルール)'!$D$3:$M$12,'第11章(森林)'!Q14+1,'第11章(発火セル合計)'!Q14+1)</f>
        <v>1</v>
      </c>
      <c r="R14" s="57">
        <f>INDEX('第11章(ルール)'!$D$3:$M$12,'第11章(森林)'!R14+1,'第11章(発火セル合計)'!R14+1)</f>
        <v>0</v>
      </c>
      <c r="S14" s="57">
        <f>INDEX('第11章(ルール)'!$D$3:$M$12,'第11章(森林)'!S14+1,'第11章(発火セル合計)'!S14+1)</f>
        <v>1</v>
      </c>
      <c r="T14" s="57">
        <f>INDEX('第11章(ルール)'!$D$3:$M$12,'第11章(森林)'!T14+1,'第11章(発火セル合計)'!T14+1)</f>
        <v>1</v>
      </c>
      <c r="U14" s="57">
        <f>INDEX('第11章(ルール)'!$D$3:$M$12,'第11章(森林)'!U14+1,'第11章(発火セル合計)'!U14+1)</f>
        <v>1</v>
      </c>
      <c r="V14" s="57">
        <f>INDEX('第11章(ルール)'!$D$3:$M$12,'第11章(森林)'!V14+1,'第11章(発火セル合計)'!V14+1)</f>
        <v>1</v>
      </c>
      <c r="W14" s="57">
        <f>INDEX('第11章(ルール)'!$D$3:$M$12,'第11章(森林)'!W14+1,'第11章(発火セル合計)'!W14+1)</f>
        <v>1</v>
      </c>
      <c r="X14" s="57">
        <f>INDEX('第11章(ルール)'!$D$3:$M$12,'第11章(森林)'!X14+1,'第11章(発火セル合計)'!X14+1)</f>
        <v>1</v>
      </c>
      <c r="Y14" s="57">
        <f>INDEX('第11章(ルール)'!$D$3:$M$12,'第11章(森林)'!Y14+1,'第11章(発火セル合計)'!Y14+1)</f>
        <v>1</v>
      </c>
      <c r="Z14" s="57">
        <f>INDEX('第11章(ルール)'!$D$3:$M$12,'第11章(森林)'!Z14+1,'第11章(発火セル合計)'!Z14+1)</f>
        <v>1</v>
      </c>
    </row>
    <row r="15" spans="2:26" ht="12" customHeight="1" x14ac:dyDescent="0.15">
      <c r="B15" s="57">
        <f>INDEX('第11章(ルール)'!$D$3:$M$12,'第11章(森林)'!B15+1,'第11章(発火セル合計)'!B15+1)</f>
        <v>1</v>
      </c>
      <c r="C15" s="57">
        <f>INDEX('第11章(ルール)'!$D$3:$M$12,'第11章(森林)'!C15+1,'第11章(発火セル合計)'!C15+1)</f>
        <v>1</v>
      </c>
      <c r="D15" s="57">
        <f>INDEX('第11章(ルール)'!$D$3:$M$12,'第11章(森林)'!D15+1,'第11章(発火セル合計)'!D15+1)</f>
        <v>1</v>
      </c>
      <c r="E15" s="57">
        <f>INDEX('第11章(ルール)'!$D$3:$M$12,'第11章(森林)'!E15+1,'第11章(発火セル合計)'!E15+1)</f>
        <v>1</v>
      </c>
      <c r="F15" s="57">
        <f>INDEX('第11章(ルール)'!$D$3:$M$12,'第11章(森林)'!F15+1,'第11章(発火セル合計)'!F15+1)</f>
        <v>1</v>
      </c>
      <c r="G15" s="57">
        <f>INDEX('第11章(ルール)'!$D$3:$M$12,'第11章(森林)'!G15+1,'第11章(発火セル合計)'!G15+1)</f>
        <v>1</v>
      </c>
      <c r="H15" s="57">
        <f>INDEX('第11章(ルール)'!$D$3:$M$12,'第11章(森林)'!H15+1,'第11章(発火セル合計)'!H15+1)</f>
        <v>1</v>
      </c>
      <c r="I15" s="57">
        <f>INDEX('第11章(ルール)'!$D$3:$M$12,'第11章(森林)'!I15+1,'第11章(発火セル合計)'!I15+1)</f>
        <v>1</v>
      </c>
      <c r="J15" s="57">
        <f>INDEX('第11章(ルール)'!$D$3:$M$12,'第11章(森林)'!J15+1,'第11章(発火セル合計)'!J15+1)</f>
        <v>0</v>
      </c>
      <c r="K15" s="57">
        <f>INDEX('第11章(ルール)'!$D$3:$M$12,'第11章(森林)'!K15+1,'第11章(発火セル合計)'!K15+1)</f>
        <v>1</v>
      </c>
      <c r="L15" s="57">
        <f>INDEX('第11章(ルール)'!$D$3:$M$12,'第11章(森林)'!L15+1,'第11章(発火セル合計)'!L15+1)</f>
        <v>1</v>
      </c>
      <c r="M15" s="57">
        <f>INDEX('第11章(ルール)'!$D$3:$M$12,'第11章(森林)'!M15+1,'第11章(発火セル合計)'!M15+1)</f>
        <v>2</v>
      </c>
      <c r="N15" s="57">
        <f>INDEX('第11章(ルール)'!$D$3:$M$12,'第11章(森林)'!N15+1,'第11章(発火セル合計)'!N15+1)</f>
        <v>2</v>
      </c>
      <c r="O15" s="57">
        <f>INDEX('第11章(ルール)'!$D$3:$M$12,'第11章(森林)'!O15+1,'第11章(発火セル合計)'!O15+1)</f>
        <v>2</v>
      </c>
      <c r="P15" s="57">
        <f>INDEX('第11章(ルール)'!$D$3:$M$12,'第11章(森林)'!P15+1,'第11章(発火セル合計)'!P15+1)</f>
        <v>1</v>
      </c>
      <c r="Q15" s="57">
        <f>INDEX('第11章(ルール)'!$D$3:$M$12,'第11章(森林)'!Q15+1,'第11章(発火セル合計)'!Q15+1)</f>
        <v>1</v>
      </c>
      <c r="R15" s="57">
        <f>INDEX('第11章(ルール)'!$D$3:$M$12,'第11章(森林)'!R15+1,'第11章(発火セル合計)'!R15+1)</f>
        <v>0</v>
      </c>
      <c r="S15" s="57">
        <f>INDEX('第11章(ルール)'!$D$3:$M$12,'第11章(森林)'!S15+1,'第11章(発火セル合計)'!S15+1)</f>
        <v>1</v>
      </c>
      <c r="T15" s="57">
        <f>INDEX('第11章(ルール)'!$D$3:$M$12,'第11章(森林)'!T15+1,'第11章(発火セル合計)'!T15+1)</f>
        <v>1</v>
      </c>
      <c r="U15" s="57">
        <f>INDEX('第11章(ルール)'!$D$3:$M$12,'第11章(森林)'!U15+1,'第11章(発火セル合計)'!U15+1)</f>
        <v>1</v>
      </c>
      <c r="V15" s="57">
        <f>INDEX('第11章(ルール)'!$D$3:$M$12,'第11章(森林)'!V15+1,'第11章(発火セル合計)'!V15+1)</f>
        <v>1</v>
      </c>
      <c r="W15" s="57">
        <f>INDEX('第11章(ルール)'!$D$3:$M$12,'第11章(森林)'!W15+1,'第11章(発火セル合計)'!W15+1)</f>
        <v>1</v>
      </c>
      <c r="X15" s="57">
        <f>INDEX('第11章(ルール)'!$D$3:$M$12,'第11章(森林)'!X15+1,'第11章(発火セル合計)'!X15+1)</f>
        <v>1</v>
      </c>
      <c r="Y15" s="57">
        <f>INDEX('第11章(ルール)'!$D$3:$M$12,'第11章(森林)'!Y15+1,'第11章(発火セル合計)'!Y15+1)</f>
        <v>1</v>
      </c>
      <c r="Z15" s="57">
        <f>INDEX('第11章(ルール)'!$D$3:$M$12,'第11章(森林)'!Z15+1,'第11章(発火セル合計)'!Z15+1)</f>
        <v>1</v>
      </c>
    </row>
    <row r="16" spans="2:26" ht="12" customHeight="1" x14ac:dyDescent="0.15">
      <c r="B16" s="57">
        <f>INDEX('第11章(ルール)'!$D$3:$M$12,'第11章(森林)'!B16+1,'第11章(発火セル合計)'!B16+1)</f>
        <v>1</v>
      </c>
      <c r="C16" s="57">
        <f>INDEX('第11章(ルール)'!$D$3:$M$12,'第11章(森林)'!C16+1,'第11章(発火セル合計)'!C16+1)</f>
        <v>1</v>
      </c>
      <c r="D16" s="57">
        <f>INDEX('第11章(ルール)'!$D$3:$M$12,'第11章(森林)'!D16+1,'第11章(発火セル合計)'!D16+1)</f>
        <v>1</v>
      </c>
      <c r="E16" s="57">
        <f>INDEX('第11章(ルール)'!$D$3:$M$12,'第11章(森林)'!E16+1,'第11章(発火セル合計)'!E16+1)</f>
        <v>1</v>
      </c>
      <c r="F16" s="57">
        <f>INDEX('第11章(ルール)'!$D$3:$M$12,'第11章(森林)'!F16+1,'第11章(発火セル合計)'!F16+1)</f>
        <v>1</v>
      </c>
      <c r="G16" s="57">
        <f>INDEX('第11章(ルール)'!$D$3:$M$12,'第11章(森林)'!G16+1,'第11章(発火セル合計)'!G16+1)</f>
        <v>1</v>
      </c>
      <c r="H16" s="57">
        <f>INDEX('第11章(ルール)'!$D$3:$M$12,'第11章(森林)'!H16+1,'第11章(発火セル合計)'!H16+1)</f>
        <v>1</v>
      </c>
      <c r="I16" s="57">
        <f>INDEX('第11章(ルール)'!$D$3:$M$12,'第11章(森林)'!I16+1,'第11章(発火セル合計)'!I16+1)</f>
        <v>1</v>
      </c>
      <c r="J16" s="57">
        <f>INDEX('第11章(ルール)'!$D$3:$M$12,'第11章(森林)'!J16+1,'第11章(発火セル合計)'!J16+1)</f>
        <v>0</v>
      </c>
      <c r="K16" s="57">
        <f>INDEX('第11章(ルール)'!$D$3:$M$12,'第11章(森林)'!K16+1,'第11章(発火セル合計)'!K16+1)</f>
        <v>1</v>
      </c>
      <c r="L16" s="57">
        <f>INDEX('第11章(ルール)'!$D$3:$M$12,'第11章(森林)'!L16+1,'第11章(発火セル合計)'!L16+1)</f>
        <v>1</v>
      </c>
      <c r="M16" s="57">
        <f>INDEX('第11章(ルール)'!$D$3:$M$12,'第11章(森林)'!M16+1,'第11章(発火セル合計)'!M16+1)</f>
        <v>1</v>
      </c>
      <c r="N16" s="57">
        <f>INDEX('第11章(ルール)'!$D$3:$M$12,'第11章(森林)'!N16+1,'第11章(発火セル合計)'!N16+1)</f>
        <v>1</v>
      </c>
      <c r="O16" s="57">
        <f>INDEX('第11章(ルール)'!$D$3:$M$12,'第11章(森林)'!O16+1,'第11章(発火セル合計)'!O16+1)</f>
        <v>1</v>
      </c>
      <c r="P16" s="57">
        <f>INDEX('第11章(ルール)'!$D$3:$M$12,'第11章(森林)'!P16+1,'第11章(発火セル合計)'!P16+1)</f>
        <v>1</v>
      </c>
      <c r="Q16" s="57">
        <f>INDEX('第11章(ルール)'!$D$3:$M$12,'第11章(森林)'!Q16+1,'第11章(発火セル合計)'!Q16+1)</f>
        <v>1</v>
      </c>
      <c r="R16" s="57">
        <f>INDEX('第11章(ルール)'!$D$3:$M$12,'第11章(森林)'!R16+1,'第11章(発火セル合計)'!R16+1)</f>
        <v>0</v>
      </c>
      <c r="S16" s="57">
        <f>INDEX('第11章(ルール)'!$D$3:$M$12,'第11章(森林)'!S16+1,'第11章(発火セル合計)'!S16+1)</f>
        <v>1</v>
      </c>
      <c r="T16" s="57">
        <f>INDEX('第11章(ルール)'!$D$3:$M$12,'第11章(森林)'!T16+1,'第11章(発火セル合計)'!T16+1)</f>
        <v>1</v>
      </c>
      <c r="U16" s="57">
        <f>INDEX('第11章(ルール)'!$D$3:$M$12,'第11章(森林)'!U16+1,'第11章(発火セル合計)'!U16+1)</f>
        <v>1</v>
      </c>
      <c r="V16" s="57">
        <f>INDEX('第11章(ルール)'!$D$3:$M$12,'第11章(森林)'!V16+1,'第11章(発火セル合計)'!V16+1)</f>
        <v>1</v>
      </c>
      <c r="W16" s="57">
        <f>INDEX('第11章(ルール)'!$D$3:$M$12,'第11章(森林)'!W16+1,'第11章(発火セル合計)'!W16+1)</f>
        <v>1</v>
      </c>
      <c r="X16" s="57">
        <f>INDEX('第11章(ルール)'!$D$3:$M$12,'第11章(森林)'!X16+1,'第11章(発火セル合計)'!X16+1)</f>
        <v>1</v>
      </c>
      <c r="Y16" s="57">
        <f>INDEX('第11章(ルール)'!$D$3:$M$12,'第11章(森林)'!Y16+1,'第11章(発火セル合計)'!Y16+1)</f>
        <v>1</v>
      </c>
      <c r="Z16" s="57">
        <f>INDEX('第11章(ルール)'!$D$3:$M$12,'第11章(森林)'!Z16+1,'第11章(発火セル合計)'!Z16+1)</f>
        <v>1</v>
      </c>
    </row>
    <row r="17" spans="2:26" ht="12" customHeight="1" x14ac:dyDescent="0.15">
      <c r="B17" s="57">
        <f>INDEX('第11章(ルール)'!$D$3:$M$12,'第11章(森林)'!B17+1,'第11章(発火セル合計)'!B17+1)</f>
        <v>1</v>
      </c>
      <c r="C17" s="57">
        <f>INDEX('第11章(ルール)'!$D$3:$M$12,'第11章(森林)'!C17+1,'第11章(発火セル合計)'!C17+1)</f>
        <v>1</v>
      </c>
      <c r="D17" s="57">
        <f>INDEX('第11章(ルール)'!$D$3:$M$12,'第11章(森林)'!D17+1,'第11章(発火セル合計)'!D17+1)</f>
        <v>1</v>
      </c>
      <c r="E17" s="57">
        <f>INDEX('第11章(ルール)'!$D$3:$M$12,'第11章(森林)'!E17+1,'第11章(発火セル合計)'!E17+1)</f>
        <v>1</v>
      </c>
      <c r="F17" s="57">
        <f>INDEX('第11章(ルール)'!$D$3:$M$12,'第11章(森林)'!F17+1,'第11章(発火セル合計)'!F17+1)</f>
        <v>1</v>
      </c>
      <c r="G17" s="57">
        <f>INDEX('第11章(ルール)'!$D$3:$M$12,'第11章(森林)'!G17+1,'第11章(発火セル合計)'!G17+1)</f>
        <v>1</v>
      </c>
      <c r="H17" s="57">
        <f>INDEX('第11章(ルール)'!$D$3:$M$12,'第11章(森林)'!H17+1,'第11章(発火セル合計)'!H17+1)</f>
        <v>1</v>
      </c>
      <c r="I17" s="57">
        <f>INDEX('第11章(ルール)'!$D$3:$M$12,'第11章(森林)'!I17+1,'第11章(発火セル合計)'!I17+1)</f>
        <v>1</v>
      </c>
      <c r="J17" s="57">
        <f>INDEX('第11章(ルール)'!$D$3:$M$12,'第11章(森林)'!J17+1,'第11章(発火セル合計)'!J17+1)</f>
        <v>0</v>
      </c>
      <c r="K17" s="57">
        <f>INDEX('第11章(ルール)'!$D$3:$M$12,'第11章(森林)'!K17+1,'第11章(発火セル合計)'!K17+1)</f>
        <v>1</v>
      </c>
      <c r="L17" s="57">
        <f>INDEX('第11章(ルール)'!$D$3:$M$12,'第11章(森林)'!L17+1,'第11章(発火セル合計)'!L17+1)</f>
        <v>1</v>
      </c>
      <c r="M17" s="57">
        <f>INDEX('第11章(ルール)'!$D$3:$M$12,'第11章(森林)'!M17+1,'第11章(発火セル合計)'!M17+1)</f>
        <v>1</v>
      </c>
      <c r="N17" s="57">
        <f>INDEX('第11章(ルール)'!$D$3:$M$12,'第11章(森林)'!N17+1,'第11章(発火セル合計)'!N17+1)</f>
        <v>1</v>
      </c>
      <c r="O17" s="57">
        <f>INDEX('第11章(ルール)'!$D$3:$M$12,'第11章(森林)'!O17+1,'第11章(発火セル合計)'!O17+1)</f>
        <v>1</v>
      </c>
      <c r="P17" s="57">
        <f>INDEX('第11章(ルール)'!$D$3:$M$12,'第11章(森林)'!P17+1,'第11章(発火セル合計)'!P17+1)</f>
        <v>1</v>
      </c>
      <c r="Q17" s="57">
        <f>INDEX('第11章(ルール)'!$D$3:$M$12,'第11章(森林)'!Q17+1,'第11章(発火セル合計)'!Q17+1)</f>
        <v>1</v>
      </c>
      <c r="R17" s="57">
        <f>INDEX('第11章(ルール)'!$D$3:$M$12,'第11章(森林)'!R17+1,'第11章(発火セル合計)'!R17+1)</f>
        <v>0</v>
      </c>
      <c r="S17" s="57">
        <f>INDEX('第11章(ルール)'!$D$3:$M$12,'第11章(森林)'!S17+1,'第11章(発火セル合計)'!S17+1)</f>
        <v>1</v>
      </c>
      <c r="T17" s="57">
        <f>INDEX('第11章(ルール)'!$D$3:$M$12,'第11章(森林)'!T17+1,'第11章(発火セル合計)'!T17+1)</f>
        <v>1</v>
      </c>
      <c r="U17" s="57">
        <f>INDEX('第11章(ルール)'!$D$3:$M$12,'第11章(森林)'!U17+1,'第11章(発火セル合計)'!U17+1)</f>
        <v>1</v>
      </c>
      <c r="V17" s="57">
        <f>INDEX('第11章(ルール)'!$D$3:$M$12,'第11章(森林)'!V17+1,'第11章(発火セル合計)'!V17+1)</f>
        <v>1</v>
      </c>
      <c r="W17" s="57">
        <f>INDEX('第11章(ルール)'!$D$3:$M$12,'第11章(森林)'!W17+1,'第11章(発火セル合計)'!W17+1)</f>
        <v>1</v>
      </c>
      <c r="X17" s="57">
        <f>INDEX('第11章(ルール)'!$D$3:$M$12,'第11章(森林)'!X17+1,'第11章(発火セル合計)'!X17+1)</f>
        <v>1</v>
      </c>
      <c r="Y17" s="57">
        <f>INDEX('第11章(ルール)'!$D$3:$M$12,'第11章(森林)'!Y17+1,'第11章(発火セル合計)'!Y17+1)</f>
        <v>1</v>
      </c>
      <c r="Z17" s="57">
        <f>INDEX('第11章(ルール)'!$D$3:$M$12,'第11章(森林)'!Z17+1,'第11章(発火セル合計)'!Z17+1)</f>
        <v>1</v>
      </c>
    </row>
    <row r="18" spans="2:26" ht="12" customHeight="1" x14ac:dyDescent="0.15">
      <c r="B18" s="57">
        <f>INDEX('第11章(ルール)'!$D$3:$M$12,'第11章(森林)'!B18+1,'第11章(発火セル合計)'!B18+1)</f>
        <v>1</v>
      </c>
      <c r="C18" s="57">
        <f>INDEX('第11章(ルール)'!$D$3:$M$12,'第11章(森林)'!C18+1,'第11章(発火セル合計)'!C18+1)</f>
        <v>1</v>
      </c>
      <c r="D18" s="57">
        <f>INDEX('第11章(ルール)'!$D$3:$M$12,'第11章(森林)'!D18+1,'第11章(発火セル合計)'!D18+1)</f>
        <v>1</v>
      </c>
      <c r="E18" s="57">
        <f>INDEX('第11章(ルール)'!$D$3:$M$12,'第11章(森林)'!E18+1,'第11章(発火セル合計)'!E18+1)</f>
        <v>1</v>
      </c>
      <c r="F18" s="57">
        <f>INDEX('第11章(ルール)'!$D$3:$M$12,'第11章(森林)'!F18+1,'第11章(発火セル合計)'!F18+1)</f>
        <v>1</v>
      </c>
      <c r="G18" s="57">
        <f>INDEX('第11章(ルール)'!$D$3:$M$12,'第11章(森林)'!G18+1,'第11章(発火セル合計)'!G18+1)</f>
        <v>1</v>
      </c>
      <c r="H18" s="57">
        <f>INDEX('第11章(ルール)'!$D$3:$M$12,'第11章(森林)'!H18+1,'第11章(発火セル合計)'!H18+1)</f>
        <v>1</v>
      </c>
      <c r="I18" s="57">
        <f>INDEX('第11章(ルール)'!$D$3:$M$12,'第11章(森林)'!I18+1,'第11章(発火セル合計)'!I18+1)</f>
        <v>1</v>
      </c>
      <c r="J18" s="57">
        <f>INDEX('第11章(ルール)'!$D$3:$M$12,'第11章(森林)'!J18+1,'第11章(発火セル合計)'!J18+1)</f>
        <v>0</v>
      </c>
      <c r="K18" s="57">
        <f>INDEX('第11章(ルール)'!$D$3:$M$12,'第11章(森林)'!K18+1,'第11章(発火セル合計)'!K18+1)</f>
        <v>0</v>
      </c>
      <c r="L18" s="57">
        <f>INDEX('第11章(ルール)'!$D$3:$M$12,'第11章(森林)'!L18+1,'第11章(発火セル合計)'!L18+1)</f>
        <v>0</v>
      </c>
      <c r="M18" s="57">
        <f>INDEX('第11章(ルール)'!$D$3:$M$12,'第11章(森林)'!M18+1,'第11章(発火セル合計)'!M18+1)</f>
        <v>0</v>
      </c>
      <c r="N18" s="57">
        <f>INDEX('第11章(ルール)'!$D$3:$M$12,'第11章(森林)'!N18+1,'第11章(発火セル合計)'!N18+1)</f>
        <v>0</v>
      </c>
      <c r="O18" s="57">
        <f>INDEX('第11章(ルール)'!$D$3:$M$12,'第11章(森林)'!O18+1,'第11章(発火セル合計)'!O18+1)</f>
        <v>0</v>
      </c>
      <c r="P18" s="57">
        <f>INDEX('第11章(ルール)'!$D$3:$M$12,'第11章(森林)'!P18+1,'第11章(発火セル合計)'!P18+1)</f>
        <v>0</v>
      </c>
      <c r="Q18" s="57">
        <f>INDEX('第11章(ルール)'!$D$3:$M$12,'第11章(森林)'!Q18+1,'第11章(発火セル合計)'!Q18+1)</f>
        <v>0</v>
      </c>
      <c r="R18" s="57">
        <f>INDEX('第11章(ルール)'!$D$3:$M$12,'第11章(森林)'!R18+1,'第11章(発火セル合計)'!R18+1)</f>
        <v>0</v>
      </c>
      <c r="S18" s="57">
        <f>INDEX('第11章(ルール)'!$D$3:$M$12,'第11章(森林)'!S18+1,'第11章(発火セル合計)'!S18+1)</f>
        <v>1</v>
      </c>
      <c r="T18" s="57">
        <f>INDEX('第11章(ルール)'!$D$3:$M$12,'第11章(森林)'!T18+1,'第11章(発火セル合計)'!T18+1)</f>
        <v>1</v>
      </c>
      <c r="U18" s="57">
        <f>INDEX('第11章(ルール)'!$D$3:$M$12,'第11章(森林)'!U18+1,'第11章(発火セル合計)'!U18+1)</f>
        <v>1</v>
      </c>
      <c r="V18" s="57">
        <f>INDEX('第11章(ルール)'!$D$3:$M$12,'第11章(森林)'!V18+1,'第11章(発火セル合計)'!V18+1)</f>
        <v>1</v>
      </c>
      <c r="W18" s="57">
        <f>INDEX('第11章(ルール)'!$D$3:$M$12,'第11章(森林)'!W18+1,'第11章(発火セル合計)'!W18+1)</f>
        <v>1</v>
      </c>
      <c r="X18" s="57">
        <f>INDEX('第11章(ルール)'!$D$3:$M$12,'第11章(森林)'!X18+1,'第11章(発火セル合計)'!X18+1)</f>
        <v>1</v>
      </c>
      <c r="Y18" s="57">
        <f>INDEX('第11章(ルール)'!$D$3:$M$12,'第11章(森林)'!Y18+1,'第11章(発火セル合計)'!Y18+1)</f>
        <v>1</v>
      </c>
      <c r="Z18" s="57">
        <f>INDEX('第11章(ルール)'!$D$3:$M$12,'第11章(森林)'!Z18+1,'第11章(発火セル合計)'!Z18+1)</f>
        <v>1</v>
      </c>
    </row>
    <row r="19" spans="2:26" ht="12" customHeight="1" x14ac:dyDescent="0.15">
      <c r="B19" s="57">
        <f>INDEX('第11章(ルール)'!$D$3:$M$12,'第11章(森林)'!B19+1,'第11章(発火セル合計)'!B19+1)</f>
        <v>1</v>
      </c>
      <c r="C19" s="57">
        <f>INDEX('第11章(ルール)'!$D$3:$M$12,'第11章(森林)'!C19+1,'第11章(発火セル合計)'!C19+1)</f>
        <v>1</v>
      </c>
      <c r="D19" s="57">
        <f>INDEX('第11章(ルール)'!$D$3:$M$12,'第11章(森林)'!D19+1,'第11章(発火セル合計)'!D19+1)</f>
        <v>1</v>
      </c>
      <c r="E19" s="57">
        <f>INDEX('第11章(ルール)'!$D$3:$M$12,'第11章(森林)'!E19+1,'第11章(発火セル合計)'!E19+1)</f>
        <v>1</v>
      </c>
      <c r="F19" s="57">
        <f>INDEX('第11章(ルール)'!$D$3:$M$12,'第11章(森林)'!F19+1,'第11章(発火セル合計)'!F19+1)</f>
        <v>1</v>
      </c>
      <c r="G19" s="57">
        <f>INDEX('第11章(ルール)'!$D$3:$M$12,'第11章(森林)'!G19+1,'第11章(発火セル合計)'!G19+1)</f>
        <v>1</v>
      </c>
      <c r="H19" s="57">
        <f>INDEX('第11章(ルール)'!$D$3:$M$12,'第11章(森林)'!H19+1,'第11章(発火セル合計)'!H19+1)</f>
        <v>1</v>
      </c>
      <c r="I19" s="57">
        <f>INDEX('第11章(ルール)'!$D$3:$M$12,'第11章(森林)'!I19+1,'第11章(発火セル合計)'!I19+1)</f>
        <v>1</v>
      </c>
      <c r="J19" s="57">
        <f>INDEX('第11章(ルール)'!$D$3:$M$12,'第11章(森林)'!J19+1,'第11章(発火セル合計)'!J19+1)</f>
        <v>1</v>
      </c>
      <c r="K19" s="57">
        <f>INDEX('第11章(ルール)'!$D$3:$M$12,'第11章(森林)'!K19+1,'第11章(発火セル合計)'!K19+1)</f>
        <v>1</v>
      </c>
      <c r="L19" s="57">
        <f>INDEX('第11章(ルール)'!$D$3:$M$12,'第11章(森林)'!L19+1,'第11章(発火セル合計)'!L19+1)</f>
        <v>1</v>
      </c>
      <c r="M19" s="57">
        <f>INDEX('第11章(ルール)'!$D$3:$M$12,'第11章(森林)'!M19+1,'第11章(発火セル合計)'!M19+1)</f>
        <v>1</v>
      </c>
      <c r="N19" s="57">
        <f>INDEX('第11章(ルール)'!$D$3:$M$12,'第11章(森林)'!N19+1,'第11章(発火セル合計)'!N19+1)</f>
        <v>1</v>
      </c>
      <c r="O19" s="57">
        <f>INDEX('第11章(ルール)'!$D$3:$M$12,'第11章(森林)'!O19+1,'第11章(発火セル合計)'!O19+1)</f>
        <v>1</v>
      </c>
      <c r="P19" s="57">
        <f>INDEX('第11章(ルール)'!$D$3:$M$12,'第11章(森林)'!P19+1,'第11章(発火セル合計)'!P19+1)</f>
        <v>1</v>
      </c>
      <c r="Q19" s="57">
        <f>INDEX('第11章(ルール)'!$D$3:$M$12,'第11章(森林)'!Q19+1,'第11章(発火セル合計)'!Q19+1)</f>
        <v>1</v>
      </c>
      <c r="R19" s="57">
        <f>INDEX('第11章(ルール)'!$D$3:$M$12,'第11章(森林)'!R19+1,'第11章(発火セル合計)'!R19+1)</f>
        <v>1</v>
      </c>
      <c r="S19" s="57">
        <f>INDEX('第11章(ルール)'!$D$3:$M$12,'第11章(森林)'!S19+1,'第11章(発火セル合計)'!S19+1)</f>
        <v>1</v>
      </c>
      <c r="T19" s="57">
        <f>INDEX('第11章(ルール)'!$D$3:$M$12,'第11章(森林)'!T19+1,'第11章(発火セル合計)'!T19+1)</f>
        <v>1</v>
      </c>
      <c r="U19" s="57">
        <f>INDEX('第11章(ルール)'!$D$3:$M$12,'第11章(森林)'!U19+1,'第11章(発火セル合計)'!U19+1)</f>
        <v>1</v>
      </c>
      <c r="V19" s="57">
        <f>INDEX('第11章(ルール)'!$D$3:$M$12,'第11章(森林)'!V19+1,'第11章(発火セル合計)'!V19+1)</f>
        <v>1</v>
      </c>
      <c r="W19" s="57">
        <f>INDEX('第11章(ルール)'!$D$3:$M$12,'第11章(森林)'!W19+1,'第11章(発火セル合計)'!W19+1)</f>
        <v>1</v>
      </c>
      <c r="X19" s="57">
        <f>INDEX('第11章(ルール)'!$D$3:$M$12,'第11章(森林)'!X19+1,'第11章(発火セル合計)'!X19+1)</f>
        <v>1</v>
      </c>
      <c r="Y19" s="57">
        <f>INDEX('第11章(ルール)'!$D$3:$M$12,'第11章(森林)'!Y19+1,'第11章(発火セル合計)'!Y19+1)</f>
        <v>1</v>
      </c>
      <c r="Z19" s="57">
        <f>INDEX('第11章(ルール)'!$D$3:$M$12,'第11章(森林)'!Z19+1,'第11章(発火セル合計)'!Z19+1)</f>
        <v>1</v>
      </c>
    </row>
    <row r="20" spans="2:26" ht="12" customHeight="1" x14ac:dyDescent="0.15">
      <c r="B20" s="57">
        <f>INDEX('第11章(ルール)'!$D$3:$M$12,'第11章(森林)'!B20+1,'第11章(発火セル合計)'!B20+1)</f>
        <v>1</v>
      </c>
      <c r="C20" s="57">
        <f>INDEX('第11章(ルール)'!$D$3:$M$12,'第11章(森林)'!C20+1,'第11章(発火セル合計)'!C20+1)</f>
        <v>1</v>
      </c>
      <c r="D20" s="57">
        <f>INDEX('第11章(ルール)'!$D$3:$M$12,'第11章(森林)'!D20+1,'第11章(発火セル合計)'!D20+1)</f>
        <v>1</v>
      </c>
      <c r="E20" s="57">
        <f>INDEX('第11章(ルール)'!$D$3:$M$12,'第11章(森林)'!E20+1,'第11章(発火セル合計)'!E20+1)</f>
        <v>1</v>
      </c>
      <c r="F20" s="57">
        <f>INDEX('第11章(ルール)'!$D$3:$M$12,'第11章(森林)'!F20+1,'第11章(発火セル合計)'!F20+1)</f>
        <v>1</v>
      </c>
      <c r="G20" s="57">
        <f>INDEX('第11章(ルール)'!$D$3:$M$12,'第11章(森林)'!G20+1,'第11章(発火セル合計)'!G20+1)</f>
        <v>1</v>
      </c>
      <c r="H20" s="57">
        <f>INDEX('第11章(ルール)'!$D$3:$M$12,'第11章(森林)'!H20+1,'第11章(発火セル合計)'!H20+1)</f>
        <v>1</v>
      </c>
      <c r="I20" s="57">
        <f>INDEX('第11章(ルール)'!$D$3:$M$12,'第11章(森林)'!I20+1,'第11章(発火セル合計)'!I20+1)</f>
        <v>1</v>
      </c>
      <c r="J20" s="57">
        <f>INDEX('第11章(ルール)'!$D$3:$M$12,'第11章(森林)'!J20+1,'第11章(発火セル合計)'!J20+1)</f>
        <v>1</v>
      </c>
      <c r="K20" s="57">
        <f>INDEX('第11章(ルール)'!$D$3:$M$12,'第11章(森林)'!K20+1,'第11章(発火セル合計)'!K20+1)</f>
        <v>1</v>
      </c>
      <c r="L20" s="57">
        <f>INDEX('第11章(ルール)'!$D$3:$M$12,'第11章(森林)'!L20+1,'第11章(発火セル合計)'!L20+1)</f>
        <v>1</v>
      </c>
      <c r="M20" s="57">
        <f>INDEX('第11章(ルール)'!$D$3:$M$12,'第11章(森林)'!M20+1,'第11章(発火セル合計)'!M20+1)</f>
        <v>1</v>
      </c>
      <c r="N20" s="57">
        <f>INDEX('第11章(ルール)'!$D$3:$M$12,'第11章(森林)'!N20+1,'第11章(発火セル合計)'!N20+1)</f>
        <v>1</v>
      </c>
      <c r="O20" s="57">
        <f>INDEX('第11章(ルール)'!$D$3:$M$12,'第11章(森林)'!O20+1,'第11章(発火セル合計)'!O20+1)</f>
        <v>1</v>
      </c>
      <c r="P20" s="57">
        <f>INDEX('第11章(ルール)'!$D$3:$M$12,'第11章(森林)'!P20+1,'第11章(発火セル合計)'!P20+1)</f>
        <v>1</v>
      </c>
      <c r="Q20" s="57">
        <f>INDEX('第11章(ルール)'!$D$3:$M$12,'第11章(森林)'!Q20+1,'第11章(発火セル合計)'!Q20+1)</f>
        <v>1</v>
      </c>
      <c r="R20" s="57">
        <f>INDEX('第11章(ルール)'!$D$3:$M$12,'第11章(森林)'!R20+1,'第11章(発火セル合計)'!R20+1)</f>
        <v>1</v>
      </c>
      <c r="S20" s="57">
        <f>INDEX('第11章(ルール)'!$D$3:$M$12,'第11章(森林)'!S20+1,'第11章(発火セル合計)'!S20+1)</f>
        <v>1</v>
      </c>
      <c r="T20" s="57">
        <f>INDEX('第11章(ルール)'!$D$3:$M$12,'第11章(森林)'!T20+1,'第11章(発火セル合計)'!T20+1)</f>
        <v>1</v>
      </c>
      <c r="U20" s="57">
        <f>INDEX('第11章(ルール)'!$D$3:$M$12,'第11章(森林)'!U20+1,'第11章(発火セル合計)'!U20+1)</f>
        <v>1</v>
      </c>
      <c r="V20" s="57">
        <f>INDEX('第11章(ルール)'!$D$3:$M$12,'第11章(森林)'!V20+1,'第11章(発火セル合計)'!V20+1)</f>
        <v>1</v>
      </c>
      <c r="W20" s="57">
        <f>INDEX('第11章(ルール)'!$D$3:$M$12,'第11章(森林)'!W20+1,'第11章(発火セル合計)'!W20+1)</f>
        <v>1</v>
      </c>
      <c r="X20" s="57">
        <f>INDEX('第11章(ルール)'!$D$3:$M$12,'第11章(森林)'!X20+1,'第11章(発火セル合計)'!X20+1)</f>
        <v>1</v>
      </c>
      <c r="Y20" s="57">
        <f>INDEX('第11章(ルール)'!$D$3:$M$12,'第11章(森林)'!Y20+1,'第11章(発火セル合計)'!Y20+1)</f>
        <v>1</v>
      </c>
      <c r="Z20" s="57">
        <f>INDEX('第11章(ルール)'!$D$3:$M$12,'第11章(森林)'!Z20+1,'第11章(発火セル合計)'!Z20+1)</f>
        <v>1</v>
      </c>
    </row>
    <row r="21" spans="2:26" ht="12" customHeight="1" x14ac:dyDescent="0.15">
      <c r="B21" s="57">
        <f>INDEX('第11章(ルール)'!$D$3:$M$12,'第11章(森林)'!B21+1,'第11章(発火セル合計)'!B21+1)</f>
        <v>1</v>
      </c>
      <c r="C21" s="57">
        <f>INDEX('第11章(ルール)'!$D$3:$M$12,'第11章(森林)'!C21+1,'第11章(発火セル合計)'!C21+1)</f>
        <v>1</v>
      </c>
      <c r="D21" s="57">
        <f>INDEX('第11章(ルール)'!$D$3:$M$12,'第11章(森林)'!D21+1,'第11章(発火セル合計)'!D21+1)</f>
        <v>1</v>
      </c>
      <c r="E21" s="57">
        <f>INDEX('第11章(ルール)'!$D$3:$M$12,'第11章(森林)'!E21+1,'第11章(発火セル合計)'!E21+1)</f>
        <v>1</v>
      </c>
      <c r="F21" s="57">
        <f>INDEX('第11章(ルール)'!$D$3:$M$12,'第11章(森林)'!F21+1,'第11章(発火セル合計)'!F21+1)</f>
        <v>1</v>
      </c>
      <c r="G21" s="57">
        <f>INDEX('第11章(ルール)'!$D$3:$M$12,'第11章(森林)'!G21+1,'第11章(発火セル合計)'!G21+1)</f>
        <v>1</v>
      </c>
      <c r="H21" s="57">
        <f>INDEX('第11章(ルール)'!$D$3:$M$12,'第11章(森林)'!H21+1,'第11章(発火セル合計)'!H21+1)</f>
        <v>1</v>
      </c>
      <c r="I21" s="57">
        <f>INDEX('第11章(ルール)'!$D$3:$M$12,'第11章(森林)'!I21+1,'第11章(発火セル合計)'!I21+1)</f>
        <v>1</v>
      </c>
      <c r="J21" s="57">
        <f>INDEX('第11章(ルール)'!$D$3:$M$12,'第11章(森林)'!J21+1,'第11章(発火セル合計)'!J21+1)</f>
        <v>1</v>
      </c>
      <c r="K21" s="57">
        <f>INDEX('第11章(ルール)'!$D$3:$M$12,'第11章(森林)'!K21+1,'第11章(発火セル合計)'!K21+1)</f>
        <v>1</v>
      </c>
      <c r="L21" s="57">
        <f>INDEX('第11章(ルール)'!$D$3:$M$12,'第11章(森林)'!L21+1,'第11章(発火セル合計)'!L21+1)</f>
        <v>1</v>
      </c>
      <c r="M21" s="57">
        <f>INDEX('第11章(ルール)'!$D$3:$M$12,'第11章(森林)'!M21+1,'第11章(発火セル合計)'!M21+1)</f>
        <v>1</v>
      </c>
      <c r="N21" s="57">
        <f>INDEX('第11章(ルール)'!$D$3:$M$12,'第11章(森林)'!N21+1,'第11章(発火セル合計)'!N21+1)</f>
        <v>1</v>
      </c>
      <c r="O21" s="57">
        <f>INDEX('第11章(ルール)'!$D$3:$M$12,'第11章(森林)'!O21+1,'第11章(発火セル合計)'!O21+1)</f>
        <v>1</v>
      </c>
      <c r="P21" s="57">
        <f>INDEX('第11章(ルール)'!$D$3:$M$12,'第11章(森林)'!P21+1,'第11章(発火セル合計)'!P21+1)</f>
        <v>1</v>
      </c>
      <c r="Q21" s="57">
        <f>INDEX('第11章(ルール)'!$D$3:$M$12,'第11章(森林)'!Q21+1,'第11章(発火セル合計)'!Q21+1)</f>
        <v>1</v>
      </c>
      <c r="R21" s="57">
        <f>INDEX('第11章(ルール)'!$D$3:$M$12,'第11章(森林)'!R21+1,'第11章(発火セル合計)'!R21+1)</f>
        <v>1</v>
      </c>
      <c r="S21" s="57">
        <f>INDEX('第11章(ルール)'!$D$3:$M$12,'第11章(森林)'!S21+1,'第11章(発火セル合計)'!S21+1)</f>
        <v>1</v>
      </c>
      <c r="T21" s="57">
        <f>INDEX('第11章(ルール)'!$D$3:$M$12,'第11章(森林)'!T21+1,'第11章(発火セル合計)'!T21+1)</f>
        <v>1</v>
      </c>
      <c r="U21" s="57">
        <f>INDEX('第11章(ルール)'!$D$3:$M$12,'第11章(森林)'!U21+1,'第11章(発火セル合計)'!U21+1)</f>
        <v>1</v>
      </c>
      <c r="V21" s="57">
        <f>INDEX('第11章(ルール)'!$D$3:$M$12,'第11章(森林)'!V21+1,'第11章(発火セル合計)'!V21+1)</f>
        <v>1</v>
      </c>
      <c r="W21" s="57">
        <f>INDEX('第11章(ルール)'!$D$3:$M$12,'第11章(森林)'!W21+1,'第11章(発火セル合計)'!W21+1)</f>
        <v>1</v>
      </c>
      <c r="X21" s="57">
        <f>INDEX('第11章(ルール)'!$D$3:$M$12,'第11章(森林)'!X21+1,'第11章(発火セル合計)'!X21+1)</f>
        <v>1</v>
      </c>
      <c r="Y21" s="57">
        <f>INDEX('第11章(ルール)'!$D$3:$M$12,'第11章(森林)'!Y21+1,'第11章(発火セル合計)'!Y21+1)</f>
        <v>1</v>
      </c>
      <c r="Z21" s="57">
        <f>INDEX('第11章(ルール)'!$D$3:$M$12,'第11章(森林)'!Z21+1,'第11章(発火セル合計)'!Z21+1)</f>
        <v>1</v>
      </c>
    </row>
    <row r="22" spans="2:26" ht="12" customHeight="1" x14ac:dyDescent="0.15">
      <c r="B22" s="57">
        <f>INDEX('第11章(ルール)'!$D$3:$M$12,'第11章(森林)'!B22+1,'第11章(発火セル合計)'!B22+1)</f>
        <v>1</v>
      </c>
      <c r="C22" s="57">
        <f>INDEX('第11章(ルール)'!$D$3:$M$12,'第11章(森林)'!C22+1,'第11章(発火セル合計)'!C22+1)</f>
        <v>1</v>
      </c>
      <c r="D22" s="57">
        <f>INDEX('第11章(ルール)'!$D$3:$M$12,'第11章(森林)'!D22+1,'第11章(発火セル合計)'!D22+1)</f>
        <v>1</v>
      </c>
      <c r="E22" s="57">
        <f>INDEX('第11章(ルール)'!$D$3:$M$12,'第11章(森林)'!E22+1,'第11章(発火セル合計)'!E22+1)</f>
        <v>1</v>
      </c>
      <c r="F22" s="57">
        <f>INDEX('第11章(ルール)'!$D$3:$M$12,'第11章(森林)'!F22+1,'第11章(発火セル合計)'!F22+1)</f>
        <v>1</v>
      </c>
      <c r="G22" s="57">
        <f>INDEX('第11章(ルール)'!$D$3:$M$12,'第11章(森林)'!G22+1,'第11章(発火セル合計)'!G22+1)</f>
        <v>1</v>
      </c>
      <c r="H22" s="57">
        <f>INDEX('第11章(ルール)'!$D$3:$M$12,'第11章(森林)'!H22+1,'第11章(発火セル合計)'!H22+1)</f>
        <v>1</v>
      </c>
      <c r="I22" s="57">
        <f>INDEX('第11章(ルール)'!$D$3:$M$12,'第11章(森林)'!I22+1,'第11章(発火セル合計)'!I22+1)</f>
        <v>1</v>
      </c>
      <c r="J22" s="57">
        <f>INDEX('第11章(ルール)'!$D$3:$M$12,'第11章(森林)'!J22+1,'第11章(発火セル合計)'!J22+1)</f>
        <v>1</v>
      </c>
      <c r="K22" s="57">
        <f>INDEX('第11章(ルール)'!$D$3:$M$12,'第11章(森林)'!K22+1,'第11章(発火セル合計)'!K22+1)</f>
        <v>1</v>
      </c>
      <c r="L22" s="57">
        <f>INDEX('第11章(ルール)'!$D$3:$M$12,'第11章(森林)'!L22+1,'第11章(発火セル合計)'!L22+1)</f>
        <v>1</v>
      </c>
      <c r="M22" s="57">
        <f>INDEX('第11章(ルール)'!$D$3:$M$12,'第11章(森林)'!M22+1,'第11章(発火セル合計)'!M22+1)</f>
        <v>1</v>
      </c>
      <c r="N22" s="57">
        <f>INDEX('第11章(ルール)'!$D$3:$M$12,'第11章(森林)'!N22+1,'第11章(発火セル合計)'!N22+1)</f>
        <v>1</v>
      </c>
      <c r="O22" s="57">
        <f>INDEX('第11章(ルール)'!$D$3:$M$12,'第11章(森林)'!O22+1,'第11章(発火セル合計)'!O22+1)</f>
        <v>1</v>
      </c>
      <c r="P22" s="57">
        <f>INDEX('第11章(ルール)'!$D$3:$M$12,'第11章(森林)'!P22+1,'第11章(発火セル合計)'!P22+1)</f>
        <v>1</v>
      </c>
      <c r="Q22" s="57">
        <f>INDEX('第11章(ルール)'!$D$3:$M$12,'第11章(森林)'!Q22+1,'第11章(発火セル合計)'!Q22+1)</f>
        <v>1</v>
      </c>
      <c r="R22" s="57">
        <f>INDEX('第11章(ルール)'!$D$3:$M$12,'第11章(森林)'!R22+1,'第11章(発火セル合計)'!R22+1)</f>
        <v>1</v>
      </c>
      <c r="S22" s="57">
        <f>INDEX('第11章(ルール)'!$D$3:$M$12,'第11章(森林)'!S22+1,'第11章(発火セル合計)'!S22+1)</f>
        <v>1</v>
      </c>
      <c r="T22" s="57">
        <f>INDEX('第11章(ルール)'!$D$3:$M$12,'第11章(森林)'!T22+1,'第11章(発火セル合計)'!T22+1)</f>
        <v>1</v>
      </c>
      <c r="U22" s="57">
        <f>INDEX('第11章(ルール)'!$D$3:$M$12,'第11章(森林)'!U22+1,'第11章(発火セル合計)'!U22+1)</f>
        <v>1</v>
      </c>
      <c r="V22" s="57">
        <f>INDEX('第11章(ルール)'!$D$3:$M$12,'第11章(森林)'!V22+1,'第11章(発火セル合計)'!V22+1)</f>
        <v>1</v>
      </c>
      <c r="W22" s="57">
        <f>INDEX('第11章(ルール)'!$D$3:$M$12,'第11章(森林)'!W22+1,'第11章(発火セル合計)'!W22+1)</f>
        <v>1</v>
      </c>
      <c r="X22" s="57">
        <f>INDEX('第11章(ルール)'!$D$3:$M$12,'第11章(森林)'!X22+1,'第11章(発火セル合計)'!X22+1)</f>
        <v>1</v>
      </c>
      <c r="Y22" s="57">
        <f>INDEX('第11章(ルール)'!$D$3:$M$12,'第11章(森林)'!Y22+1,'第11章(発火セル合計)'!Y22+1)</f>
        <v>1</v>
      </c>
      <c r="Z22" s="57">
        <f>INDEX('第11章(ルール)'!$D$3:$M$12,'第11章(森林)'!Z22+1,'第11章(発火セル合計)'!Z22+1)</f>
        <v>1</v>
      </c>
    </row>
    <row r="23" spans="2:26" ht="12" customHeight="1" x14ac:dyDescent="0.15">
      <c r="B23" s="57">
        <f>INDEX('第11章(ルール)'!$D$3:$M$12,'第11章(森林)'!B23+1,'第11章(発火セル合計)'!B23+1)</f>
        <v>1</v>
      </c>
      <c r="C23" s="57">
        <f>INDEX('第11章(ルール)'!$D$3:$M$12,'第11章(森林)'!C23+1,'第11章(発火セル合計)'!C23+1)</f>
        <v>1</v>
      </c>
      <c r="D23" s="57">
        <f>INDEX('第11章(ルール)'!$D$3:$M$12,'第11章(森林)'!D23+1,'第11章(発火セル合計)'!D23+1)</f>
        <v>1</v>
      </c>
      <c r="E23" s="57">
        <f>INDEX('第11章(ルール)'!$D$3:$M$12,'第11章(森林)'!E23+1,'第11章(発火セル合計)'!E23+1)</f>
        <v>1</v>
      </c>
      <c r="F23" s="57">
        <f>INDEX('第11章(ルール)'!$D$3:$M$12,'第11章(森林)'!F23+1,'第11章(発火セル合計)'!F23+1)</f>
        <v>1</v>
      </c>
      <c r="G23" s="57">
        <f>INDEX('第11章(ルール)'!$D$3:$M$12,'第11章(森林)'!G23+1,'第11章(発火セル合計)'!G23+1)</f>
        <v>1</v>
      </c>
      <c r="H23" s="57">
        <f>INDEX('第11章(ルール)'!$D$3:$M$12,'第11章(森林)'!H23+1,'第11章(発火セル合計)'!H23+1)</f>
        <v>1</v>
      </c>
      <c r="I23" s="57">
        <f>INDEX('第11章(ルール)'!$D$3:$M$12,'第11章(森林)'!I23+1,'第11章(発火セル合計)'!I23+1)</f>
        <v>1</v>
      </c>
      <c r="J23" s="57">
        <f>INDEX('第11章(ルール)'!$D$3:$M$12,'第11章(森林)'!J23+1,'第11章(発火セル合計)'!J23+1)</f>
        <v>1</v>
      </c>
      <c r="K23" s="57">
        <f>INDEX('第11章(ルール)'!$D$3:$M$12,'第11章(森林)'!K23+1,'第11章(発火セル合計)'!K23+1)</f>
        <v>1</v>
      </c>
      <c r="L23" s="57">
        <f>INDEX('第11章(ルール)'!$D$3:$M$12,'第11章(森林)'!L23+1,'第11章(発火セル合計)'!L23+1)</f>
        <v>1</v>
      </c>
      <c r="M23" s="57">
        <f>INDEX('第11章(ルール)'!$D$3:$M$12,'第11章(森林)'!M23+1,'第11章(発火セル合計)'!M23+1)</f>
        <v>1</v>
      </c>
      <c r="N23" s="57">
        <f>INDEX('第11章(ルール)'!$D$3:$M$12,'第11章(森林)'!N23+1,'第11章(発火セル合計)'!N23+1)</f>
        <v>1</v>
      </c>
      <c r="O23" s="57">
        <f>INDEX('第11章(ルール)'!$D$3:$M$12,'第11章(森林)'!O23+1,'第11章(発火セル合計)'!O23+1)</f>
        <v>1</v>
      </c>
      <c r="P23" s="57">
        <f>INDEX('第11章(ルール)'!$D$3:$M$12,'第11章(森林)'!P23+1,'第11章(発火セル合計)'!P23+1)</f>
        <v>1</v>
      </c>
      <c r="Q23" s="57">
        <f>INDEX('第11章(ルール)'!$D$3:$M$12,'第11章(森林)'!Q23+1,'第11章(発火セル合計)'!Q23+1)</f>
        <v>1</v>
      </c>
      <c r="R23" s="57">
        <f>INDEX('第11章(ルール)'!$D$3:$M$12,'第11章(森林)'!R23+1,'第11章(発火セル合計)'!R23+1)</f>
        <v>1</v>
      </c>
      <c r="S23" s="57">
        <f>INDEX('第11章(ルール)'!$D$3:$M$12,'第11章(森林)'!S23+1,'第11章(発火セル合計)'!S23+1)</f>
        <v>1</v>
      </c>
      <c r="T23" s="57">
        <f>INDEX('第11章(ルール)'!$D$3:$M$12,'第11章(森林)'!T23+1,'第11章(発火セル合計)'!T23+1)</f>
        <v>1</v>
      </c>
      <c r="U23" s="57">
        <f>INDEX('第11章(ルール)'!$D$3:$M$12,'第11章(森林)'!U23+1,'第11章(発火セル合計)'!U23+1)</f>
        <v>1</v>
      </c>
      <c r="V23" s="57">
        <f>INDEX('第11章(ルール)'!$D$3:$M$12,'第11章(森林)'!V23+1,'第11章(発火セル合計)'!V23+1)</f>
        <v>1</v>
      </c>
      <c r="W23" s="57">
        <f>INDEX('第11章(ルール)'!$D$3:$M$12,'第11章(森林)'!W23+1,'第11章(発火セル合計)'!W23+1)</f>
        <v>1</v>
      </c>
      <c r="X23" s="57">
        <f>INDEX('第11章(ルール)'!$D$3:$M$12,'第11章(森林)'!X23+1,'第11章(発火セル合計)'!X23+1)</f>
        <v>1</v>
      </c>
      <c r="Y23" s="57">
        <f>INDEX('第11章(ルール)'!$D$3:$M$12,'第11章(森林)'!Y23+1,'第11章(発火セル合計)'!Y23+1)</f>
        <v>1</v>
      </c>
      <c r="Z23" s="57">
        <f>INDEX('第11章(ルール)'!$D$3:$M$12,'第11章(森林)'!Z23+1,'第11章(発火セル合計)'!Z23+1)</f>
        <v>1</v>
      </c>
    </row>
    <row r="24" spans="2:26" ht="12" customHeight="1" x14ac:dyDescent="0.15">
      <c r="B24" s="57">
        <f>INDEX('第11章(ルール)'!$D$3:$M$12,'第11章(森林)'!B24+1,'第11章(発火セル合計)'!B24+1)</f>
        <v>1</v>
      </c>
      <c r="C24" s="57">
        <f>INDEX('第11章(ルール)'!$D$3:$M$12,'第11章(森林)'!C24+1,'第11章(発火セル合計)'!C24+1)</f>
        <v>1</v>
      </c>
      <c r="D24" s="57">
        <f>INDEX('第11章(ルール)'!$D$3:$M$12,'第11章(森林)'!D24+1,'第11章(発火セル合計)'!D24+1)</f>
        <v>1</v>
      </c>
      <c r="E24" s="57">
        <f>INDEX('第11章(ルール)'!$D$3:$M$12,'第11章(森林)'!E24+1,'第11章(発火セル合計)'!E24+1)</f>
        <v>1</v>
      </c>
      <c r="F24" s="57">
        <f>INDEX('第11章(ルール)'!$D$3:$M$12,'第11章(森林)'!F24+1,'第11章(発火セル合計)'!F24+1)</f>
        <v>1</v>
      </c>
      <c r="G24" s="57">
        <f>INDEX('第11章(ルール)'!$D$3:$M$12,'第11章(森林)'!G24+1,'第11章(発火セル合計)'!G24+1)</f>
        <v>1</v>
      </c>
      <c r="H24" s="57">
        <f>INDEX('第11章(ルール)'!$D$3:$M$12,'第11章(森林)'!H24+1,'第11章(発火セル合計)'!H24+1)</f>
        <v>1</v>
      </c>
      <c r="I24" s="57">
        <f>INDEX('第11章(ルール)'!$D$3:$M$12,'第11章(森林)'!I24+1,'第11章(発火セル合計)'!I24+1)</f>
        <v>1</v>
      </c>
      <c r="J24" s="57">
        <f>INDEX('第11章(ルール)'!$D$3:$M$12,'第11章(森林)'!J24+1,'第11章(発火セル合計)'!J24+1)</f>
        <v>1</v>
      </c>
      <c r="K24" s="57">
        <f>INDEX('第11章(ルール)'!$D$3:$M$12,'第11章(森林)'!K24+1,'第11章(発火セル合計)'!K24+1)</f>
        <v>1</v>
      </c>
      <c r="L24" s="57">
        <f>INDEX('第11章(ルール)'!$D$3:$M$12,'第11章(森林)'!L24+1,'第11章(発火セル合計)'!L24+1)</f>
        <v>1</v>
      </c>
      <c r="M24" s="57">
        <f>INDEX('第11章(ルール)'!$D$3:$M$12,'第11章(森林)'!M24+1,'第11章(発火セル合計)'!M24+1)</f>
        <v>1</v>
      </c>
      <c r="N24" s="57">
        <f>INDEX('第11章(ルール)'!$D$3:$M$12,'第11章(森林)'!N24+1,'第11章(発火セル合計)'!N24+1)</f>
        <v>1</v>
      </c>
      <c r="O24" s="57">
        <f>INDEX('第11章(ルール)'!$D$3:$M$12,'第11章(森林)'!O24+1,'第11章(発火セル合計)'!O24+1)</f>
        <v>1</v>
      </c>
      <c r="P24" s="57">
        <f>INDEX('第11章(ルール)'!$D$3:$M$12,'第11章(森林)'!P24+1,'第11章(発火セル合計)'!P24+1)</f>
        <v>1</v>
      </c>
      <c r="Q24" s="57">
        <f>INDEX('第11章(ルール)'!$D$3:$M$12,'第11章(森林)'!Q24+1,'第11章(発火セル合計)'!Q24+1)</f>
        <v>1</v>
      </c>
      <c r="R24" s="57">
        <f>INDEX('第11章(ルール)'!$D$3:$M$12,'第11章(森林)'!R24+1,'第11章(発火セル合計)'!R24+1)</f>
        <v>1</v>
      </c>
      <c r="S24" s="57">
        <f>INDEX('第11章(ルール)'!$D$3:$M$12,'第11章(森林)'!S24+1,'第11章(発火セル合計)'!S24+1)</f>
        <v>1</v>
      </c>
      <c r="T24" s="57">
        <f>INDEX('第11章(ルール)'!$D$3:$M$12,'第11章(森林)'!T24+1,'第11章(発火セル合計)'!T24+1)</f>
        <v>1</v>
      </c>
      <c r="U24" s="57">
        <f>INDEX('第11章(ルール)'!$D$3:$M$12,'第11章(森林)'!U24+1,'第11章(発火セル合計)'!U24+1)</f>
        <v>1</v>
      </c>
      <c r="V24" s="57">
        <f>INDEX('第11章(ルール)'!$D$3:$M$12,'第11章(森林)'!V24+1,'第11章(発火セル合計)'!V24+1)</f>
        <v>1</v>
      </c>
      <c r="W24" s="57">
        <f>INDEX('第11章(ルール)'!$D$3:$M$12,'第11章(森林)'!W24+1,'第11章(発火セル合計)'!W24+1)</f>
        <v>1</v>
      </c>
      <c r="X24" s="57">
        <f>INDEX('第11章(ルール)'!$D$3:$M$12,'第11章(森林)'!X24+1,'第11章(発火セル合計)'!X24+1)</f>
        <v>1</v>
      </c>
      <c r="Y24" s="57">
        <f>INDEX('第11章(ルール)'!$D$3:$M$12,'第11章(森林)'!Y24+1,'第11章(発火セル合計)'!Y24+1)</f>
        <v>1</v>
      </c>
      <c r="Z24" s="57">
        <f>INDEX('第11章(ルール)'!$D$3:$M$12,'第11章(森林)'!Z24+1,'第11章(発火セル合計)'!Z24+1)</f>
        <v>1</v>
      </c>
    </row>
    <row r="25" spans="2:26" ht="12" customHeight="1" x14ac:dyDescent="0.15">
      <c r="B25" s="57">
        <f>INDEX('第11章(ルール)'!$D$3:$M$12,'第11章(森林)'!B25+1,'第11章(発火セル合計)'!B25+1)</f>
        <v>1</v>
      </c>
      <c r="C25" s="57">
        <f>INDEX('第11章(ルール)'!$D$3:$M$12,'第11章(森林)'!C25+1,'第11章(発火セル合計)'!C25+1)</f>
        <v>1</v>
      </c>
      <c r="D25" s="57">
        <f>INDEX('第11章(ルール)'!$D$3:$M$12,'第11章(森林)'!D25+1,'第11章(発火セル合計)'!D25+1)</f>
        <v>1</v>
      </c>
      <c r="E25" s="57">
        <f>INDEX('第11章(ルール)'!$D$3:$M$12,'第11章(森林)'!E25+1,'第11章(発火セル合計)'!E25+1)</f>
        <v>1</v>
      </c>
      <c r="F25" s="57">
        <f>INDEX('第11章(ルール)'!$D$3:$M$12,'第11章(森林)'!F25+1,'第11章(発火セル合計)'!F25+1)</f>
        <v>1</v>
      </c>
      <c r="G25" s="57">
        <f>INDEX('第11章(ルール)'!$D$3:$M$12,'第11章(森林)'!G25+1,'第11章(発火セル合計)'!G25+1)</f>
        <v>1</v>
      </c>
      <c r="H25" s="57">
        <f>INDEX('第11章(ルール)'!$D$3:$M$12,'第11章(森林)'!H25+1,'第11章(発火セル合計)'!H25+1)</f>
        <v>1</v>
      </c>
      <c r="I25" s="57">
        <f>INDEX('第11章(ルール)'!$D$3:$M$12,'第11章(森林)'!I25+1,'第11章(発火セル合計)'!I25+1)</f>
        <v>1</v>
      </c>
      <c r="J25" s="57">
        <f>INDEX('第11章(ルール)'!$D$3:$M$12,'第11章(森林)'!J25+1,'第11章(発火セル合計)'!J25+1)</f>
        <v>1</v>
      </c>
      <c r="K25" s="57">
        <f>INDEX('第11章(ルール)'!$D$3:$M$12,'第11章(森林)'!K25+1,'第11章(発火セル合計)'!K25+1)</f>
        <v>1</v>
      </c>
      <c r="L25" s="57">
        <f>INDEX('第11章(ルール)'!$D$3:$M$12,'第11章(森林)'!L25+1,'第11章(発火セル合計)'!L25+1)</f>
        <v>1</v>
      </c>
      <c r="M25" s="57">
        <f>INDEX('第11章(ルール)'!$D$3:$M$12,'第11章(森林)'!M25+1,'第11章(発火セル合計)'!M25+1)</f>
        <v>1</v>
      </c>
      <c r="N25" s="57">
        <f>INDEX('第11章(ルール)'!$D$3:$M$12,'第11章(森林)'!N25+1,'第11章(発火セル合計)'!N25+1)</f>
        <v>1</v>
      </c>
      <c r="O25" s="57">
        <f>INDEX('第11章(ルール)'!$D$3:$M$12,'第11章(森林)'!O25+1,'第11章(発火セル合計)'!O25+1)</f>
        <v>1</v>
      </c>
      <c r="P25" s="57">
        <f>INDEX('第11章(ルール)'!$D$3:$M$12,'第11章(森林)'!P25+1,'第11章(発火セル合計)'!P25+1)</f>
        <v>1</v>
      </c>
      <c r="Q25" s="57">
        <f>INDEX('第11章(ルール)'!$D$3:$M$12,'第11章(森林)'!Q25+1,'第11章(発火セル合計)'!Q25+1)</f>
        <v>1</v>
      </c>
      <c r="R25" s="57">
        <f>INDEX('第11章(ルール)'!$D$3:$M$12,'第11章(森林)'!R25+1,'第11章(発火セル合計)'!R25+1)</f>
        <v>1</v>
      </c>
      <c r="S25" s="57">
        <f>INDEX('第11章(ルール)'!$D$3:$M$12,'第11章(森林)'!S25+1,'第11章(発火セル合計)'!S25+1)</f>
        <v>1</v>
      </c>
      <c r="T25" s="57">
        <f>INDEX('第11章(ルール)'!$D$3:$M$12,'第11章(森林)'!T25+1,'第11章(発火セル合計)'!T25+1)</f>
        <v>1</v>
      </c>
      <c r="U25" s="57">
        <f>INDEX('第11章(ルール)'!$D$3:$M$12,'第11章(森林)'!U25+1,'第11章(発火セル合計)'!U25+1)</f>
        <v>1</v>
      </c>
      <c r="V25" s="57">
        <f>INDEX('第11章(ルール)'!$D$3:$M$12,'第11章(森林)'!V25+1,'第11章(発火セル合計)'!V25+1)</f>
        <v>1</v>
      </c>
      <c r="W25" s="57">
        <f>INDEX('第11章(ルール)'!$D$3:$M$12,'第11章(森林)'!W25+1,'第11章(発火セル合計)'!W25+1)</f>
        <v>1</v>
      </c>
      <c r="X25" s="57">
        <f>INDEX('第11章(ルール)'!$D$3:$M$12,'第11章(森林)'!X25+1,'第11章(発火セル合計)'!X25+1)</f>
        <v>1</v>
      </c>
      <c r="Y25" s="57">
        <f>INDEX('第11章(ルール)'!$D$3:$M$12,'第11章(森林)'!Y25+1,'第11章(発火セル合計)'!Y25+1)</f>
        <v>1</v>
      </c>
      <c r="Z25" s="57">
        <f>INDEX('第11章(ルール)'!$D$3:$M$12,'第11章(森林)'!Z25+1,'第11章(発火セル合計)'!Z25+1)</f>
        <v>1</v>
      </c>
    </row>
    <row r="26" spans="2:26" ht="12" customHeight="1" x14ac:dyDescent="0.15">
      <c r="B26" s="57">
        <f>INDEX('第11章(ルール)'!$D$3:$M$12,'第11章(森林)'!B26+1,'第11章(発火セル合計)'!B26+1)</f>
        <v>1</v>
      </c>
      <c r="C26" s="57">
        <f>INDEX('第11章(ルール)'!$D$3:$M$12,'第11章(森林)'!C26+1,'第11章(発火セル合計)'!C26+1)</f>
        <v>1</v>
      </c>
      <c r="D26" s="57">
        <f>INDEX('第11章(ルール)'!$D$3:$M$12,'第11章(森林)'!D26+1,'第11章(発火セル合計)'!D26+1)</f>
        <v>1</v>
      </c>
      <c r="E26" s="57">
        <f>INDEX('第11章(ルール)'!$D$3:$M$12,'第11章(森林)'!E26+1,'第11章(発火セル合計)'!E26+1)</f>
        <v>1</v>
      </c>
      <c r="F26" s="57">
        <f>INDEX('第11章(ルール)'!$D$3:$M$12,'第11章(森林)'!F26+1,'第11章(発火セル合計)'!F26+1)</f>
        <v>1</v>
      </c>
      <c r="G26" s="57">
        <f>INDEX('第11章(ルール)'!$D$3:$M$12,'第11章(森林)'!G26+1,'第11章(発火セル合計)'!G26+1)</f>
        <v>1</v>
      </c>
      <c r="H26" s="57">
        <f>INDEX('第11章(ルール)'!$D$3:$M$12,'第11章(森林)'!H26+1,'第11章(発火セル合計)'!H26+1)</f>
        <v>1</v>
      </c>
      <c r="I26" s="57">
        <f>INDEX('第11章(ルール)'!$D$3:$M$12,'第11章(森林)'!I26+1,'第11章(発火セル合計)'!I26+1)</f>
        <v>1</v>
      </c>
      <c r="J26" s="57">
        <f>INDEX('第11章(ルール)'!$D$3:$M$12,'第11章(森林)'!J26+1,'第11章(発火セル合計)'!J26+1)</f>
        <v>1</v>
      </c>
      <c r="K26" s="57">
        <f>INDEX('第11章(ルール)'!$D$3:$M$12,'第11章(森林)'!K26+1,'第11章(発火セル合計)'!K26+1)</f>
        <v>1</v>
      </c>
      <c r="L26" s="57">
        <f>INDEX('第11章(ルール)'!$D$3:$M$12,'第11章(森林)'!L26+1,'第11章(発火セル合計)'!L26+1)</f>
        <v>1</v>
      </c>
      <c r="M26" s="57">
        <f>INDEX('第11章(ルール)'!$D$3:$M$12,'第11章(森林)'!M26+1,'第11章(発火セル合計)'!M26+1)</f>
        <v>1</v>
      </c>
      <c r="N26" s="57">
        <f>INDEX('第11章(ルール)'!$D$3:$M$12,'第11章(森林)'!N26+1,'第11章(発火セル合計)'!N26+1)</f>
        <v>1</v>
      </c>
      <c r="O26" s="57">
        <f>INDEX('第11章(ルール)'!$D$3:$M$12,'第11章(森林)'!O26+1,'第11章(発火セル合計)'!O26+1)</f>
        <v>1</v>
      </c>
      <c r="P26" s="57">
        <f>INDEX('第11章(ルール)'!$D$3:$M$12,'第11章(森林)'!P26+1,'第11章(発火セル合計)'!P26+1)</f>
        <v>1</v>
      </c>
      <c r="Q26" s="57">
        <f>INDEX('第11章(ルール)'!$D$3:$M$12,'第11章(森林)'!Q26+1,'第11章(発火セル合計)'!Q26+1)</f>
        <v>1</v>
      </c>
      <c r="R26" s="57">
        <f>INDEX('第11章(ルール)'!$D$3:$M$12,'第11章(森林)'!R26+1,'第11章(発火セル合計)'!R26+1)</f>
        <v>1</v>
      </c>
      <c r="S26" s="57">
        <f>INDEX('第11章(ルール)'!$D$3:$M$12,'第11章(森林)'!S26+1,'第11章(発火セル合計)'!S26+1)</f>
        <v>1</v>
      </c>
      <c r="T26" s="57">
        <f>INDEX('第11章(ルール)'!$D$3:$M$12,'第11章(森林)'!T26+1,'第11章(発火セル合計)'!T26+1)</f>
        <v>1</v>
      </c>
      <c r="U26" s="57">
        <f>INDEX('第11章(ルール)'!$D$3:$M$12,'第11章(森林)'!U26+1,'第11章(発火セル合計)'!U26+1)</f>
        <v>1</v>
      </c>
      <c r="V26" s="57">
        <f>INDEX('第11章(ルール)'!$D$3:$M$12,'第11章(森林)'!V26+1,'第11章(発火セル合計)'!V26+1)</f>
        <v>1</v>
      </c>
      <c r="W26" s="57">
        <f>INDEX('第11章(ルール)'!$D$3:$M$12,'第11章(森林)'!W26+1,'第11章(発火セル合計)'!W26+1)</f>
        <v>1</v>
      </c>
      <c r="X26" s="57">
        <f>INDEX('第11章(ルール)'!$D$3:$M$12,'第11章(森林)'!X26+1,'第11章(発火セル合計)'!X26+1)</f>
        <v>1</v>
      </c>
      <c r="Y26" s="57">
        <f>INDEX('第11章(ルール)'!$D$3:$M$12,'第11章(森林)'!Y26+1,'第11章(発火セル合計)'!Y26+1)</f>
        <v>1</v>
      </c>
      <c r="Z26" s="57">
        <f>INDEX('第11章(ルール)'!$D$3:$M$12,'第11章(森林)'!Z26+1,'第11章(発火セル合計)'!Z26+1)</f>
        <v>1</v>
      </c>
    </row>
  </sheetData>
  <phoneticPr fontId="1"/>
  <conditionalFormatting sqref="B2:Z26">
    <cfRule type="cellIs" dxfId="16" priority="3" operator="between">
      <formula>1</formula>
      <formula>4</formula>
    </cfRule>
    <cfRule type="cellIs" dxfId="17" priority="2" operator="between">
      <formula>5</formula>
      <formula>8</formula>
    </cfRule>
    <cfRule type="cellIs" dxfId="18" priority="1" operator="equal">
      <formula>9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Z26"/>
  <sheetViews>
    <sheetView workbookViewId="0"/>
  </sheetViews>
  <sheetFormatPr defaultRowHeight="12" customHeight="1" x14ac:dyDescent="0.15"/>
  <cols>
    <col min="1" max="40" width="2.125" customWidth="1"/>
  </cols>
  <sheetData>
    <row r="2" spans="2:26" ht="12" customHeight="1" x14ac:dyDescent="0.15">
      <c r="B2" s="57">
        <f>COUNTIF('第11章(森林)'!A1:C3,"&gt;=5")-COUNTIF('第11章(森林)'!A1:C3,"&gt;8")</f>
        <v>0</v>
      </c>
      <c r="C2" s="57">
        <f>COUNTIF('第11章(森林)'!B1:D3,"&gt;=5")-COUNTIF('第11章(森林)'!B1:D3,"&gt;8")</f>
        <v>0</v>
      </c>
      <c r="D2" s="57">
        <f>COUNTIF('第11章(森林)'!C1:E3,"&gt;=5")-COUNTIF('第11章(森林)'!C1:E3,"&gt;8")</f>
        <v>0</v>
      </c>
      <c r="E2" s="57">
        <f>COUNTIF('第11章(森林)'!D1:F3,"&gt;=5")-COUNTIF('第11章(森林)'!D1:F3,"&gt;8")</f>
        <v>0</v>
      </c>
      <c r="F2" s="57">
        <f>COUNTIF('第11章(森林)'!E1:G3,"&gt;=5")-COUNTIF('第11章(森林)'!E1:G3,"&gt;8")</f>
        <v>0</v>
      </c>
      <c r="G2" s="57">
        <f>COUNTIF('第11章(森林)'!F1:H3,"&gt;=5")-COUNTIF('第11章(森林)'!F1:H3,"&gt;8")</f>
        <v>0</v>
      </c>
      <c r="H2" s="57">
        <f>COUNTIF('第11章(森林)'!G1:I3,"&gt;=5")-COUNTIF('第11章(森林)'!G1:I3,"&gt;8")</f>
        <v>0</v>
      </c>
      <c r="I2" s="57">
        <f>COUNTIF('第11章(森林)'!H1:J3,"&gt;=5")-COUNTIF('第11章(森林)'!H1:J3,"&gt;8")</f>
        <v>0</v>
      </c>
      <c r="J2" s="57">
        <f>COUNTIF('第11章(森林)'!I1:K3,"&gt;=5")-COUNTIF('第11章(森林)'!I1:K3,"&gt;8")</f>
        <v>0</v>
      </c>
      <c r="K2" s="57">
        <f>COUNTIF('第11章(森林)'!J1:L3,"&gt;=5")-COUNTIF('第11章(森林)'!J1:L3,"&gt;8")</f>
        <v>0</v>
      </c>
      <c r="L2" s="57">
        <f>COUNTIF('第11章(森林)'!K1:M3,"&gt;=5")-COUNTIF('第11章(森林)'!K1:M3,"&gt;8")</f>
        <v>0</v>
      </c>
      <c r="M2" s="57">
        <f>COUNTIF('第11章(森林)'!L1:N3,"&gt;=5")-COUNTIF('第11章(森林)'!L1:N3,"&gt;8")</f>
        <v>0</v>
      </c>
      <c r="N2" s="57">
        <f>COUNTIF('第11章(森林)'!M1:O3,"&gt;=5")-COUNTIF('第11章(森林)'!M1:O3,"&gt;8")</f>
        <v>0</v>
      </c>
      <c r="O2" s="57">
        <f>COUNTIF('第11章(森林)'!N1:P3,"&gt;=5")-COUNTIF('第11章(森林)'!N1:P3,"&gt;8")</f>
        <v>0</v>
      </c>
      <c r="P2" s="57">
        <f>COUNTIF('第11章(森林)'!O1:Q3,"&gt;=5")-COUNTIF('第11章(森林)'!O1:Q3,"&gt;8")</f>
        <v>0</v>
      </c>
      <c r="Q2" s="57">
        <f>COUNTIF('第11章(森林)'!P1:R3,"&gt;=5")-COUNTIF('第11章(森林)'!P1:R3,"&gt;8")</f>
        <v>0</v>
      </c>
      <c r="R2" s="57">
        <f>COUNTIF('第11章(森林)'!Q1:S3,"&gt;=5")-COUNTIF('第11章(森林)'!Q1:S3,"&gt;8")</f>
        <v>0</v>
      </c>
      <c r="S2" s="57">
        <f>COUNTIF('第11章(森林)'!R1:T3,"&gt;=5")-COUNTIF('第11章(森林)'!R1:T3,"&gt;8")</f>
        <v>0</v>
      </c>
      <c r="T2" s="57">
        <f>COUNTIF('第11章(森林)'!S1:U3,"&gt;=5")-COUNTIF('第11章(森林)'!S1:U3,"&gt;8")</f>
        <v>0</v>
      </c>
      <c r="U2" s="57">
        <f>COUNTIF('第11章(森林)'!T1:V3,"&gt;=5")-COUNTIF('第11章(森林)'!T1:V3,"&gt;8")</f>
        <v>0</v>
      </c>
      <c r="V2" s="57">
        <f>COUNTIF('第11章(森林)'!U1:W3,"&gt;=5")-COUNTIF('第11章(森林)'!U1:W3,"&gt;8")</f>
        <v>0</v>
      </c>
      <c r="W2" s="57">
        <f>COUNTIF('第11章(森林)'!V1:X3,"&gt;=5")-COUNTIF('第11章(森林)'!V1:X3,"&gt;8")</f>
        <v>0</v>
      </c>
      <c r="X2" s="57">
        <f>COUNTIF('第11章(森林)'!W1:Y3,"&gt;=5")-COUNTIF('第11章(森林)'!W1:Y3,"&gt;8")</f>
        <v>0</v>
      </c>
      <c r="Y2" s="57">
        <f>COUNTIF('第11章(森林)'!X1:Z3,"&gt;=5")-COUNTIF('第11章(森林)'!X1:Z3,"&gt;8")</f>
        <v>0</v>
      </c>
      <c r="Z2" s="57">
        <f>COUNTIF('第11章(森林)'!Y1:AA3,"&gt;=5")-COUNTIF('第11章(森林)'!Y1:AA3,"&gt;8")</f>
        <v>0</v>
      </c>
    </row>
    <row r="3" spans="2:26" ht="12" customHeight="1" x14ac:dyDescent="0.15">
      <c r="B3" s="57">
        <f>COUNTIF('第11章(森林)'!A2:C4,"&gt;=5")-COUNTIF('第11章(森林)'!A2:C4,"&gt;8")</f>
        <v>0</v>
      </c>
      <c r="C3" s="57">
        <f>COUNTIF('第11章(森林)'!B2:D4,"&gt;=5")-COUNTIF('第11章(森林)'!B2:D4,"&gt;8")</f>
        <v>0</v>
      </c>
      <c r="D3" s="57">
        <f>COUNTIF('第11章(森林)'!C2:E4,"&gt;=5")-COUNTIF('第11章(森林)'!C2:E4,"&gt;8")</f>
        <v>0</v>
      </c>
      <c r="E3" s="57">
        <f>COUNTIF('第11章(森林)'!D2:F4,"&gt;=5")-COUNTIF('第11章(森林)'!D2:F4,"&gt;8")</f>
        <v>0</v>
      </c>
      <c r="F3" s="57">
        <f>COUNTIF('第11章(森林)'!E2:G4,"&gt;=5")-COUNTIF('第11章(森林)'!E2:G4,"&gt;8")</f>
        <v>0</v>
      </c>
      <c r="G3" s="57">
        <f>COUNTIF('第11章(森林)'!F2:H4,"&gt;=5")-COUNTIF('第11章(森林)'!F2:H4,"&gt;8")</f>
        <v>0</v>
      </c>
      <c r="H3" s="57">
        <f>COUNTIF('第11章(森林)'!G2:I4,"&gt;=5")-COUNTIF('第11章(森林)'!G2:I4,"&gt;8")</f>
        <v>0</v>
      </c>
      <c r="I3" s="57">
        <f>COUNTIF('第11章(森林)'!H2:J4,"&gt;=5")-COUNTIF('第11章(森林)'!H2:J4,"&gt;8")</f>
        <v>0</v>
      </c>
      <c r="J3" s="57">
        <f>COUNTIF('第11章(森林)'!I2:K4,"&gt;=5")-COUNTIF('第11章(森林)'!I2:K4,"&gt;8")</f>
        <v>0</v>
      </c>
      <c r="K3" s="57">
        <f>COUNTIF('第11章(森林)'!J2:L4,"&gt;=5")-COUNTIF('第11章(森林)'!J2:L4,"&gt;8")</f>
        <v>0</v>
      </c>
      <c r="L3" s="57">
        <f>COUNTIF('第11章(森林)'!K2:M4,"&gt;=5")-COUNTIF('第11章(森林)'!K2:M4,"&gt;8")</f>
        <v>0</v>
      </c>
      <c r="M3" s="57">
        <f>COUNTIF('第11章(森林)'!L2:N4,"&gt;=5")-COUNTIF('第11章(森林)'!L2:N4,"&gt;8")</f>
        <v>0</v>
      </c>
      <c r="N3" s="57">
        <f>COUNTIF('第11章(森林)'!M2:O4,"&gt;=5")-COUNTIF('第11章(森林)'!M2:O4,"&gt;8")</f>
        <v>0</v>
      </c>
      <c r="O3" s="57">
        <f>COUNTIF('第11章(森林)'!N2:P4,"&gt;=5")-COUNTIF('第11章(森林)'!N2:P4,"&gt;8")</f>
        <v>0</v>
      </c>
      <c r="P3" s="57">
        <f>COUNTIF('第11章(森林)'!O2:Q4,"&gt;=5")-COUNTIF('第11章(森林)'!O2:Q4,"&gt;8")</f>
        <v>0</v>
      </c>
      <c r="Q3" s="57">
        <f>COUNTIF('第11章(森林)'!P2:R4,"&gt;=5")-COUNTIF('第11章(森林)'!P2:R4,"&gt;8")</f>
        <v>0</v>
      </c>
      <c r="R3" s="57">
        <f>COUNTIF('第11章(森林)'!Q2:S4,"&gt;=5")-COUNTIF('第11章(森林)'!Q2:S4,"&gt;8")</f>
        <v>0</v>
      </c>
      <c r="S3" s="57">
        <f>COUNTIF('第11章(森林)'!R2:T4,"&gt;=5")-COUNTIF('第11章(森林)'!R2:T4,"&gt;8")</f>
        <v>0</v>
      </c>
      <c r="T3" s="57">
        <f>COUNTIF('第11章(森林)'!S2:U4,"&gt;=5")-COUNTIF('第11章(森林)'!S2:U4,"&gt;8")</f>
        <v>0</v>
      </c>
      <c r="U3" s="57">
        <f>COUNTIF('第11章(森林)'!T2:V4,"&gt;=5")-COUNTIF('第11章(森林)'!T2:V4,"&gt;8")</f>
        <v>0</v>
      </c>
      <c r="V3" s="57">
        <f>COUNTIF('第11章(森林)'!U2:W4,"&gt;=5")-COUNTIF('第11章(森林)'!U2:W4,"&gt;8")</f>
        <v>0</v>
      </c>
      <c r="W3" s="57">
        <f>COUNTIF('第11章(森林)'!V2:X4,"&gt;=5")-COUNTIF('第11章(森林)'!V2:X4,"&gt;8")</f>
        <v>0</v>
      </c>
      <c r="X3" s="57">
        <f>COUNTIF('第11章(森林)'!W2:Y4,"&gt;=5")-COUNTIF('第11章(森林)'!W2:Y4,"&gt;8")</f>
        <v>0</v>
      </c>
      <c r="Y3" s="57">
        <f>COUNTIF('第11章(森林)'!X2:Z4,"&gt;=5")-COUNTIF('第11章(森林)'!X2:Z4,"&gt;8")</f>
        <v>0</v>
      </c>
      <c r="Z3" s="57">
        <f>COUNTIF('第11章(森林)'!Y2:AA4,"&gt;=5")-COUNTIF('第11章(森林)'!Y2:AA4,"&gt;8")</f>
        <v>0</v>
      </c>
    </row>
    <row r="4" spans="2:26" ht="12" customHeight="1" x14ac:dyDescent="0.15">
      <c r="B4" s="57">
        <f>COUNTIF('第11章(森林)'!A3:C5,"&gt;=5")-COUNTIF('第11章(森林)'!A3:C5,"&gt;8")</f>
        <v>0</v>
      </c>
      <c r="C4" s="57">
        <f>COUNTIF('第11章(森林)'!B3:D5,"&gt;=5")-COUNTIF('第11章(森林)'!B3:D5,"&gt;8")</f>
        <v>0</v>
      </c>
      <c r="D4" s="57">
        <f>COUNTIF('第11章(森林)'!C3:E5,"&gt;=5")-COUNTIF('第11章(森林)'!C3:E5,"&gt;8")</f>
        <v>0</v>
      </c>
      <c r="E4" s="57">
        <f>COUNTIF('第11章(森林)'!D3:F5,"&gt;=5")-COUNTIF('第11章(森林)'!D3:F5,"&gt;8")</f>
        <v>0</v>
      </c>
      <c r="F4" s="57">
        <f>COUNTIF('第11章(森林)'!E3:G5,"&gt;=5")-COUNTIF('第11章(森林)'!E3:G5,"&gt;8")</f>
        <v>0</v>
      </c>
      <c r="G4" s="57">
        <f>COUNTIF('第11章(森林)'!F3:H5,"&gt;=5")-COUNTIF('第11章(森林)'!F3:H5,"&gt;8")</f>
        <v>0</v>
      </c>
      <c r="H4" s="57">
        <f>COUNTIF('第11章(森林)'!G3:I5,"&gt;=5")-COUNTIF('第11章(森林)'!G3:I5,"&gt;8")</f>
        <v>0</v>
      </c>
      <c r="I4" s="57">
        <f>COUNTIF('第11章(森林)'!H3:J5,"&gt;=5")-COUNTIF('第11章(森林)'!H3:J5,"&gt;8")</f>
        <v>0</v>
      </c>
      <c r="J4" s="57">
        <f>COUNTIF('第11章(森林)'!I3:K5,"&gt;=5")-COUNTIF('第11章(森林)'!I3:K5,"&gt;8")</f>
        <v>0</v>
      </c>
      <c r="K4" s="57">
        <f>COUNTIF('第11章(森林)'!J3:L5,"&gt;=5")-COUNTIF('第11章(森林)'!J3:L5,"&gt;8")</f>
        <v>0</v>
      </c>
      <c r="L4" s="57">
        <f>COUNTIF('第11章(森林)'!K3:M5,"&gt;=5")-COUNTIF('第11章(森林)'!K3:M5,"&gt;8")</f>
        <v>0</v>
      </c>
      <c r="M4" s="57">
        <f>COUNTIF('第11章(森林)'!L3:N5,"&gt;=5")-COUNTIF('第11章(森林)'!L3:N5,"&gt;8")</f>
        <v>0</v>
      </c>
      <c r="N4" s="57">
        <f>COUNTIF('第11章(森林)'!M3:O5,"&gt;=5")-COUNTIF('第11章(森林)'!M3:O5,"&gt;8")</f>
        <v>0</v>
      </c>
      <c r="O4" s="57">
        <f>COUNTIF('第11章(森林)'!N3:P5,"&gt;=5")-COUNTIF('第11章(森林)'!N3:P5,"&gt;8")</f>
        <v>0</v>
      </c>
      <c r="P4" s="57">
        <f>COUNTIF('第11章(森林)'!O3:Q5,"&gt;=5")-COUNTIF('第11章(森林)'!O3:Q5,"&gt;8")</f>
        <v>0</v>
      </c>
      <c r="Q4" s="57">
        <f>COUNTIF('第11章(森林)'!P3:R5,"&gt;=5")-COUNTIF('第11章(森林)'!P3:R5,"&gt;8")</f>
        <v>0</v>
      </c>
      <c r="R4" s="57">
        <f>COUNTIF('第11章(森林)'!Q3:S5,"&gt;=5")-COUNTIF('第11章(森林)'!Q3:S5,"&gt;8")</f>
        <v>0</v>
      </c>
      <c r="S4" s="57">
        <f>COUNTIF('第11章(森林)'!R3:T5,"&gt;=5")-COUNTIF('第11章(森林)'!R3:T5,"&gt;8")</f>
        <v>0</v>
      </c>
      <c r="T4" s="57">
        <f>COUNTIF('第11章(森林)'!S3:U5,"&gt;=5")-COUNTIF('第11章(森林)'!S3:U5,"&gt;8")</f>
        <v>0</v>
      </c>
      <c r="U4" s="57">
        <f>COUNTIF('第11章(森林)'!T3:V5,"&gt;=5")-COUNTIF('第11章(森林)'!T3:V5,"&gt;8")</f>
        <v>0</v>
      </c>
      <c r="V4" s="57">
        <f>COUNTIF('第11章(森林)'!U3:W5,"&gt;=5")-COUNTIF('第11章(森林)'!U3:W5,"&gt;8")</f>
        <v>0</v>
      </c>
      <c r="W4" s="57">
        <f>COUNTIF('第11章(森林)'!V3:X5,"&gt;=5")-COUNTIF('第11章(森林)'!V3:X5,"&gt;8")</f>
        <v>0</v>
      </c>
      <c r="X4" s="57">
        <f>COUNTIF('第11章(森林)'!W3:Y5,"&gt;=5")-COUNTIF('第11章(森林)'!W3:Y5,"&gt;8")</f>
        <v>0</v>
      </c>
      <c r="Y4" s="57">
        <f>COUNTIF('第11章(森林)'!X3:Z5,"&gt;=5")-COUNTIF('第11章(森林)'!X3:Z5,"&gt;8")</f>
        <v>0</v>
      </c>
      <c r="Z4" s="57">
        <f>COUNTIF('第11章(森林)'!Y3:AA5,"&gt;=5")-COUNTIF('第11章(森林)'!Y3:AA5,"&gt;8")</f>
        <v>0</v>
      </c>
    </row>
    <row r="5" spans="2:26" ht="12" customHeight="1" x14ac:dyDescent="0.15">
      <c r="B5" s="57">
        <f>COUNTIF('第11章(森林)'!A4:C6,"&gt;=5")-COUNTIF('第11章(森林)'!A4:C6,"&gt;8")</f>
        <v>0</v>
      </c>
      <c r="C5" s="57">
        <f>COUNTIF('第11章(森林)'!B4:D6,"&gt;=5")-COUNTIF('第11章(森林)'!B4:D6,"&gt;8")</f>
        <v>0</v>
      </c>
      <c r="D5" s="57">
        <f>COUNTIF('第11章(森林)'!C4:E6,"&gt;=5")-COUNTIF('第11章(森林)'!C4:E6,"&gt;8")</f>
        <v>0</v>
      </c>
      <c r="E5" s="57">
        <f>COUNTIF('第11章(森林)'!D4:F6,"&gt;=5")-COUNTIF('第11章(森林)'!D4:F6,"&gt;8")</f>
        <v>0</v>
      </c>
      <c r="F5" s="57">
        <f>COUNTIF('第11章(森林)'!E4:G6,"&gt;=5")-COUNTIF('第11章(森林)'!E4:G6,"&gt;8")</f>
        <v>0</v>
      </c>
      <c r="G5" s="57">
        <f>COUNTIF('第11章(森林)'!F4:H6,"&gt;=5")-COUNTIF('第11章(森林)'!F4:H6,"&gt;8")</f>
        <v>0</v>
      </c>
      <c r="H5" s="57">
        <f>COUNTIF('第11章(森林)'!G4:I6,"&gt;=5")-COUNTIF('第11章(森林)'!G4:I6,"&gt;8")</f>
        <v>0</v>
      </c>
      <c r="I5" s="57">
        <f>COUNTIF('第11章(森林)'!H4:J6,"&gt;=5")-COUNTIF('第11章(森林)'!H4:J6,"&gt;8")</f>
        <v>0</v>
      </c>
      <c r="J5" s="57">
        <f>COUNTIF('第11章(森林)'!I4:K6,"&gt;=5")-COUNTIF('第11章(森林)'!I4:K6,"&gt;8")</f>
        <v>0</v>
      </c>
      <c r="K5" s="57">
        <f>COUNTIF('第11章(森林)'!J4:L6,"&gt;=5")-COUNTIF('第11章(森林)'!J4:L6,"&gt;8")</f>
        <v>0</v>
      </c>
      <c r="L5" s="57">
        <f>COUNTIF('第11章(森林)'!K4:M6,"&gt;=5")-COUNTIF('第11章(森林)'!K4:M6,"&gt;8")</f>
        <v>0</v>
      </c>
      <c r="M5" s="57">
        <f>COUNTIF('第11章(森林)'!L4:N6,"&gt;=5")-COUNTIF('第11章(森林)'!L4:N6,"&gt;8")</f>
        <v>0</v>
      </c>
      <c r="N5" s="57">
        <f>COUNTIF('第11章(森林)'!M4:O6,"&gt;=5")-COUNTIF('第11章(森林)'!M4:O6,"&gt;8")</f>
        <v>0</v>
      </c>
      <c r="O5" s="57">
        <f>COUNTIF('第11章(森林)'!N4:P6,"&gt;=5")-COUNTIF('第11章(森林)'!N4:P6,"&gt;8")</f>
        <v>0</v>
      </c>
      <c r="P5" s="57">
        <f>COUNTIF('第11章(森林)'!O4:Q6,"&gt;=5")-COUNTIF('第11章(森林)'!O4:Q6,"&gt;8")</f>
        <v>0</v>
      </c>
      <c r="Q5" s="57">
        <f>COUNTIF('第11章(森林)'!P4:R6,"&gt;=5")-COUNTIF('第11章(森林)'!P4:R6,"&gt;8")</f>
        <v>0</v>
      </c>
      <c r="R5" s="57">
        <f>COUNTIF('第11章(森林)'!Q4:S6,"&gt;=5")-COUNTIF('第11章(森林)'!Q4:S6,"&gt;8")</f>
        <v>0</v>
      </c>
      <c r="S5" s="57">
        <f>COUNTIF('第11章(森林)'!R4:T6,"&gt;=5")-COUNTIF('第11章(森林)'!R4:T6,"&gt;8")</f>
        <v>0</v>
      </c>
      <c r="T5" s="57">
        <f>COUNTIF('第11章(森林)'!S4:U6,"&gt;=5")-COUNTIF('第11章(森林)'!S4:U6,"&gt;8")</f>
        <v>0</v>
      </c>
      <c r="U5" s="57">
        <f>COUNTIF('第11章(森林)'!T4:V6,"&gt;=5")-COUNTIF('第11章(森林)'!T4:V6,"&gt;8")</f>
        <v>0</v>
      </c>
      <c r="V5" s="57">
        <f>COUNTIF('第11章(森林)'!U4:W6,"&gt;=5")-COUNTIF('第11章(森林)'!U4:W6,"&gt;8")</f>
        <v>0</v>
      </c>
      <c r="W5" s="57">
        <f>COUNTIF('第11章(森林)'!V4:X6,"&gt;=5")-COUNTIF('第11章(森林)'!V4:X6,"&gt;8")</f>
        <v>0</v>
      </c>
      <c r="X5" s="57">
        <f>COUNTIF('第11章(森林)'!W4:Y6,"&gt;=5")-COUNTIF('第11章(森林)'!W4:Y6,"&gt;8")</f>
        <v>0</v>
      </c>
      <c r="Y5" s="57">
        <f>COUNTIF('第11章(森林)'!X4:Z6,"&gt;=5")-COUNTIF('第11章(森林)'!X4:Z6,"&gt;8")</f>
        <v>0</v>
      </c>
      <c r="Z5" s="57">
        <f>COUNTIF('第11章(森林)'!Y4:AA6,"&gt;=5")-COUNTIF('第11章(森林)'!Y4:AA6,"&gt;8")</f>
        <v>0</v>
      </c>
    </row>
    <row r="6" spans="2:26" ht="12" customHeight="1" x14ac:dyDescent="0.15">
      <c r="B6" s="57">
        <f>COUNTIF('第11章(森林)'!A5:C7,"&gt;=5")-COUNTIF('第11章(森林)'!A5:C7,"&gt;8")</f>
        <v>0</v>
      </c>
      <c r="C6" s="57">
        <f>COUNTIF('第11章(森林)'!B5:D7,"&gt;=5")-COUNTIF('第11章(森林)'!B5:D7,"&gt;8")</f>
        <v>0</v>
      </c>
      <c r="D6" s="57">
        <f>COUNTIF('第11章(森林)'!C5:E7,"&gt;=5")-COUNTIF('第11章(森林)'!C5:E7,"&gt;8")</f>
        <v>0</v>
      </c>
      <c r="E6" s="57">
        <f>COUNTIF('第11章(森林)'!D5:F7,"&gt;=5")-COUNTIF('第11章(森林)'!D5:F7,"&gt;8")</f>
        <v>0</v>
      </c>
      <c r="F6" s="57">
        <f>COUNTIF('第11章(森林)'!E5:G7,"&gt;=5")-COUNTIF('第11章(森林)'!E5:G7,"&gt;8")</f>
        <v>0</v>
      </c>
      <c r="G6" s="57">
        <f>COUNTIF('第11章(森林)'!F5:H7,"&gt;=5")-COUNTIF('第11章(森林)'!F5:H7,"&gt;8")</f>
        <v>0</v>
      </c>
      <c r="H6" s="57">
        <f>COUNTIF('第11章(森林)'!G5:I7,"&gt;=5")-COUNTIF('第11章(森林)'!G5:I7,"&gt;8")</f>
        <v>0</v>
      </c>
      <c r="I6" s="57">
        <f>COUNTIF('第11章(森林)'!H5:J7,"&gt;=5")-COUNTIF('第11章(森林)'!H5:J7,"&gt;8")</f>
        <v>0</v>
      </c>
      <c r="J6" s="57">
        <f>COUNTIF('第11章(森林)'!I5:K7,"&gt;=5")-COUNTIF('第11章(森林)'!I5:K7,"&gt;8")</f>
        <v>0</v>
      </c>
      <c r="K6" s="57">
        <f>COUNTIF('第11章(森林)'!J5:L7,"&gt;=5")-COUNTIF('第11章(森林)'!J5:L7,"&gt;8")</f>
        <v>0</v>
      </c>
      <c r="L6" s="57">
        <f>COUNTIF('第11章(森林)'!K5:M7,"&gt;=5")-COUNTIF('第11章(森林)'!K5:M7,"&gt;8")</f>
        <v>0</v>
      </c>
      <c r="M6" s="57">
        <f>COUNTIF('第11章(森林)'!L5:N7,"&gt;=5")-COUNTIF('第11章(森林)'!L5:N7,"&gt;8")</f>
        <v>0</v>
      </c>
      <c r="N6" s="57">
        <f>COUNTIF('第11章(森林)'!M5:O7,"&gt;=5")-COUNTIF('第11章(森林)'!M5:O7,"&gt;8")</f>
        <v>0</v>
      </c>
      <c r="O6" s="57">
        <f>COUNTIF('第11章(森林)'!N5:P7,"&gt;=5")-COUNTIF('第11章(森林)'!N5:P7,"&gt;8")</f>
        <v>0</v>
      </c>
      <c r="P6" s="57">
        <f>COUNTIF('第11章(森林)'!O5:Q7,"&gt;=5")-COUNTIF('第11章(森林)'!O5:Q7,"&gt;8")</f>
        <v>0</v>
      </c>
      <c r="Q6" s="57">
        <f>COUNTIF('第11章(森林)'!P5:R7,"&gt;=5")-COUNTIF('第11章(森林)'!P5:R7,"&gt;8")</f>
        <v>0</v>
      </c>
      <c r="R6" s="57">
        <f>COUNTIF('第11章(森林)'!Q5:S7,"&gt;=5")-COUNTIF('第11章(森林)'!Q5:S7,"&gt;8")</f>
        <v>0</v>
      </c>
      <c r="S6" s="57">
        <f>COUNTIF('第11章(森林)'!R5:T7,"&gt;=5")-COUNTIF('第11章(森林)'!R5:T7,"&gt;8")</f>
        <v>0</v>
      </c>
      <c r="T6" s="57">
        <f>COUNTIF('第11章(森林)'!S5:U7,"&gt;=5")-COUNTIF('第11章(森林)'!S5:U7,"&gt;8")</f>
        <v>0</v>
      </c>
      <c r="U6" s="57">
        <f>COUNTIF('第11章(森林)'!T5:V7,"&gt;=5")-COUNTIF('第11章(森林)'!T5:V7,"&gt;8")</f>
        <v>0</v>
      </c>
      <c r="V6" s="57">
        <f>COUNTIF('第11章(森林)'!U5:W7,"&gt;=5")-COUNTIF('第11章(森林)'!U5:W7,"&gt;8")</f>
        <v>0</v>
      </c>
      <c r="W6" s="57">
        <f>COUNTIF('第11章(森林)'!V5:X7,"&gt;=5")-COUNTIF('第11章(森林)'!V5:X7,"&gt;8")</f>
        <v>0</v>
      </c>
      <c r="X6" s="57">
        <f>COUNTIF('第11章(森林)'!W5:Y7,"&gt;=5")-COUNTIF('第11章(森林)'!W5:Y7,"&gt;8")</f>
        <v>0</v>
      </c>
      <c r="Y6" s="57">
        <f>COUNTIF('第11章(森林)'!X5:Z7,"&gt;=5")-COUNTIF('第11章(森林)'!X5:Z7,"&gt;8")</f>
        <v>0</v>
      </c>
      <c r="Z6" s="57">
        <f>COUNTIF('第11章(森林)'!Y5:AA7,"&gt;=5")-COUNTIF('第11章(森林)'!Y5:AA7,"&gt;8")</f>
        <v>0</v>
      </c>
    </row>
    <row r="7" spans="2:26" ht="12" customHeight="1" x14ac:dyDescent="0.15">
      <c r="B7" s="57">
        <f>COUNTIF('第11章(森林)'!A6:C8,"&gt;=5")-COUNTIF('第11章(森林)'!A6:C8,"&gt;8")</f>
        <v>0</v>
      </c>
      <c r="C7" s="57">
        <f>COUNTIF('第11章(森林)'!B6:D8,"&gt;=5")-COUNTIF('第11章(森林)'!B6:D8,"&gt;8")</f>
        <v>0</v>
      </c>
      <c r="D7" s="57">
        <f>COUNTIF('第11章(森林)'!C6:E8,"&gt;=5")-COUNTIF('第11章(森林)'!C6:E8,"&gt;8")</f>
        <v>0</v>
      </c>
      <c r="E7" s="57">
        <f>COUNTIF('第11章(森林)'!D6:F8,"&gt;=5")-COUNTIF('第11章(森林)'!D6:F8,"&gt;8")</f>
        <v>0</v>
      </c>
      <c r="F7" s="57">
        <f>COUNTIF('第11章(森林)'!E6:G8,"&gt;=5")-COUNTIF('第11章(森林)'!E6:G8,"&gt;8")</f>
        <v>0</v>
      </c>
      <c r="G7" s="57">
        <f>COUNTIF('第11章(森林)'!F6:H8,"&gt;=5")-COUNTIF('第11章(森林)'!F6:H8,"&gt;8")</f>
        <v>0</v>
      </c>
      <c r="H7" s="57">
        <f>COUNTIF('第11章(森林)'!G6:I8,"&gt;=5")-COUNTIF('第11章(森林)'!G6:I8,"&gt;8")</f>
        <v>0</v>
      </c>
      <c r="I7" s="57">
        <f>COUNTIF('第11章(森林)'!H6:J8,"&gt;=5")-COUNTIF('第11章(森林)'!H6:J8,"&gt;8")</f>
        <v>0</v>
      </c>
      <c r="J7" s="57">
        <f>COUNTIF('第11章(森林)'!I6:K8,"&gt;=5")-COUNTIF('第11章(森林)'!I6:K8,"&gt;8")</f>
        <v>0</v>
      </c>
      <c r="K7" s="57">
        <f>COUNTIF('第11章(森林)'!J6:L8,"&gt;=5")-COUNTIF('第11章(森林)'!J6:L8,"&gt;8")</f>
        <v>0</v>
      </c>
      <c r="L7" s="57">
        <f>COUNTIF('第11章(森林)'!K6:M8,"&gt;=5")-COUNTIF('第11章(森林)'!K6:M8,"&gt;8")</f>
        <v>0</v>
      </c>
      <c r="M7" s="57">
        <f>COUNTIF('第11章(森林)'!L6:N8,"&gt;=5")-COUNTIF('第11章(森林)'!L6:N8,"&gt;8")</f>
        <v>0</v>
      </c>
      <c r="N7" s="57">
        <f>COUNTIF('第11章(森林)'!M6:O8,"&gt;=5")-COUNTIF('第11章(森林)'!M6:O8,"&gt;8")</f>
        <v>0</v>
      </c>
      <c r="O7" s="57">
        <f>COUNTIF('第11章(森林)'!N6:P8,"&gt;=5")-COUNTIF('第11章(森林)'!N6:P8,"&gt;8")</f>
        <v>0</v>
      </c>
      <c r="P7" s="57">
        <f>COUNTIF('第11章(森林)'!O6:Q8,"&gt;=5")-COUNTIF('第11章(森林)'!O6:Q8,"&gt;8")</f>
        <v>0</v>
      </c>
      <c r="Q7" s="57">
        <f>COUNTIF('第11章(森林)'!P6:R8,"&gt;=5")-COUNTIF('第11章(森林)'!P6:R8,"&gt;8")</f>
        <v>0</v>
      </c>
      <c r="R7" s="57">
        <f>COUNTIF('第11章(森林)'!Q6:S8,"&gt;=5")-COUNTIF('第11章(森林)'!Q6:S8,"&gt;8")</f>
        <v>0</v>
      </c>
      <c r="S7" s="57">
        <f>COUNTIF('第11章(森林)'!R6:T8,"&gt;=5")-COUNTIF('第11章(森林)'!R6:T8,"&gt;8")</f>
        <v>0</v>
      </c>
      <c r="T7" s="57">
        <f>COUNTIF('第11章(森林)'!S6:U8,"&gt;=5")-COUNTIF('第11章(森林)'!S6:U8,"&gt;8")</f>
        <v>0</v>
      </c>
      <c r="U7" s="57">
        <f>COUNTIF('第11章(森林)'!T6:V8,"&gt;=5")-COUNTIF('第11章(森林)'!T6:V8,"&gt;8")</f>
        <v>0</v>
      </c>
      <c r="V7" s="57">
        <f>COUNTIF('第11章(森林)'!U6:W8,"&gt;=5")-COUNTIF('第11章(森林)'!U6:W8,"&gt;8")</f>
        <v>0</v>
      </c>
      <c r="W7" s="57">
        <f>COUNTIF('第11章(森林)'!V6:X8,"&gt;=5")-COUNTIF('第11章(森林)'!V6:X8,"&gt;8")</f>
        <v>0</v>
      </c>
      <c r="X7" s="57">
        <f>COUNTIF('第11章(森林)'!W6:Y8,"&gt;=5")-COUNTIF('第11章(森林)'!W6:Y8,"&gt;8")</f>
        <v>0</v>
      </c>
      <c r="Y7" s="57">
        <f>COUNTIF('第11章(森林)'!X6:Z8,"&gt;=5")-COUNTIF('第11章(森林)'!X6:Z8,"&gt;8")</f>
        <v>0</v>
      </c>
      <c r="Z7" s="57">
        <f>COUNTIF('第11章(森林)'!Y6:AA8,"&gt;=5")-COUNTIF('第11章(森林)'!Y6:AA8,"&gt;8")</f>
        <v>0</v>
      </c>
    </row>
    <row r="8" spans="2:26" ht="12" customHeight="1" x14ac:dyDescent="0.15">
      <c r="B8" s="57">
        <f>COUNTIF('第11章(森林)'!A7:C9,"&gt;=5")-COUNTIF('第11章(森林)'!A7:C9,"&gt;8")</f>
        <v>0</v>
      </c>
      <c r="C8" s="57">
        <f>COUNTIF('第11章(森林)'!B7:D9,"&gt;=5")-COUNTIF('第11章(森林)'!B7:D9,"&gt;8")</f>
        <v>0</v>
      </c>
      <c r="D8" s="57">
        <f>COUNTIF('第11章(森林)'!C7:E9,"&gt;=5")-COUNTIF('第11章(森林)'!C7:E9,"&gt;8")</f>
        <v>0</v>
      </c>
      <c r="E8" s="57">
        <f>COUNTIF('第11章(森林)'!D7:F9,"&gt;=5")-COUNTIF('第11章(森林)'!D7:F9,"&gt;8")</f>
        <v>0</v>
      </c>
      <c r="F8" s="57">
        <f>COUNTIF('第11章(森林)'!E7:G9,"&gt;=5")-COUNTIF('第11章(森林)'!E7:G9,"&gt;8")</f>
        <v>0</v>
      </c>
      <c r="G8" s="57">
        <f>COUNTIF('第11章(森林)'!F7:H9,"&gt;=5")-COUNTIF('第11章(森林)'!F7:H9,"&gt;8")</f>
        <v>0</v>
      </c>
      <c r="H8" s="57">
        <f>COUNTIF('第11章(森林)'!G7:I9,"&gt;=5")-COUNTIF('第11章(森林)'!G7:I9,"&gt;8")</f>
        <v>0</v>
      </c>
      <c r="I8" s="57">
        <f>COUNTIF('第11章(森林)'!H7:J9,"&gt;=5")-COUNTIF('第11章(森林)'!H7:J9,"&gt;8")</f>
        <v>0</v>
      </c>
      <c r="J8" s="57">
        <f>COUNTIF('第11章(森林)'!I7:K9,"&gt;=5")-COUNTIF('第11章(森林)'!I7:K9,"&gt;8")</f>
        <v>0</v>
      </c>
      <c r="K8" s="57">
        <f>COUNTIF('第11章(森林)'!J7:L9,"&gt;=5")-COUNTIF('第11章(森林)'!J7:L9,"&gt;8")</f>
        <v>0</v>
      </c>
      <c r="L8" s="57">
        <f>COUNTIF('第11章(森林)'!K7:M9,"&gt;=5")-COUNTIF('第11章(森林)'!K7:M9,"&gt;8")</f>
        <v>0</v>
      </c>
      <c r="M8" s="57">
        <f>COUNTIF('第11章(森林)'!L7:N9,"&gt;=5")-COUNTIF('第11章(森林)'!L7:N9,"&gt;8")</f>
        <v>0</v>
      </c>
      <c r="N8" s="57">
        <f>COUNTIF('第11章(森林)'!M7:O9,"&gt;=5")-COUNTIF('第11章(森林)'!M7:O9,"&gt;8")</f>
        <v>0</v>
      </c>
      <c r="O8" s="57">
        <f>COUNTIF('第11章(森林)'!N7:P9,"&gt;=5")-COUNTIF('第11章(森林)'!N7:P9,"&gt;8")</f>
        <v>0</v>
      </c>
      <c r="P8" s="57">
        <f>COUNTIF('第11章(森林)'!O7:Q9,"&gt;=5")-COUNTIF('第11章(森林)'!O7:Q9,"&gt;8")</f>
        <v>0</v>
      </c>
      <c r="Q8" s="57">
        <f>COUNTIF('第11章(森林)'!P7:R9,"&gt;=5")-COUNTIF('第11章(森林)'!P7:R9,"&gt;8")</f>
        <v>0</v>
      </c>
      <c r="R8" s="57">
        <f>COUNTIF('第11章(森林)'!Q7:S9,"&gt;=5")-COUNTIF('第11章(森林)'!Q7:S9,"&gt;8")</f>
        <v>0</v>
      </c>
      <c r="S8" s="57">
        <f>COUNTIF('第11章(森林)'!R7:T9,"&gt;=5")-COUNTIF('第11章(森林)'!R7:T9,"&gt;8")</f>
        <v>0</v>
      </c>
      <c r="T8" s="57">
        <f>COUNTIF('第11章(森林)'!S7:U9,"&gt;=5")-COUNTIF('第11章(森林)'!S7:U9,"&gt;8")</f>
        <v>0</v>
      </c>
      <c r="U8" s="57">
        <f>COUNTIF('第11章(森林)'!T7:V9,"&gt;=5")-COUNTIF('第11章(森林)'!T7:V9,"&gt;8")</f>
        <v>0</v>
      </c>
      <c r="V8" s="57">
        <f>COUNTIF('第11章(森林)'!U7:W9,"&gt;=5")-COUNTIF('第11章(森林)'!U7:W9,"&gt;8")</f>
        <v>0</v>
      </c>
      <c r="W8" s="57">
        <f>COUNTIF('第11章(森林)'!V7:X9,"&gt;=5")-COUNTIF('第11章(森林)'!V7:X9,"&gt;8")</f>
        <v>0</v>
      </c>
      <c r="X8" s="57">
        <f>COUNTIF('第11章(森林)'!W7:Y9,"&gt;=5")-COUNTIF('第11章(森林)'!W7:Y9,"&gt;8")</f>
        <v>0</v>
      </c>
      <c r="Y8" s="57">
        <f>COUNTIF('第11章(森林)'!X7:Z9,"&gt;=5")-COUNTIF('第11章(森林)'!X7:Z9,"&gt;8")</f>
        <v>0</v>
      </c>
      <c r="Z8" s="57">
        <f>COUNTIF('第11章(森林)'!Y7:AA9,"&gt;=5")-COUNTIF('第11章(森林)'!Y7:AA9,"&gt;8")</f>
        <v>0</v>
      </c>
    </row>
    <row r="9" spans="2:26" ht="12" customHeight="1" x14ac:dyDescent="0.15">
      <c r="B9" s="57">
        <f>COUNTIF('第11章(森林)'!A8:C10,"&gt;=5")-COUNTIF('第11章(森林)'!A8:C10,"&gt;8")</f>
        <v>0</v>
      </c>
      <c r="C9" s="57">
        <f>COUNTIF('第11章(森林)'!B8:D10,"&gt;=5")-COUNTIF('第11章(森林)'!B8:D10,"&gt;8")</f>
        <v>0</v>
      </c>
      <c r="D9" s="57">
        <f>COUNTIF('第11章(森林)'!C8:E10,"&gt;=5")-COUNTIF('第11章(森林)'!C8:E10,"&gt;8")</f>
        <v>0</v>
      </c>
      <c r="E9" s="57">
        <f>COUNTIF('第11章(森林)'!D8:F10,"&gt;=5")-COUNTIF('第11章(森林)'!D8:F10,"&gt;8")</f>
        <v>0</v>
      </c>
      <c r="F9" s="57">
        <f>COUNTIF('第11章(森林)'!E8:G10,"&gt;=5")-COUNTIF('第11章(森林)'!E8:G10,"&gt;8")</f>
        <v>0</v>
      </c>
      <c r="G9" s="57">
        <f>COUNTIF('第11章(森林)'!F8:H10,"&gt;=5")-COUNTIF('第11章(森林)'!F8:H10,"&gt;8")</f>
        <v>0</v>
      </c>
      <c r="H9" s="57">
        <f>COUNTIF('第11章(森林)'!G8:I10,"&gt;=5")-COUNTIF('第11章(森林)'!G8:I10,"&gt;8")</f>
        <v>0</v>
      </c>
      <c r="I9" s="57">
        <f>COUNTIF('第11章(森林)'!H8:J10,"&gt;=5")-COUNTIF('第11章(森林)'!H8:J10,"&gt;8")</f>
        <v>0</v>
      </c>
      <c r="J9" s="57">
        <f>COUNTIF('第11章(森林)'!I8:K10,"&gt;=5")-COUNTIF('第11章(森林)'!I8:K10,"&gt;8")</f>
        <v>0</v>
      </c>
      <c r="K9" s="57">
        <f>COUNTIF('第11章(森林)'!J8:L10,"&gt;=5")-COUNTIF('第11章(森林)'!J8:L10,"&gt;8")</f>
        <v>0</v>
      </c>
      <c r="L9" s="57">
        <f>COUNTIF('第11章(森林)'!K8:M10,"&gt;=5")-COUNTIF('第11章(森林)'!K8:M10,"&gt;8")</f>
        <v>0</v>
      </c>
      <c r="M9" s="57">
        <f>COUNTIF('第11章(森林)'!L8:N10,"&gt;=5")-COUNTIF('第11章(森林)'!L8:N10,"&gt;8")</f>
        <v>0</v>
      </c>
      <c r="N9" s="57">
        <f>COUNTIF('第11章(森林)'!M8:O10,"&gt;=5")-COUNTIF('第11章(森林)'!M8:O10,"&gt;8")</f>
        <v>0</v>
      </c>
      <c r="O9" s="57">
        <f>COUNTIF('第11章(森林)'!N8:P10,"&gt;=5")-COUNTIF('第11章(森林)'!N8:P10,"&gt;8")</f>
        <v>0</v>
      </c>
      <c r="P9" s="57">
        <f>COUNTIF('第11章(森林)'!O8:Q10,"&gt;=5")-COUNTIF('第11章(森林)'!O8:Q10,"&gt;8")</f>
        <v>0</v>
      </c>
      <c r="Q9" s="57">
        <f>COUNTIF('第11章(森林)'!P8:R10,"&gt;=5")-COUNTIF('第11章(森林)'!P8:R10,"&gt;8")</f>
        <v>0</v>
      </c>
      <c r="R9" s="57">
        <f>COUNTIF('第11章(森林)'!Q8:S10,"&gt;=5")-COUNTIF('第11章(森林)'!Q8:S10,"&gt;8")</f>
        <v>0</v>
      </c>
      <c r="S9" s="57">
        <f>COUNTIF('第11章(森林)'!R8:T10,"&gt;=5")-COUNTIF('第11章(森林)'!R8:T10,"&gt;8")</f>
        <v>0</v>
      </c>
      <c r="T9" s="57">
        <f>COUNTIF('第11章(森林)'!S8:U10,"&gt;=5")-COUNTIF('第11章(森林)'!S8:U10,"&gt;8")</f>
        <v>0</v>
      </c>
      <c r="U9" s="57">
        <f>COUNTIF('第11章(森林)'!T8:V10,"&gt;=5")-COUNTIF('第11章(森林)'!T8:V10,"&gt;8")</f>
        <v>0</v>
      </c>
      <c r="V9" s="57">
        <f>COUNTIF('第11章(森林)'!U8:W10,"&gt;=5")-COUNTIF('第11章(森林)'!U8:W10,"&gt;8")</f>
        <v>0</v>
      </c>
      <c r="W9" s="57">
        <f>COUNTIF('第11章(森林)'!V8:X10,"&gt;=5")-COUNTIF('第11章(森林)'!V8:X10,"&gt;8")</f>
        <v>0</v>
      </c>
      <c r="X9" s="57">
        <f>COUNTIF('第11章(森林)'!W8:Y10,"&gt;=5")-COUNTIF('第11章(森林)'!W8:Y10,"&gt;8")</f>
        <v>0</v>
      </c>
      <c r="Y9" s="57">
        <f>COUNTIF('第11章(森林)'!X8:Z10,"&gt;=5")-COUNTIF('第11章(森林)'!X8:Z10,"&gt;8")</f>
        <v>0</v>
      </c>
      <c r="Z9" s="57">
        <f>COUNTIF('第11章(森林)'!Y8:AA10,"&gt;=5")-COUNTIF('第11章(森林)'!Y8:AA10,"&gt;8")</f>
        <v>0</v>
      </c>
    </row>
    <row r="10" spans="2:26" ht="12" customHeight="1" x14ac:dyDescent="0.15">
      <c r="B10" s="57">
        <f>COUNTIF('第11章(森林)'!A9:C11,"&gt;=5")-COUNTIF('第11章(森林)'!A9:C11,"&gt;8")</f>
        <v>0</v>
      </c>
      <c r="C10" s="57">
        <f>COUNTIF('第11章(森林)'!B9:D11,"&gt;=5")-COUNTIF('第11章(森林)'!B9:D11,"&gt;8")</f>
        <v>0</v>
      </c>
      <c r="D10" s="57">
        <f>COUNTIF('第11章(森林)'!C9:E11,"&gt;=5")-COUNTIF('第11章(森林)'!C9:E11,"&gt;8")</f>
        <v>0</v>
      </c>
      <c r="E10" s="57">
        <f>COUNTIF('第11章(森林)'!D9:F11,"&gt;=5")-COUNTIF('第11章(森林)'!D9:F11,"&gt;8")</f>
        <v>0</v>
      </c>
      <c r="F10" s="57">
        <f>COUNTIF('第11章(森林)'!E9:G11,"&gt;=5")-COUNTIF('第11章(森林)'!E9:G11,"&gt;8")</f>
        <v>0</v>
      </c>
      <c r="G10" s="57">
        <f>COUNTIF('第11章(森林)'!F9:H11,"&gt;=5")-COUNTIF('第11章(森林)'!F9:H11,"&gt;8")</f>
        <v>0</v>
      </c>
      <c r="H10" s="57">
        <f>COUNTIF('第11章(森林)'!G9:I11,"&gt;=5")-COUNTIF('第11章(森林)'!G9:I11,"&gt;8")</f>
        <v>0</v>
      </c>
      <c r="I10" s="57">
        <f>COUNTIF('第11章(森林)'!H9:J11,"&gt;=5")-COUNTIF('第11章(森林)'!H9:J11,"&gt;8")</f>
        <v>0</v>
      </c>
      <c r="J10" s="57">
        <f>COUNTIF('第11章(森林)'!I9:K11,"&gt;=5")-COUNTIF('第11章(森林)'!I9:K11,"&gt;8")</f>
        <v>0</v>
      </c>
      <c r="K10" s="57">
        <f>COUNTIF('第11章(森林)'!J9:L11,"&gt;=5")-COUNTIF('第11章(森林)'!J9:L11,"&gt;8")</f>
        <v>0</v>
      </c>
      <c r="L10" s="57">
        <f>COUNTIF('第11章(森林)'!K9:M11,"&gt;=5")-COUNTIF('第11章(森林)'!K9:M11,"&gt;8")</f>
        <v>0</v>
      </c>
      <c r="M10" s="57">
        <f>COUNTIF('第11章(森林)'!L9:N11,"&gt;=5")-COUNTIF('第11章(森林)'!L9:N11,"&gt;8")</f>
        <v>0</v>
      </c>
      <c r="N10" s="57">
        <f>COUNTIF('第11章(森林)'!M9:O11,"&gt;=5")-COUNTIF('第11章(森林)'!M9:O11,"&gt;8")</f>
        <v>0</v>
      </c>
      <c r="O10" s="57">
        <f>COUNTIF('第11章(森林)'!N9:P11,"&gt;=5")-COUNTIF('第11章(森林)'!N9:P11,"&gt;8")</f>
        <v>0</v>
      </c>
      <c r="P10" s="57">
        <f>COUNTIF('第11章(森林)'!O9:Q11,"&gt;=5")-COUNTIF('第11章(森林)'!O9:Q11,"&gt;8")</f>
        <v>0</v>
      </c>
      <c r="Q10" s="57">
        <f>COUNTIF('第11章(森林)'!P9:R11,"&gt;=5")-COUNTIF('第11章(森林)'!P9:R11,"&gt;8")</f>
        <v>0</v>
      </c>
      <c r="R10" s="57">
        <f>COUNTIF('第11章(森林)'!Q9:S11,"&gt;=5")-COUNTIF('第11章(森林)'!Q9:S11,"&gt;8")</f>
        <v>0</v>
      </c>
      <c r="S10" s="57">
        <f>COUNTIF('第11章(森林)'!R9:T11,"&gt;=5")-COUNTIF('第11章(森林)'!R9:T11,"&gt;8")</f>
        <v>0</v>
      </c>
      <c r="T10" s="57">
        <f>COUNTIF('第11章(森林)'!S9:U11,"&gt;=5")-COUNTIF('第11章(森林)'!S9:U11,"&gt;8")</f>
        <v>0</v>
      </c>
      <c r="U10" s="57">
        <f>COUNTIF('第11章(森林)'!T9:V11,"&gt;=5")-COUNTIF('第11章(森林)'!T9:V11,"&gt;8")</f>
        <v>0</v>
      </c>
      <c r="V10" s="57">
        <f>COUNTIF('第11章(森林)'!U9:W11,"&gt;=5")-COUNTIF('第11章(森林)'!U9:W11,"&gt;8")</f>
        <v>0</v>
      </c>
      <c r="W10" s="57">
        <f>COUNTIF('第11章(森林)'!V9:X11,"&gt;=5")-COUNTIF('第11章(森林)'!V9:X11,"&gt;8")</f>
        <v>0</v>
      </c>
      <c r="X10" s="57">
        <f>COUNTIF('第11章(森林)'!W9:Y11,"&gt;=5")-COUNTIF('第11章(森林)'!W9:Y11,"&gt;8")</f>
        <v>0</v>
      </c>
      <c r="Y10" s="57">
        <f>COUNTIF('第11章(森林)'!X9:Z11,"&gt;=5")-COUNTIF('第11章(森林)'!X9:Z11,"&gt;8")</f>
        <v>0</v>
      </c>
      <c r="Z10" s="57">
        <f>COUNTIF('第11章(森林)'!Y9:AA11,"&gt;=5")-COUNTIF('第11章(森林)'!Y9:AA11,"&gt;8")</f>
        <v>0</v>
      </c>
    </row>
    <row r="11" spans="2:26" ht="12" customHeight="1" x14ac:dyDescent="0.15">
      <c r="B11" s="57">
        <f>COUNTIF('第11章(森林)'!A10:C12,"&gt;=5")-COUNTIF('第11章(森林)'!A10:C12,"&gt;8")</f>
        <v>0</v>
      </c>
      <c r="C11" s="57">
        <f>COUNTIF('第11章(森林)'!B10:D12,"&gt;=5")-COUNTIF('第11章(森林)'!B10:D12,"&gt;8")</f>
        <v>0</v>
      </c>
      <c r="D11" s="57">
        <f>COUNTIF('第11章(森林)'!C10:E12,"&gt;=5")-COUNTIF('第11章(森林)'!C10:E12,"&gt;8")</f>
        <v>0</v>
      </c>
      <c r="E11" s="57">
        <f>COUNTIF('第11章(森林)'!D10:F12,"&gt;=5")-COUNTIF('第11章(森林)'!D10:F12,"&gt;8")</f>
        <v>0</v>
      </c>
      <c r="F11" s="57">
        <f>COUNTIF('第11章(森林)'!E10:G12,"&gt;=5")-COUNTIF('第11章(森林)'!E10:G12,"&gt;8")</f>
        <v>0</v>
      </c>
      <c r="G11" s="57">
        <f>COUNTIF('第11章(森林)'!F10:H12,"&gt;=5")-COUNTIF('第11章(森林)'!F10:H12,"&gt;8")</f>
        <v>0</v>
      </c>
      <c r="H11" s="57">
        <f>COUNTIF('第11章(森林)'!G10:I12,"&gt;=5")-COUNTIF('第11章(森林)'!G10:I12,"&gt;8")</f>
        <v>0</v>
      </c>
      <c r="I11" s="57">
        <f>COUNTIF('第11章(森林)'!H10:J12,"&gt;=5")-COUNTIF('第11章(森林)'!H10:J12,"&gt;8")</f>
        <v>0</v>
      </c>
      <c r="J11" s="57">
        <f>COUNTIF('第11章(森林)'!I10:K12,"&gt;=5")-COUNTIF('第11章(森林)'!I10:K12,"&gt;8")</f>
        <v>0</v>
      </c>
      <c r="K11" s="57">
        <f>COUNTIF('第11章(森林)'!J10:L12,"&gt;=5")-COUNTIF('第11章(森林)'!J10:L12,"&gt;8")</f>
        <v>0</v>
      </c>
      <c r="L11" s="57">
        <f>COUNTIF('第11章(森林)'!K10:M12,"&gt;=5")-COUNTIF('第11章(森林)'!K10:M12,"&gt;8")</f>
        <v>0</v>
      </c>
      <c r="M11" s="57">
        <f>COUNTIF('第11章(森林)'!L10:N12,"&gt;=5")-COUNTIF('第11章(森林)'!L10:N12,"&gt;8")</f>
        <v>0</v>
      </c>
      <c r="N11" s="57">
        <f>COUNTIF('第11章(森林)'!M10:O12,"&gt;=5")-COUNTIF('第11章(森林)'!M10:O12,"&gt;8")</f>
        <v>0</v>
      </c>
      <c r="O11" s="57">
        <f>COUNTIF('第11章(森林)'!N10:P12,"&gt;=5")-COUNTIF('第11章(森林)'!N10:P12,"&gt;8")</f>
        <v>0</v>
      </c>
      <c r="P11" s="57">
        <f>COUNTIF('第11章(森林)'!O10:Q12,"&gt;=5")-COUNTIF('第11章(森林)'!O10:Q12,"&gt;8")</f>
        <v>0</v>
      </c>
      <c r="Q11" s="57">
        <f>COUNTIF('第11章(森林)'!P10:R12,"&gt;=5")-COUNTIF('第11章(森林)'!P10:R12,"&gt;8")</f>
        <v>0</v>
      </c>
      <c r="R11" s="57">
        <f>COUNTIF('第11章(森林)'!Q10:S12,"&gt;=5")-COUNTIF('第11章(森林)'!Q10:S12,"&gt;8")</f>
        <v>0</v>
      </c>
      <c r="S11" s="57">
        <f>COUNTIF('第11章(森林)'!R10:T12,"&gt;=5")-COUNTIF('第11章(森林)'!R10:T12,"&gt;8")</f>
        <v>0</v>
      </c>
      <c r="T11" s="57">
        <f>COUNTIF('第11章(森林)'!S10:U12,"&gt;=5")-COUNTIF('第11章(森林)'!S10:U12,"&gt;8")</f>
        <v>0</v>
      </c>
      <c r="U11" s="57">
        <f>COUNTIF('第11章(森林)'!T10:V12,"&gt;=5")-COUNTIF('第11章(森林)'!T10:V12,"&gt;8")</f>
        <v>0</v>
      </c>
      <c r="V11" s="57">
        <f>COUNTIF('第11章(森林)'!U10:W12,"&gt;=5")-COUNTIF('第11章(森林)'!U10:W12,"&gt;8")</f>
        <v>0</v>
      </c>
      <c r="W11" s="57">
        <f>COUNTIF('第11章(森林)'!V10:X12,"&gt;=5")-COUNTIF('第11章(森林)'!V10:X12,"&gt;8")</f>
        <v>0</v>
      </c>
      <c r="X11" s="57">
        <f>COUNTIF('第11章(森林)'!W10:Y12,"&gt;=5")-COUNTIF('第11章(森林)'!W10:Y12,"&gt;8")</f>
        <v>0</v>
      </c>
      <c r="Y11" s="57">
        <f>COUNTIF('第11章(森林)'!X10:Z12,"&gt;=5")-COUNTIF('第11章(森林)'!X10:Z12,"&gt;8")</f>
        <v>0</v>
      </c>
      <c r="Z11" s="57">
        <f>COUNTIF('第11章(森林)'!Y10:AA12,"&gt;=5")-COUNTIF('第11章(森林)'!Y10:AA12,"&gt;8")</f>
        <v>0</v>
      </c>
    </row>
    <row r="12" spans="2:26" ht="12" customHeight="1" x14ac:dyDescent="0.15">
      <c r="B12" s="57">
        <f>COUNTIF('第11章(森林)'!A11:C13,"&gt;=5")-COUNTIF('第11章(森林)'!A11:C13,"&gt;8")</f>
        <v>0</v>
      </c>
      <c r="C12" s="57">
        <f>COUNTIF('第11章(森林)'!B11:D13,"&gt;=5")-COUNTIF('第11章(森林)'!B11:D13,"&gt;8")</f>
        <v>0</v>
      </c>
      <c r="D12" s="57">
        <f>COUNTIF('第11章(森林)'!C11:E13,"&gt;=5")-COUNTIF('第11章(森林)'!C11:E13,"&gt;8")</f>
        <v>0</v>
      </c>
      <c r="E12" s="57">
        <f>COUNTIF('第11章(森林)'!D11:F13,"&gt;=5")-COUNTIF('第11章(森林)'!D11:F13,"&gt;8")</f>
        <v>0</v>
      </c>
      <c r="F12" s="57">
        <f>COUNTIF('第11章(森林)'!E11:G13,"&gt;=5")-COUNTIF('第11章(森林)'!E11:G13,"&gt;8")</f>
        <v>0</v>
      </c>
      <c r="G12" s="57">
        <f>COUNTIF('第11章(森林)'!F11:H13,"&gt;=5")-COUNTIF('第11章(森林)'!F11:H13,"&gt;8")</f>
        <v>0</v>
      </c>
      <c r="H12" s="57">
        <f>COUNTIF('第11章(森林)'!G11:I13,"&gt;=5")-COUNTIF('第11章(森林)'!G11:I13,"&gt;8")</f>
        <v>0</v>
      </c>
      <c r="I12" s="57">
        <f>COUNTIF('第11章(森林)'!H11:J13,"&gt;=5")-COUNTIF('第11章(森林)'!H11:J13,"&gt;8")</f>
        <v>0</v>
      </c>
      <c r="J12" s="57">
        <f>COUNTIF('第11章(森林)'!I11:K13,"&gt;=5")-COUNTIF('第11章(森林)'!I11:K13,"&gt;8")</f>
        <v>0</v>
      </c>
      <c r="K12" s="57">
        <f>COUNTIF('第11章(森林)'!J11:L13,"&gt;=5")-COUNTIF('第11章(森林)'!J11:L13,"&gt;8")</f>
        <v>0</v>
      </c>
      <c r="L12" s="57">
        <f>COUNTIF('第11章(森林)'!K11:M13,"&gt;=5")-COUNTIF('第11章(森林)'!K11:M13,"&gt;8")</f>
        <v>0</v>
      </c>
      <c r="M12" s="57">
        <f>COUNTIF('第11章(森林)'!L11:N13,"&gt;=5")-COUNTIF('第11章(森林)'!L11:N13,"&gt;8")</f>
        <v>0</v>
      </c>
      <c r="N12" s="57">
        <f>COUNTIF('第11章(森林)'!M11:O13,"&gt;=5")-COUNTIF('第11章(森林)'!M11:O13,"&gt;8")</f>
        <v>0</v>
      </c>
      <c r="O12" s="57">
        <f>COUNTIF('第11章(森林)'!N11:P13,"&gt;=5")-COUNTIF('第11章(森林)'!N11:P13,"&gt;8")</f>
        <v>0</v>
      </c>
      <c r="P12" s="57">
        <f>COUNTIF('第11章(森林)'!O11:Q13,"&gt;=5")-COUNTIF('第11章(森林)'!O11:Q13,"&gt;8")</f>
        <v>0</v>
      </c>
      <c r="Q12" s="57">
        <f>COUNTIF('第11章(森林)'!P11:R13,"&gt;=5")-COUNTIF('第11章(森林)'!P11:R13,"&gt;8")</f>
        <v>0</v>
      </c>
      <c r="R12" s="57">
        <f>COUNTIF('第11章(森林)'!Q11:S13,"&gt;=5")-COUNTIF('第11章(森林)'!Q11:S13,"&gt;8")</f>
        <v>0</v>
      </c>
      <c r="S12" s="57">
        <f>COUNTIF('第11章(森林)'!R11:T13,"&gt;=5")-COUNTIF('第11章(森林)'!R11:T13,"&gt;8")</f>
        <v>0</v>
      </c>
      <c r="T12" s="57">
        <f>COUNTIF('第11章(森林)'!S11:U13,"&gt;=5")-COUNTIF('第11章(森林)'!S11:U13,"&gt;8")</f>
        <v>0</v>
      </c>
      <c r="U12" s="57">
        <f>COUNTIF('第11章(森林)'!T11:V13,"&gt;=5")-COUNTIF('第11章(森林)'!T11:V13,"&gt;8")</f>
        <v>0</v>
      </c>
      <c r="V12" s="57">
        <f>COUNTIF('第11章(森林)'!U11:W13,"&gt;=5")-COUNTIF('第11章(森林)'!U11:W13,"&gt;8")</f>
        <v>0</v>
      </c>
      <c r="W12" s="57">
        <f>COUNTIF('第11章(森林)'!V11:X13,"&gt;=5")-COUNTIF('第11章(森林)'!V11:X13,"&gt;8")</f>
        <v>0</v>
      </c>
      <c r="X12" s="57">
        <f>COUNTIF('第11章(森林)'!W11:Y13,"&gt;=5")-COUNTIF('第11章(森林)'!W11:Y13,"&gt;8")</f>
        <v>0</v>
      </c>
      <c r="Y12" s="57">
        <f>COUNTIF('第11章(森林)'!X11:Z13,"&gt;=5")-COUNTIF('第11章(森林)'!X11:Z13,"&gt;8")</f>
        <v>0</v>
      </c>
      <c r="Z12" s="57">
        <f>COUNTIF('第11章(森林)'!Y11:AA13,"&gt;=5")-COUNTIF('第11章(森林)'!Y11:AA13,"&gt;8")</f>
        <v>0</v>
      </c>
    </row>
    <row r="13" spans="2:26" ht="12" customHeight="1" x14ac:dyDescent="0.15">
      <c r="B13" s="57">
        <f>COUNTIF('第11章(森林)'!A12:C14,"&gt;=5")-COUNTIF('第11章(森林)'!A12:C14,"&gt;8")</f>
        <v>0</v>
      </c>
      <c r="C13" s="57">
        <f>COUNTIF('第11章(森林)'!B12:D14,"&gt;=5")-COUNTIF('第11章(森林)'!B12:D14,"&gt;8")</f>
        <v>0</v>
      </c>
      <c r="D13" s="57">
        <f>COUNTIF('第11章(森林)'!C12:E14,"&gt;=5")-COUNTIF('第11章(森林)'!C12:E14,"&gt;8")</f>
        <v>0</v>
      </c>
      <c r="E13" s="57">
        <f>COUNTIF('第11章(森林)'!D12:F14,"&gt;=5")-COUNTIF('第11章(森林)'!D12:F14,"&gt;8")</f>
        <v>0</v>
      </c>
      <c r="F13" s="57">
        <f>COUNTIF('第11章(森林)'!E12:G14,"&gt;=5")-COUNTIF('第11章(森林)'!E12:G14,"&gt;8")</f>
        <v>0</v>
      </c>
      <c r="G13" s="57">
        <f>COUNTIF('第11章(森林)'!F12:H14,"&gt;=5")-COUNTIF('第11章(森林)'!F12:H14,"&gt;8")</f>
        <v>0</v>
      </c>
      <c r="H13" s="57">
        <f>COUNTIF('第11章(森林)'!G12:I14,"&gt;=5")-COUNTIF('第11章(森林)'!G12:I14,"&gt;8")</f>
        <v>0</v>
      </c>
      <c r="I13" s="57">
        <f>COUNTIF('第11章(森林)'!H12:J14,"&gt;=5")-COUNTIF('第11章(森林)'!H12:J14,"&gt;8")</f>
        <v>0</v>
      </c>
      <c r="J13" s="57">
        <f>COUNTIF('第11章(森林)'!I12:K14,"&gt;=5")-COUNTIF('第11章(森林)'!I12:K14,"&gt;8")</f>
        <v>0</v>
      </c>
      <c r="K13" s="57">
        <f>COUNTIF('第11章(森林)'!J12:L14,"&gt;=5")-COUNTIF('第11章(森林)'!J12:L14,"&gt;8")</f>
        <v>0</v>
      </c>
      <c r="L13" s="57">
        <f>COUNTIF('第11章(森林)'!K12:M14,"&gt;=5")-COUNTIF('第11章(森林)'!K12:M14,"&gt;8")</f>
        <v>0</v>
      </c>
      <c r="M13" s="57">
        <f>COUNTIF('第11章(森林)'!L12:N14,"&gt;=5")-COUNTIF('第11章(森林)'!L12:N14,"&gt;8")</f>
        <v>1</v>
      </c>
      <c r="N13" s="57">
        <f>COUNTIF('第11章(森林)'!M12:O14,"&gt;=5")-COUNTIF('第11章(森林)'!M12:O14,"&gt;8")</f>
        <v>1</v>
      </c>
      <c r="O13" s="57">
        <f>COUNTIF('第11章(森林)'!N12:P14,"&gt;=5")-COUNTIF('第11章(森林)'!N12:P14,"&gt;8")</f>
        <v>1</v>
      </c>
      <c r="P13" s="57">
        <f>COUNTIF('第11章(森林)'!O12:Q14,"&gt;=5")-COUNTIF('第11章(森林)'!O12:Q14,"&gt;8")</f>
        <v>0</v>
      </c>
      <c r="Q13" s="57">
        <f>COUNTIF('第11章(森林)'!P12:R14,"&gt;=5")-COUNTIF('第11章(森林)'!P12:R14,"&gt;8")</f>
        <v>0</v>
      </c>
      <c r="R13" s="57">
        <f>COUNTIF('第11章(森林)'!Q12:S14,"&gt;=5")-COUNTIF('第11章(森林)'!Q12:S14,"&gt;8")</f>
        <v>0</v>
      </c>
      <c r="S13" s="57">
        <f>COUNTIF('第11章(森林)'!R12:T14,"&gt;=5")-COUNTIF('第11章(森林)'!R12:T14,"&gt;8")</f>
        <v>0</v>
      </c>
      <c r="T13" s="57">
        <f>COUNTIF('第11章(森林)'!S12:U14,"&gt;=5")-COUNTIF('第11章(森林)'!S12:U14,"&gt;8")</f>
        <v>0</v>
      </c>
      <c r="U13" s="57">
        <f>COUNTIF('第11章(森林)'!T12:V14,"&gt;=5")-COUNTIF('第11章(森林)'!T12:V14,"&gt;8")</f>
        <v>0</v>
      </c>
      <c r="V13" s="57">
        <f>COUNTIF('第11章(森林)'!U12:W14,"&gt;=5")-COUNTIF('第11章(森林)'!U12:W14,"&gt;8")</f>
        <v>0</v>
      </c>
      <c r="W13" s="57">
        <f>COUNTIF('第11章(森林)'!V12:X14,"&gt;=5")-COUNTIF('第11章(森林)'!V12:X14,"&gt;8")</f>
        <v>0</v>
      </c>
      <c r="X13" s="57">
        <f>COUNTIF('第11章(森林)'!W12:Y14,"&gt;=5")-COUNTIF('第11章(森林)'!W12:Y14,"&gt;8")</f>
        <v>0</v>
      </c>
      <c r="Y13" s="57">
        <f>COUNTIF('第11章(森林)'!X12:Z14,"&gt;=5")-COUNTIF('第11章(森林)'!X12:Z14,"&gt;8")</f>
        <v>0</v>
      </c>
      <c r="Z13" s="57">
        <f>COUNTIF('第11章(森林)'!Y12:AA14,"&gt;=5")-COUNTIF('第11章(森林)'!Y12:AA14,"&gt;8")</f>
        <v>0</v>
      </c>
    </row>
    <row r="14" spans="2:26" ht="12" customHeight="1" x14ac:dyDescent="0.15">
      <c r="B14" s="57">
        <f>COUNTIF('第11章(森林)'!A13:C15,"&gt;=5")-COUNTIF('第11章(森林)'!A13:C15,"&gt;8")</f>
        <v>0</v>
      </c>
      <c r="C14" s="57">
        <f>COUNTIF('第11章(森林)'!B13:D15,"&gt;=5")-COUNTIF('第11章(森林)'!B13:D15,"&gt;8")</f>
        <v>0</v>
      </c>
      <c r="D14" s="57">
        <f>COUNTIF('第11章(森林)'!C13:E15,"&gt;=5")-COUNTIF('第11章(森林)'!C13:E15,"&gt;8")</f>
        <v>0</v>
      </c>
      <c r="E14" s="57">
        <f>COUNTIF('第11章(森林)'!D13:F15,"&gt;=5")-COUNTIF('第11章(森林)'!D13:F15,"&gt;8")</f>
        <v>0</v>
      </c>
      <c r="F14" s="57">
        <f>COUNTIF('第11章(森林)'!E13:G15,"&gt;=5")-COUNTIF('第11章(森林)'!E13:G15,"&gt;8")</f>
        <v>0</v>
      </c>
      <c r="G14" s="57">
        <f>COUNTIF('第11章(森林)'!F13:H15,"&gt;=5")-COUNTIF('第11章(森林)'!F13:H15,"&gt;8")</f>
        <v>0</v>
      </c>
      <c r="H14" s="57">
        <f>COUNTIF('第11章(森林)'!G13:I15,"&gt;=5")-COUNTIF('第11章(森林)'!G13:I15,"&gt;8")</f>
        <v>0</v>
      </c>
      <c r="I14" s="57">
        <f>COUNTIF('第11章(森林)'!H13:J15,"&gt;=5")-COUNTIF('第11章(森林)'!H13:J15,"&gt;8")</f>
        <v>0</v>
      </c>
      <c r="J14" s="57">
        <f>COUNTIF('第11章(森林)'!I13:K15,"&gt;=5")-COUNTIF('第11章(森林)'!I13:K15,"&gt;8")</f>
        <v>0</v>
      </c>
      <c r="K14" s="57">
        <f>COUNTIF('第11章(森林)'!J13:L15,"&gt;=5")-COUNTIF('第11章(森林)'!J13:L15,"&gt;8")</f>
        <v>0</v>
      </c>
      <c r="L14" s="57">
        <f>COUNTIF('第11章(森林)'!K13:M15,"&gt;=5")-COUNTIF('第11章(森林)'!K13:M15,"&gt;8")</f>
        <v>0</v>
      </c>
      <c r="M14" s="57">
        <f>COUNTIF('第11章(森林)'!L13:N15,"&gt;=5")-COUNTIF('第11章(森林)'!L13:N15,"&gt;8")</f>
        <v>1</v>
      </c>
      <c r="N14" s="57">
        <f>COUNTIF('第11章(森林)'!M13:O15,"&gt;=5")-COUNTIF('第11章(森林)'!M13:O15,"&gt;8")</f>
        <v>1</v>
      </c>
      <c r="O14" s="57">
        <f>COUNTIF('第11章(森林)'!N13:P15,"&gt;=5")-COUNTIF('第11章(森林)'!N13:P15,"&gt;8")</f>
        <v>1</v>
      </c>
      <c r="P14" s="57">
        <f>COUNTIF('第11章(森林)'!O13:Q15,"&gt;=5")-COUNTIF('第11章(森林)'!O13:Q15,"&gt;8")</f>
        <v>0</v>
      </c>
      <c r="Q14" s="57">
        <f>COUNTIF('第11章(森林)'!P13:R15,"&gt;=5")-COUNTIF('第11章(森林)'!P13:R15,"&gt;8")</f>
        <v>0</v>
      </c>
      <c r="R14" s="57">
        <f>COUNTIF('第11章(森林)'!Q13:S15,"&gt;=5")-COUNTIF('第11章(森林)'!Q13:S15,"&gt;8")</f>
        <v>0</v>
      </c>
      <c r="S14" s="57">
        <f>COUNTIF('第11章(森林)'!R13:T15,"&gt;=5")-COUNTIF('第11章(森林)'!R13:T15,"&gt;8")</f>
        <v>0</v>
      </c>
      <c r="T14" s="57">
        <f>COUNTIF('第11章(森林)'!S13:U15,"&gt;=5")-COUNTIF('第11章(森林)'!S13:U15,"&gt;8")</f>
        <v>0</v>
      </c>
      <c r="U14" s="57">
        <f>COUNTIF('第11章(森林)'!T13:V15,"&gt;=5")-COUNTIF('第11章(森林)'!T13:V15,"&gt;8")</f>
        <v>0</v>
      </c>
      <c r="V14" s="57">
        <f>COUNTIF('第11章(森林)'!U13:W15,"&gt;=5")-COUNTIF('第11章(森林)'!U13:W15,"&gt;8")</f>
        <v>0</v>
      </c>
      <c r="W14" s="57">
        <f>COUNTIF('第11章(森林)'!V13:X15,"&gt;=5")-COUNTIF('第11章(森林)'!V13:X15,"&gt;8")</f>
        <v>0</v>
      </c>
      <c r="X14" s="57">
        <f>COUNTIF('第11章(森林)'!W13:Y15,"&gt;=5")-COUNTIF('第11章(森林)'!W13:Y15,"&gt;8")</f>
        <v>0</v>
      </c>
      <c r="Y14" s="57">
        <f>COUNTIF('第11章(森林)'!X13:Z15,"&gt;=5")-COUNTIF('第11章(森林)'!X13:Z15,"&gt;8")</f>
        <v>0</v>
      </c>
      <c r="Z14" s="57">
        <f>COUNTIF('第11章(森林)'!Y13:AA15,"&gt;=5")-COUNTIF('第11章(森林)'!Y13:AA15,"&gt;8")</f>
        <v>0</v>
      </c>
    </row>
    <row r="15" spans="2:26" ht="12" customHeight="1" x14ac:dyDescent="0.15">
      <c r="B15" s="57">
        <f>COUNTIF('第11章(森林)'!A14:C16,"&gt;=5")-COUNTIF('第11章(森林)'!A14:C16,"&gt;8")</f>
        <v>0</v>
      </c>
      <c r="C15" s="57">
        <f>COUNTIF('第11章(森林)'!B14:D16,"&gt;=5")-COUNTIF('第11章(森林)'!B14:D16,"&gt;8")</f>
        <v>0</v>
      </c>
      <c r="D15" s="57">
        <f>COUNTIF('第11章(森林)'!C14:E16,"&gt;=5")-COUNTIF('第11章(森林)'!C14:E16,"&gt;8")</f>
        <v>0</v>
      </c>
      <c r="E15" s="57">
        <f>COUNTIF('第11章(森林)'!D14:F16,"&gt;=5")-COUNTIF('第11章(森林)'!D14:F16,"&gt;8")</f>
        <v>0</v>
      </c>
      <c r="F15" s="57">
        <f>COUNTIF('第11章(森林)'!E14:G16,"&gt;=5")-COUNTIF('第11章(森林)'!E14:G16,"&gt;8")</f>
        <v>0</v>
      </c>
      <c r="G15" s="57">
        <f>COUNTIF('第11章(森林)'!F14:H16,"&gt;=5")-COUNTIF('第11章(森林)'!F14:H16,"&gt;8")</f>
        <v>0</v>
      </c>
      <c r="H15" s="57">
        <f>COUNTIF('第11章(森林)'!G14:I16,"&gt;=5")-COUNTIF('第11章(森林)'!G14:I16,"&gt;8")</f>
        <v>0</v>
      </c>
      <c r="I15" s="57">
        <f>COUNTIF('第11章(森林)'!H14:J16,"&gt;=5")-COUNTIF('第11章(森林)'!H14:J16,"&gt;8")</f>
        <v>0</v>
      </c>
      <c r="J15" s="57">
        <f>COUNTIF('第11章(森林)'!I14:K16,"&gt;=5")-COUNTIF('第11章(森林)'!I14:K16,"&gt;8")</f>
        <v>0</v>
      </c>
      <c r="K15" s="57">
        <f>COUNTIF('第11章(森林)'!J14:L16,"&gt;=5")-COUNTIF('第11章(森林)'!J14:L16,"&gt;8")</f>
        <v>0</v>
      </c>
      <c r="L15" s="57">
        <f>COUNTIF('第11章(森林)'!K14:M16,"&gt;=5")-COUNTIF('第11章(森林)'!K14:M16,"&gt;8")</f>
        <v>0</v>
      </c>
      <c r="M15" s="57">
        <f>COUNTIF('第11章(森林)'!L14:N16,"&gt;=5")-COUNTIF('第11章(森林)'!L14:N16,"&gt;8")</f>
        <v>1</v>
      </c>
      <c r="N15" s="57">
        <f>COUNTIF('第11章(森林)'!M14:O16,"&gt;=5")-COUNTIF('第11章(森林)'!M14:O16,"&gt;8")</f>
        <v>1</v>
      </c>
      <c r="O15" s="57">
        <f>COUNTIF('第11章(森林)'!N14:P16,"&gt;=5")-COUNTIF('第11章(森林)'!N14:P16,"&gt;8")</f>
        <v>1</v>
      </c>
      <c r="P15" s="57">
        <f>COUNTIF('第11章(森林)'!O14:Q16,"&gt;=5")-COUNTIF('第11章(森林)'!O14:Q16,"&gt;8")</f>
        <v>0</v>
      </c>
      <c r="Q15" s="57">
        <f>COUNTIF('第11章(森林)'!P14:R16,"&gt;=5")-COUNTIF('第11章(森林)'!P14:R16,"&gt;8")</f>
        <v>0</v>
      </c>
      <c r="R15" s="57">
        <f>COUNTIF('第11章(森林)'!Q14:S16,"&gt;=5")-COUNTIF('第11章(森林)'!Q14:S16,"&gt;8")</f>
        <v>0</v>
      </c>
      <c r="S15" s="57">
        <f>COUNTIF('第11章(森林)'!R14:T16,"&gt;=5")-COUNTIF('第11章(森林)'!R14:T16,"&gt;8")</f>
        <v>0</v>
      </c>
      <c r="T15" s="57">
        <f>COUNTIF('第11章(森林)'!S14:U16,"&gt;=5")-COUNTIF('第11章(森林)'!S14:U16,"&gt;8")</f>
        <v>0</v>
      </c>
      <c r="U15" s="57">
        <f>COUNTIF('第11章(森林)'!T14:V16,"&gt;=5")-COUNTIF('第11章(森林)'!T14:V16,"&gt;8")</f>
        <v>0</v>
      </c>
      <c r="V15" s="57">
        <f>COUNTIF('第11章(森林)'!U14:W16,"&gt;=5")-COUNTIF('第11章(森林)'!U14:W16,"&gt;8")</f>
        <v>0</v>
      </c>
      <c r="W15" s="57">
        <f>COUNTIF('第11章(森林)'!V14:X16,"&gt;=5")-COUNTIF('第11章(森林)'!V14:X16,"&gt;8")</f>
        <v>0</v>
      </c>
      <c r="X15" s="57">
        <f>COUNTIF('第11章(森林)'!W14:Y16,"&gt;=5")-COUNTIF('第11章(森林)'!W14:Y16,"&gt;8")</f>
        <v>0</v>
      </c>
      <c r="Y15" s="57">
        <f>COUNTIF('第11章(森林)'!X14:Z16,"&gt;=5")-COUNTIF('第11章(森林)'!X14:Z16,"&gt;8")</f>
        <v>0</v>
      </c>
      <c r="Z15" s="57">
        <f>COUNTIF('第11章(森林)'!Y14:AA16,"&gt;=5")-COUNTIF('第11章(森林)'!Y14:AA16,"&gt;8")</f>
        <v>0</v>
      </c>
    </row>
    <row r="16" spans="2:26" ht="12" customHeight="1" x14ac:dyDescent="0.15">
      <c r="B16" s="57">
        <f>COUNTIF('第11章(森林)'!A15:C17,"&gt;=5")-COUNTIF('第11章(森林)'!A15:C17,"&gt;8")</f>
        <v>0</v>
      </c>
      <c r="C16" s="57">
        <f>COUNTIF('第11章(森林)'!B15:D17,"&gt;=5")-COUNTIF('第11章(森林)'!B15:D17,"&gt;8")</f>
        <v>0</v>
      </c>
      <c r="D16" s="57">
        <f>COUNTIF('第11章(森林)'!C15:E17,"&gt;=5")-COUNTIF('第11章(森林)'!C15:E17,"&gt;8")</f>
        <v>0</v>
      </c>
      <c r="E16" s="57">
        <f>COUNTIF('第11章(森林)'!D15:F17,"&gt;=5")-COUNTIF('第11章(森林)'!D15:F17,"&gt;8")</f>
        <v>0</v>
      </c>
      <c r="F16" s="57">
        <f>COUNTIF('第11章(森林)'!E15:G17,"&gt;=5")-COUNTIF('第11章(森林)'!E15:G17,"&gt;8")</f>
        <v>0</v>
      </c>
      <c r="G16" s="57">
        <f>COUNTIF('第11章(森林)'!F15:H17,"&gt;=5")-COUNTIF('第11章(森林)'!F15:H17,"&gt;8")</f>
        <v>0</v>
      </c>
      <c r="H16" s="57">
        <f>COUNTIF('第11章(森林)'!G15:I17,"&gt;=5")-COUNTIF('第11章(森林)'!G15:I17,"&gt;8")</f>
        <v>0</v>
      </c>
      <c r="I16" s="57">
        <f>COUNTIF('第11章(森林)'!H15:J17,"&gt;=5")-COUNTIF('第11章(森林)'!H15:J17,"&gt;8")</f>
        <v>0</v>
      </c>
      <c r="J16" s="57">
        <f>COUNTIF('第11章(森林)'!I15:K17,"&gt;=5")-COUNTIF('第11章(森林)'!I15:K17,"&gt;8")</f>
        <v>0</v>
      </c>
      <c r="K16" s="57">
        <f>COUNTIF('第11章(森林)'!J15:L17,"&gt;=5")-COUNTIF('第11章(森林)'!J15:L17,"&gt;8")</f>
        <v>0</v>
      </c>
      <c r="L16" s="57">
        <f>COUNTIF('第11章(森林)'!K15:M17,"&gt;=5")-COUNTIF('第11章(森林)'!K15:M17,"&gt;8")</f>
        <v>0</v>
      </c>
      <c r="M16" s="57">
        <f>COUNTIF('第11章(森林)'!L15:N17,"&gt;=5")-COUNTIF('第11章(森林)'!L15:N17,"&gt;8")</f>
        <v>0</v>
      </c>
      <c r="N16" s="57">
        <f>COUNTIF('第11章(森林)'!M15:O17,"&gt;=5")-COUNTIF('第11章(森林)'!M15:O17,"&gt;8")</f>
        <v>0</v>
      </c>
      <c r="O16" s="57">
        <f>COUNTIF('第11章(森林)'!N15:P17,"&gt;=5")-COUNTIF('第11章(森林)'!N15:P17,"&gt;8")</f>
        <v>0</v>
      </c>
      <c r="P16" s="57">
        <f>COUNTIF('第11章(森林)'!O15:Q17,"&gt;=5")-COUNTIF('第11章(森林)'!O15:Q17,"&gt;8")</f>
        <v>0</v>
      </c>
      <c r="Q16" s="57">
        <f>COUNTIF('第11章(森林)'!P15:R17,"&gt;=5")-COUNTIF('第11章(森林)'!P15:R17,"&gt;8")</f>
        <v>0</v>
      </c>
      <c r="R16" s="57">
        <f>COUNTIF('第11章(森林)'!Q15:S17,"&gt;=5")-COUNTIF('第11章(森林)'!Q15:S17,"&gt;8")</f>
        <v>0</v>
      </c>
      <c r="S16" s="57">
        <f>COUNTIF('第11章(森林)'!R15:T17,"&gt;=5")-COUNTIF('第11章(森林)'!R15:T17,"&gt;8")</f>
        <v>0</v>
      </c>
      <c r="T16" s="57">
        <f>COUNTIF('第11章(森林)'!S15:U17,"&gt;=5")-COUNTIF('第11章(森林)'!S15:U17,"&gt;8")</f>
        <v>0</v>
      </c>
      <c r="U16" s="57">
        <f>COUNTIF('第11章(森林)'!T15:V17,"&gt;=5")-COUNTIF('第11章(森林)'!T15:V17,"&gt;8")</f>
        <v>0</v>
      </c>
      <c r="V16" s="57">
        <f>COUNTIF('第11章(森林)'!U15:W17,"&gt;=5")-COUNTIF('第11章(森林)'!U15:W17,"&gt;8")</f>
        <v>0</v>
      </c>
      <c r="W16" s="57">
        <f>COUNTIF('第11章(森林)'!V15:X17,"&gt;=5")-COUNTIF('第11章(森林)'!V15:X17,"&gt;8")</f>
        <v>0</v>
      </c>
      <c r="X16" s="57">
        <f>COUNTIF('第11章(森林)'!W15:Y17,"&gt;=5")-COUNTIF('第11章(森林)'!W15:Y17,"&gt;8")</f>
        <v>0</v>
      </c>
      <c r="Y16" s="57">
        <f>COUNTIF('第11章(森林)'!X15:Z17,"&gt;=5")-COUNTIF('第11章(森林)'!X15:Z17,"&gt;8")</f>
        <v>0</v>
      </c>
      <c r="Z16" s="57">
        <f>COUNTIF('第11章(森林)'!Y15:AA17,"&gt;=5")-COUNTIF('第11章(森林)'!Y15:AA17,"&gt;8")</f>
        <v>0</v>
      </c>
    </row>
    <row r="17" spans="2:26" ht="12" customHeight="1" x14ac:dyDescent="0.15">
      <c r="B17" s="57">
        <f>COUNTIF('第11章(森林)'!A16:C18,"&gt;=5")-COUNTIF('第11章(森林)'!A16:C18,"&gt;8")</f>
        <v>0</v>
      </c>
      <c r="C17" s="57">
        <f>COUNTIF('第11章(森林)'!B16:D18,"&gt;=5")-COUNTIF('第11章(森林)'!B16:D18,"&gt;8")</f>
        <v>0</v>
      </c>
      <c r="D17" s="57">
        <f>COUNTIF('第11章(森林)'!C16:E18,"&gt;=5")-COUNTIF('第11章(森林)'!C16:E18,"&gt;8")</f>
        <v>0</v>
      </c>
      <c r="E17" s="57">
        <f>COUNTIF('第11章(森林)'!D16:F18,"&gt;=5")-COUNTIF('第11章(森林)'!D16:F18,"&gt;8")</f>
        <v>0</v>
      </c>
      <c r="F17" s="57">
        <f>COUNTIF('第11章(森林)'!E16:G18,"&gt;=5")-COUNTIF('第11章(森林)'!E16:G18,"&gt;8")</f>
        <v>0</v>
      </c>
      <c r="G17" s="57">
        <f>COUNTIF('第11章(森林)'!F16:H18,"&gt;=5")-COUNTIF('第11章(森林)'!F16:H18,"&gt;8")</f>
        <v>0</v>
      </c>
      <c r="H17" s="57">
        <f>COUNTIF('第11章(森林)'!G16:I18,"&gt;=5")-COUNTIF('第11章(森林)'!G16:I18,"&gt;8")</f>
        <v>0</v>
      </c>
      <c r="I17" s="57">
        <f>COUNTIF('第11章(森林)'!H16:J18,"&gt;=5")-COUNTIF('第11章(森林)'!H16:J18,"&gt;8")</f>
        <v>0</v>
      </c>
      <c r="J17" s="57">
        <f>COUNTIF('第11章(森林)'!I16:K18,"&gt;=5")-COUNTIF('第11章(森林)'!I16:K18,"&gt;8")</f>
        <v>0</v>
      </c>
      <c r="K17" s="57">
        <f>COUNTIF('第11章(森林)'!J16:L18,"&gt;=5")-COUNTIF('第11章(森林)'!J16:L18,"&gt;8")</f>
        <v>0</v>
      </c>
      <c r="L17" s="57">
        <f>COUNTIF('第11章(森林)'!K16:M18,"&gt;=5")-COUNTIF('第11章(森林)'!K16:M18,"&gt;8")</f>
        <v>0</v>
      </c>
      <c r="M17" s="57">
        <f>COUNTIF('第11章(森林)'!L16:N18,"&gt;=5")-COUNTIF('第11章(森林)'!L16:N18,"&gt;8")</f>
        <v>0</v>
      </c>
      <c r="N17" s="57">
        <f>COUNTIF('第11章(森林)'!M16:O18,"&gt;=5")-COUNTIF('第11章(森林)'!M16:O18,"&gt;8")</f>
        <v>0</v>
      </c>
      <c r="O17" s="57">
        <f>COUNTIF('第11章(森林)'!N16:P18,"&gt;=5")-COUNTIF('第11章(森林)'!N16:P18,"&gt;8")</f>
        <v>0</v>
      </c>
      <c r="P17" s="57">
        <f>COUNTIF('第11章(森林)'!O16:Q18,"&gt;=5")-COUNTIF('第11章(森林)'!O16:Q18,"&gt;8")</f>
        <v>0</v>
      </c>
      <c r="Q17" s="57">
        <f>COUNTIF('第11章(森林)'!P16:R18,"&gt;=5")-COUNTIF('第11章(森林)'!P16:R18,"&gt;8")</f>
        <v>0</v>
      </c>
      <c r="R17" s="57">
        <f>COUNTIF('第11章(森林)'!Q16:S18,"&gt;=5")-COUNTIF('第11章(森林)'!Q16:S18,"&gt;8")</f>
        <v>0</v>
      </c>
      <c r="S17" s="57">
        <f>COUNTIF('第11章(森林)'!R16:T18,"&gt;=5")-COUNTIF('第11章(森林)'!R16:T18,"&gt;8")</f>
        <v>0</v>
      </c>
      <c r="T17" s="57">
        <f>COUNTIF('第11章(森林)'!S16:U18,"&gt;=5")-COUNTIF('第11章(森林)'!S16:U18,"&gt;8")</f>
        <v>0</v>
      </c>
      <c r="U17" s="57">
        <f>COUNTIF('第11章(森林)'!T16:V18,"&gt;=5")-COUNTIF('第11章(森林)'!T16:V18,"&gt;8")</f>
        <v>0</v>
      </c>
      <c r="V17" s="57">
        <f>COUNTIF('第11章(森林)'!U16:W18,"&gt;=5")-COUNTIF('第11章(森林)'!U16:W18,"&gt;8")</f>
        <v>0</v>
      </c>
      <c r="W17" s="57">
        <f>COUNTIF('第11章(森林)'!V16:X18,"&gt;=5")-COUNTIF('第11章(森林)'!V16:X18,"&gt;8")</f>
        <v>0</v>
      </c>
      <c r="X17" s="57">
        <f>COUNTIF('第11章(森林)'!W16:Y18,"&gt;=5")-COUNTIF('第11章(森林)'!W16:Y18,"&gt;8")</f>
        <v>0</v>
      </c>
      <c r="Y17" s="57">
        <f>COUNTIF('第11章(森林)'!X16:Z18,"&gt;=5")-COUNTIF('第11章(森林)'!X16:Z18,"&gt;8")</f>
        <v>0</v>
      </c>
      <c r="Z17" s="57">
        <f>COUNTIF('第11章(森林)'!Y16:AA18,"&gt;=5")-COUNTIF('第11章(森林)'!Y16:AA18,"&gt;8")</f>
        <v>0</v>
      </c>
    </row>
    <row r="18" spans="2:26" ht="12" customHeight="1" x14ac:dyDescent="0.15">
      <c r="B18" s="57">
        <f>COUNTIF('第11章(森林)'!A17:C19,"&gt;=5")-COUNTIF('第11章(森林)'!A17:C19,"&gt;8")</f>
        <v>0</v>
      </c>
      <c r="C18" s="57">
        <f>COUNTIF('第11章(森林)'!B17:D19,"&gt;=5")-COUNTIF('第11章(森林)'!B17:D19,"&gt;8")</f>
        <v>0</v>
      </c>
      <c r="D18" s="57">
        <f>COUNTIF('第11章(森林)'!C17:E19,"&gt;=5")-COUNTIF('第11章(森林)'!C17:E19,"&gt;8")</f>
        <v>0</v>
      </c>
      <c r="E18" s="57">
        <f>COUNTIF('第11章(森林)'!D17:F19,"&gt;=5")-COUNTIF('第11章(森林)'!D17:F19,"&gt;8")</f>
        <v>0</v>
      </c>
      <c r="F18" s="57">
        <f>COUNTIF('第11章(森林)'!E17:G19,"&gt;=5")-COUNTIF('第11章(森林)'!E17:G19,"&gt;8")</f>
        <v>0</v>
      </c>
      <c r="G18" s="57">
        <f>COUNTIF('第11章(森林)'!F17:H19,"&gt;=5")-COUNTIF('第11章(森林)'!F17:H19,"&gt;8")</f>
        <v>0</v>
      </c>
      <c r="H18" s="57">
        <f>COUNTIF('第11章(森林)'!G17:I19,"&gt;=5")-COUNTIF('第11章(森林)'!G17:I19,"&gt;8")</f>
        <v>0</v>
      </c>
      <c r="I18" s="57">
        <f>COUNTIF('第11章(森林)'!H17:J19,"&gt;=5")-COUNTIF('第11章(森林)'!H17:J19,"&gt;8")</f>
        <v>0</v>
      </c>
      <c r="J18" s="57">
        <f>COUNTIF('第11章(森林)'!I17:K19,"&gt;=5")-COUNTIF('第11章(森林)'!I17:K19,"&gt;8")</f>
        <v>0</v>
      </c>
      <c r="K18" s="57">
        <f>COUNTIF('第11章(森林)'!J17:L19,"&gt;=5")-COUNTIF('第11章(森林)'!J17:L19,"&gt;8")</f>
        <v>0</v>
      </c>
      <c r="L18" s="57">
        <f>COUNTIF('第11章(森林)'!K17:M19,"&gt;=5")-COUNTIF('第11章(森林)'!K17:M19,"&gt;8")</f>
        <v>0</v>
      </c>
      <c r="M18" s="57">
        <f>COUNTIF('第11章(森林)'!L17:N19,"&gt;=5")-COUNTIF('第11章(森林)'!L17:N19,"&gt;8")</f>
        <v>0</v>
      </c>
      <c r="N18" s="57">
        <f>COUNTIF('第11章(森林)'!M17:O19,"&gt;=5")-COUNTIF('第11章(森林)'!M17:O19,"&gt;8")</f>
        <v>0</v>
      </c>
      <c r="O18" s="57">
        <f>COUNTIF('第11章(森林)'!N17:P19,"&gt;=5")-COUNTIF('第11章(森林)'!N17:P19,"&gt;8")</f>
        <v>0</v>
      </c>
      <c r="P18" s="57">
        <f>COUNTIF('第11章(森林)'!O17:Q19,"&gt;=5")-COUNTIF('第11章(森林)'!O17:Q19,"&gt;8")</f>
        <v>0</v>
      </c>
      <c r="Q18" s="57">
        <f>COUNTIF('第11章(森林)'!P17:R19,"&gt;=5")-COUNTIF('第11章(森林)'!P17:R19,"&gt;8")</f>
        <v>0</v>
      </c>
      <c r="R18" s="57">
        <f>COUNTIF('第11章(森林)'!Q17:S19,"&gt;=5")-COUNTIF('第11章(森林)'!Q17:S19,"&gt;8")</f>
        <v>0</v>
      </c>
      <c r="S18" s="57">
        <f>COUNTIF('第11章(森林)'!R17:T19,"&gt;=5")-COUNTIF('第11章(森林)'!R17:T19,"&gt;8")</f>
        <v>0</v>
      </c>
      <c r="T18" s="57">
        <f>COUNTIF('第11章(森林)'!S17:U19,"&gt;=5")-COUNTIF('第11章(森林)'!S17:U19,"&gt;8")</f>
        <v>0</v>
      </c>
      <c r="U18" s="57">
        <f>COUNTIF('第11章(森林)'!T17:V19,"&gt;=5")-COUNTIF('第11章(森林)'!T17:V19,"&gt;8")</f>
        <v>0</v>
      </c>
      <c r="V18" s="57">
        <f>COUNTIF('第11章(森林)'!U17:W19,"&gt;=5")-COUNTIF('第11章(森林)'!U17:W19,"&gt;8")</f>
        <v>0</v>
      </c>
      <c r="W18" s="57">
        <f>COUNTIF('第11章(森林)'!V17:X19,"&gt;=5")-COUNTIF('第11章(森林)'!V17:X19,"&gt;8")</f>
        <v>0</v>
      </c>
      <c r="X18" s="57">
        <f>COUNTIF('第11章(森林)'!W17:Y19,"&gt;=5")-COUNTIF('第11章(森林)'!W17:Y19,"&gt;8")</f>
        <v>0</v>
      </c>
      <c r="Y18" s="57">
        <f>COUNTIF('第11章(森林)'!X17:Z19,"&gt;=5")-COUNTIF('第11章(森林)'!X17:Z19,"&gt;8")</f>
        <v>0</v>
      </c>
      <c r="Z18" s="57">
        <f>COUNTIF('第11章(森林)'!Y17:AA19,"&gt;=5")-COUNTIF('第11章(森林)'!Y17:AA19,"&gt;8")</f>
        <v>0</v>
      </c>
    </row>
    <row r="19" spans="2:26" ht="12" customHeight="1" x14ac:dyDescent="0.15">
      <c r="B19" s="57">
        <f>COUNTIF('第11章(森林)'!A18:C20,"&gt;=5")-COUNTIF('第11章(森林)'!A18:C20,"&gt;8")</f>
        <v>0</v>
      </c>
      <c r="C19" s="57">
        <f>COUNTIF('第11章(森林)'!B18:D20,"&gt;=5")-COUNTIF('第11章(森林)'!B18:D20,"&gt;8")</f>
        <v>0</v>
      </c>
      <c r="D19" s="57">
        <f>COUNTIF('第11章(森林)'!C18:E20,"&gt;=5")-COUNTIF('第11章(森林)'!C18:E20,"&gt;8")</f>
        <v>0</v>
      </c>
      <c r="E19" s="57">
        <f>COUNTIF('第11章(森林)'!D18:F20,"&gt;=5")-COUNTIF('第11章(森林)'!D18:F20,"&gt;8")</f>
        <v>0</v>
      </c>
      <c r="F19" s="57">
        <f>COUNTIF('第11章(森林)'!E18:G20,"&gt;=5")-COUNTIF('第11章(森林)'!E18:G20,"&gt;8")</f>
        <v>0</v>
      </c>
      <c r="G19" s="57">
        <f>COUNTIF('第11章(森林)'!F18:H20,"&gt;=5")-COUNTIF('第11章(森林)'!F18:H20,"&gt;8")</f>
        <v>0</v>
      </c>
      <c r="H19" s="57">
        <f>COUNTIF('第11章(森林)'!G18:I20,"&gt;=5")-COUNTIF('第11章(森林)'!G18:I20,"&gt;8")</f>
        <v>0</v>
      </c>
      <c r="I19" s="57">
        <f>COUNTIF('第11章(森林)'!H18:J20,"&gt;=5")-COUNTIF('第11章(森林)'!H18:J20,"&gt;8")</f>
        <v>0</v>
      </c>
      <c r="J19" s="57">
        <f>COUNTIF('第11章(森林)'!I18:K20,"&gt;=5")-COUNTIF('第11章(森林)'!I18:K20,"&gt;8")</f>
        <v>0</v>
      </c>
      <c r="K19" s="57">
        <f>COUNTIF('第11章(森林)'!J18:L20,"&gt;=5")-COUNTIF('第11章(森林)'!J18:L20,"&gt;8")</f>
        <v>0</v>
      </c>
      <c r="L19" s="57">
        <f>COUNTIF('第11章(森林)'!K18:M20,"&gt;=5")-COUNTIF('第11章(森林)'!K18:M20,"&gt;8")</f>
        <v>0</v>
      </c>
      <c r="M19" s="57">
        <f>COUNTIF('第11章(森林)'!L18:N20,"&gt;=5")-COUNTIF('第11章(森林)'!L18:N20,"&gt;8")</f>
        <v>0</v>
      </c>
      <c r="N19" s="57">
        <f>COUNTIF('第11章(森林)'!M18:O20,"&gt;=5")-COUNTIF('第11章(森林)'!M18:O20,"&gt;8")</f>
        <v>0</v>
      </c>
      <c r="O19" s="57">
        <f>COUNTIF('第11章(森林)'!N18:P20,"&gt;=5")-COUNTIF('第11章(森林)'!N18:P20,"&gt;8")</f>
        <v>0</v>
      </c>
      <c r="P19" s="57">
        <f>COUNTIF('第11章(森林)'!O18:Q20,"&gt;=5")-COUNTIF('第11章(森林)'!O18:Q20,"&gt;8")</f>
        <v>0</v>
      </c>
      <c r="Q19" s="57">
        <f>COUNTIF('第11章(森林)'!P18:R20,"&gt;=5")-COUNTIF('第11章(森林)'!P18:R20,"&gt;8")</f>
        <v>0</v>
      </c>
      <c r="R19" s="57">
        <f>COUNTIF('第11章(森林)'!Q18:S20,"&gt;=5")-COUNTIF('第11章(森林)'!Q18:S20,"&gt;8")</f>
        <v>0</v>
      </c>
      <c r="S19" s="57">
        <f>COUNTIF('第11章(森林)'!R18:T20,"&gt;=5")-COUNTIF('第11章(森林)'!R18:T20,"&gt;8")</f>
        <v>0</v>
      </c>
      <c r="T19" s="57">
        <f>COUNTIF('第11章(森林)'!S18:U20,"&gt;=5")-COUNTIF('第11章(森林)'!S18:U20,"&gt;8")</f>
        <v>0</v>
      </c>
      <c r="U19" s="57">
        <f>COUNTIF('第11章(森林)'!T18:V20,"&gt;=5")-COUNTIF('第11章(森林)'!T18:V20,"&gt;8")</f>
        <v>0</v>
      </c>
      <c r="V19" s="57">
        <f>COUNTIF('第11章(森林)'!U18:W20,"&gt;=5")-COUNTIF('第11章(森林)'!U18:W20,"&gt;8")</f>
        <v>0</v>
      </c>
      <c r="W19" s="57">
        <f>COUNTIF('第11章(森林)'!V18:X20,"&gt;=5")-COUNTIF('第11章(森林)'!V18:X20,"&gt;8")</f>
        <v>0</v>
      </c>
      <c r="X19" s="57">
        <f>COUNTIF('第11章(森林)'!W18:Y20,"&gt;=5")-COUNTIF('第11章(森林)'!W18:Y20,"&gt;8")</f>
        <v>0</v>
      </c>
      <c r="Y19" s="57">
        <f>COUNTIF('第11章(森林)'!X18:Z20,"&gt;=5")-COUNTIF('第11章(森林)'!X18:Z20,"&gt;8")</f>
        <v>0</v>
      </c>
      <c r="Z19" s="57">
        <f>COUNTIF('第11章(森林)'!Y18:AA20,"&gt;=5")-COUNTIF('第11章(森林)'!Y18:AA20,"&gt;8")</f>
        <v>0</v>
      </c>
    </row>
    <row r="20" spans="2:26" ht="12" customHeight="1" x14ac:dyDescent="0.15">
      <c r="B20" s="57">
        <f>COUNTIF('第11章(森林)'!A19:C21,"&gt;=5")-COUNTIF('第11章(森林)'!A19:C21,"&gt;8")</f>
        <v>0</v>
      </c>
      <c r="C20" s="57">
        <f>COUNTIF('第11章(森林)'!B19:D21,"&gt;=5")-COUNTIF('第11章(森林)'!B19:D21,"&gt;8")</f>
        <v>0</v>
      </c>
      <c r="D20" s="57">
        <f>COUNTIF('第11章(森林)'!C19:E21,"&gt;=5")-COUNTIF('第11章(森林)'!C19:E21,"&gt;8")</f>
        <v>0</v>
      </c>
      <c r="E20" s="57">
        <f>COUNTIF('第11章(森林)'!D19:F21,"&gt;=5")-COUNTIF('第11章(森林)'!D19:F21,"&gt;8")</f>
        <v>0</v>
      </c>
      <c r="F20" s="57">
        <f>COUNTIF('第11章(森林)'!E19:G21,"&gt;=5")-COUNTIF('第11章(森林)'!E19:G21,"&gt;8")</f>
        <v>0</v>
      </c>
      <c r="G20" s="57">
        <f>COUNTIF('第11章(森林)'!F19:H21,"&gt;=5")-COUNTIF('第11章(森林)'!F19:H21,"&gt;8")</f>
        <v>0</v>
      </c>
      <c r="H20" s="57">
        <f>COUNTIF('第11章(森林)'!G19:I21,"&gt;=5")-COUNTIF('第11章(森林)'!G19:I21,"&gt;8")</f>
        <v>0</v>
      </c>
      <c r="I20" s="57">
        <f>COUNTIF('第11章(森林)'!H19:J21,"&gt;=5")-COUNTIF('第11章(森林)'!H19:J21,"&gt;8")</f>
        <v>0</v>
      </c>
      <c r="J20" s="57">
        <f>COUNTIF('第11章(森林)'!I19:K21,"&gt;=5")-COUNTIF('第11章(森林)'!I19:K21,"&gt;8")</f>
        <v>0</v>
      </c>
      <c r="K20" s="57">
        <f>COUNTIF('第11章(森林)'!J19:L21,"&gt;=5")-COUNTIF('第11章(森林)'!J19:L21,"&gt;8")</f>
        <v>0</v>
      </c>
      <c r="L20" s="57">
        <f>COUNTIF('第11章(森林)'!K19:M21,"&gt;=5")-COUNTIF('第11章(森林)'!K19:M21,"&gt;8")</f>
        <v>0</v>
      </c>
      <c r="M20" s="57">
        <f>COUNTIF('第11章(森林)'!L19:N21,"&gt;=5")-COUNTIF('第11章(森林)'!L19:N21,"&gt;8")</f>
        <v>0</v>
      </c>
      <c r="N20" s="57">
        <f>COUNTIF('第11章(森林)'!M19:O21,"&gt;=5")-COUNTIF('第11章(森林)'!M19:O21,"&gt;8")</f>
        <v>0</v>
      </c>
      <c r="O20" s="57">
        <f>COUNTIF('第11章(森林)'!N19:P21,"&gt;=5")-COUNTIF('第11章(森林)'!N19:P21,"&gt;8")</f>
        <v>0</v>
      </c>
      <c r="P20" s="57">
        <f>COUNTIF('第11章(森林)'!O19:Q21,"&gt;=5")-COUNTIF('第11章(森林)'!O19:Q21,"&gt;8")</f>
        <v>0</v>
      </c>
      <c r="Q20" s="57">
        <f>COUNTIF('第11章(森林)'!P19:R21,"&gt;=5")-COUNTIF('第11章(森林)'!P19:R21,"&gt;8")</f>
        <v>0</v>
      </c>
      <c r="R20" s="57">
        <f>COUNTIF('第11章(森林)'!Q19:S21,"&gt;=5")-COUNTIF('第11章(森林)'!Q19:S21,"&gt;8")</f>
        <v>0</v>
      </c>
      <c r="S20" s="57">
        <f>COUNTIF('第11章(森林)'!R19:T21,"&gt;=5")-COUNTIF('第11章(森林)'!R19:T21,"&gt;8")</f>
        <v>0</v>
      </c>
      <c r="T20" s="57">
        <f>COUNTIF('第11章(森林)'!S19:U21,"&gt;=5")-COUNTIF('第11章(森林)'!S19:U21,"&gt;8")</f>
        <v>0</v>
      </c>
      <c r="U20" s="57">
        <f>COUNTIF('第11章(森林)'!T19:V21,"&gt;=5")-COUNTIF('第11章(森林)'!T19:V21,"&gt;8")</f>
        <v>0</v>
      </c>
      <c r="V20" s="57">
        <f>COUNTIF('第11章(森林)'!U19:W21,"&gt;=5")-COUNTIF('第11章(森林)'!U19:W21,"&gt;8")</f>
        <v>0</v>
      </c>
      <c r="W20" s="57">
        <f>COUNTIF('第11章(森林)'!V19:X21,"&gt;=5")-COUNTIF('第11章(森林)'!V19:X21,"&gt;8")</f>
        <v>0</v>
      </c>
      <c r="X20" s="57">
        <f>COUNTIF('第11章(森林)'!W19:Y21,"&gt;=5")-COUNTIF('第11章(森林)'!W19:Y21,"&gt;8")</f>
        <v>0</v>
      </c>
      <c r="Y20" s="57">
        <f>COUNTIF('第11章(森林)'!X19:Z21,"&gt;=5")-COUNTIF('第11章(森林)'!X19:Z21,"&gt;8")</f>
        <v>0</v>
      </c>
      <c r="Z20" s="57">
        <f>COUNTIF('第11章(森林)'!Y19:AA21,"&gt;=5")-COUNTIF('第11章(森林)'!Y19:AA21,"&gt;8")</f>
        <v>0</v>
      </c>
    </row>
    <row r="21" spans="2:26" ht="12" customHeight="1" x14ac:dyDescent="0.15">
      <c r="B21" s="57">
        <f>COUNTIF('第11章(森林)'!A20:C22,"&gt;=5")-COUNTIF('第11章(森林)'!A20:C22,"&gt;8")</f>
        <v>0</v>
      </c>
      <c r="C21" s="57">
        <f>COUNTIF('第11章(森林)'!B20:D22,"&gt;=5")-COUNTIF('第11章(森林)'!B20:D22,"&gt;8")</f>
        <v>0</v>
      </c>
      <c r="D21" s="57">
        <f>COUNTIF('第11章(森林)'!C20:E22,"&gt;=5")-COUNTIF('第11章(森林)'!C20:E22,"&gt;8")</f>
        <v>0</v>
      </c>
      <c r="E21" s="57">
        <f>COUNTIF('第11章(森林)'!D20:F22,"&gt;=5")-COUNTIF('第11章(森林)'!D20:F22,"&gt;8")</f>
        <v>0</v>
      </c>
      <c r="F21" s="57">
        <f>COUNTIF('第11章(森林)'!E20:G22,"&gt;=5")-COUNTIF('第11章(森林)'!E20:G22,"&gt;8")</f>
        <v>0</v>
      </c>
      <c r="G21" s="57">
        <f>COUNTIF('第11章(森林)'!F20:H22,"&gt;=5")-COUNTIF('第11章(森林)'!F20:H22,"&gt;8")</f>
        <v>0</v>
      </c>
      <c r="H21" s="57">
        <f>COUNTIF('第11章(森林)'!G20:I22,"&gt;=5")-COUNTIF('第11章(森林)'!G20:I22,"&gt;8")</f>
        <v>0</v>
      </c>
      <c r="I21" s="57">
        <f>COUNTIF('第11章(森林)'!H20:J22,"&gt;=5")-COUNTIF('第11章(森林)'!H20:J22,"&gt;8")</f>
        <v>0</v>
      </c>
      <c r="J21" s="57">
        <f>COUNTIF('第11章(森林)'!I20:K22,"&gt;=5")-COUNTIF('第11章(森林)'!I20:K22,"&gt;8")</f>
        <v>0</v>
      </c>
      <c r="K21" s="57">
        <f>COUNTIF('第11章(森林)'!J20:L22,"&gt;=5")-COUNTIF('第11章(森林)'!J20:L22,"&gt;8")</f>
        <v>0</v>
      </c>
      <c r="L21" s="57">
        <f>COUNTIF('第11章(森林)'!K20:M22,"&gt;=5")-COUNTIF('第11章(森林)'!K20:M22,"&gt;8")</f>
        <v>0</v>
      </c>
      <c r="M21" s="57">
        <f>COUNTIF('第11章(森林)'!L20:N22,"&gt;=5")-COUNTIF('第11章(森林)'!L20:N22,"&gt;8")</f>
        <v>0</v>
      </c>
      <c r="N21" s="57">
        <f>COUNTIF('第11章(森林)'!M20:O22,"&gt;=5")-COUNTIF('第11章(森林)'!M20:O22,"&gt;8")</f>
        <v>0</v>
      </c>
      <c r="O21" s="57">
        <f>COUNTIF('第11章(森林)'!N20:P22,"&gt;=5")-COUNTIF('第11章(森林)'!N20:P22,"&gt;8")</f>
        <v>0</v>
      </c>
      <c r="P21" s="57">
        <f>COUNTIF('第11章(森林)'!O20:Q22,"&gt;=5")-COUNTIF('第11章(森林)'!O20:Q22,"&gt;8")</f>
        <v>0</v>
      </c>
      <c r="Q21" s="57">
        <f>COUNTIF('第11章(森林)'!P20:R22,"&gt;=5")-COUNTIF('第11章(森林)'!P20:R22,"&gt;8")</f>
        <v>0</v>
      </c>
      <c r="R21" s="57">
        <f>COUNTIF('第11章(森林)'!Q20:S22,"&gt;=5")-COUNTIF('第11章(森林)'!Q20:S22,"&gt;8")</f>
        <v>0</v>
      </c>
      <c r="S21" s="57">
        <f>COUNTIF('第11章(森林)'!R20:T22,"&gt;=5")-COUNTIF('第11章(森林)'!R20:T22,"&gt;8")</f>
        <v>0</v>
      </c>
      <c r="T21" s="57">
        <f>COUNTIF('第11章(森林)'!S20:U22,"&gt;=5")-COUNTIF('第11章(森林)'!S20:U22,"&gt;8")</f>
        <v>0</v>
      </c>
      <c r="U21" s="57">
        <f>COUNTIF('第11章(森林)'!T20:V22,"&gt;=5")-COUNTIF('第11章(森林)'!T20:V22,"&gt;8")</f>
        <v>0</v>
      </c>
      <c r="V21" s="57">
        <f>COUNTIF('第11章(森林)'!U20:W22,"&gt;=5")-COUNTIF('第11章(森林)'!U20:W22,"&gt;8")</f>
        <v>0</v>
      </c>
      <c r="W21" s="57">
        <f>COUNTIF('第11章(森林)'!V20:X22,"&gt;=5")-COUNTIF('第11章(森林)'!V20:X22,"&gt;8")</f>
        <v>0</v>
      </c>
      <c r="X21" s="57">
        <f>COUNTIF('第11章(森林)'!W20:Y22,"&gt;=5")-COUNTIF('第11章(森林)'!W20:Y22,"&gt;8")</f>
        <v>0</v>
      </c>
      <c r="Y21" s="57">
        <f>COUNTIF('第11章(森林)'!X20:Z22,"&gt;=5")-COUNTIF('第11章(森林)'!X20:Z22,"&gt;8")</f>
        <v>0</v>
      </c>
      <c r="Z21" s="57">
        <f>COUNTIF('第11章(森林)'!Y20:AA22,"&gt;=5")-COUNTIF('第11章(森林)'!Y20:AA22,"&gt;8")</f>
        <v>0</v>
      </c>
    </row>
    <row r="22" spans="2:26" ht="12" customHeight="1" x14ac:dyDescent="0.15">
      <c r="B22" s="57">
        <f>COUNTIF('第11章(森林)'!A21:C23,"&gt;=5")-COUNTIF('第11章(森林)'!A21:C23,"&gt;8")</f>
        <v>0</v>
      </c>
      <c r="C22" s="57">
        <f>COUNTIF('第11章(森林)'!B21:D23,"&gt;=5")-COUNTIF('第11章(森林)'!B21:D23,"&gt;8")</f>
        <v>0</v>
      </c>
      <c r="D22" s="57">
        <f>COUNTIF('第11章(森林)'!C21:E23,"&gt;=5")-COUNTIF('第11章(森林)'!C21:E23,"&gt;8")</f>
        <v>0</v>
      </c>
      <c r="E22" s="57">
        <f>COUNTIF('第11章(森林)'!D21:F23,"&gt;=5")-COUNTIF('第11章(森林)'!D21:F23,"&gt;8")</f>
        <v>0</v>
      </c>
      <c r="F22" s="57">
        <f>COUNTIF('第11章(森林)'!E21:G23,"&gt;=5")-COUNTIF('第11章(森林)'!E21:G23,"&gt;8")</f>
        <v>0</v>
      </c>
      <c r="G22" s="57">
        <f>COUNTIF('第11章(森林)'!F21:H23,"&gt;=5")-COUNTIF('第11章(森林)'!F21:H23,"&gt;8")</f>
        <v>0</v>
      </c>
      <c r="H22" s="57">
        <f>COUNTIF('第11章(森林)'!G21:I23,"&gt;=5")-COUNTIF('第11章(森林)'!G21:I23,"&gt;8")</f>
        <v>0</v>
      </c>
      <c r="I22" s="57">
        <f>COUNTIF('第11章(森林)'!H21:J23,"&gt;=5")-COUNTIF('第11章(森林)'!H21:J23,"&gt;8")</f>
        <v>0</v>
      </c>
      <c r="J22" s="57">
        <f>COUNTIF('第11章(森林)'!I21:K23,"&gt;=5")-COUNTIF('第11章(森林)'!I21:K23,"&gt;8")</f>
        <v>0</v>
      </c>
      <c r="K22" s="57">
        <f>COUNTIF('第11章(森林)'!J21:L23,"&gt;=5")-COUNTIF('第11章(森林)'!J21:L23,"&gt;8")</f>
        <v>0</v>
      </c>
      <c r="L22" s="57">
        <f>COUNTIF('第11章(森林)'!K21:M23,"&gt;=5")-COUNTIF('第11章(森林)'!K21:M23,"&gt;8")</f>
        <v>0</v>
      </c>
      <c r="M22" s="57">
        <f>COUNTIF('第11章(森林)'!L21:N23,"&gt;=5")-COUNTIF('第11章(森林)'!L21:N23,"&gt;8")</f>
        <v>0</v>
      </c>
      <c r="N22" s="57">
        <f>COUNTIF('第11章(森林)'!M21:O23,"&gt;=5")-COUNTIF('第11章(森林)'!M21:O23,"&gt;8")</f>
        <v>0</v>
      </c>
      <c r="O22" s="57">
        <f>COUNTIF('第11章(森林)'!N21:P23,"&gt;=5")-COUNTIF('第11章(森林)'!N21:P23,"&gt;8")</f>
        <v>0</v>
      </c>
      <c r="P22" s="57">
        <f>COUNTIF('第11章(森林)'!O21:Q23,"&gt;=5")-COUNTIF('第11章(森林)'!O21:Q23,"&gt;8")</f>
        <v>0</v>
      </c>
      <c r="Q22" s="57">
        <f>COUNTIF('第11章(森林)'!P21:R23,"&gt;=5")-COUNTIF('第11章(森林)'!P21:R23,"&gt;8")</f>
        <v>0</v>
      </c>
      <c r="R22" s="57">
        <f>COUNTIF('第11章(森林)'!Q21:S23,"&gt;=5")-COUNTIF('第11章(森林)'!Q21:S23,"&gt;8")</f>
        <v>0</v>
      </c>
      <c r="S22" s="57">
        <f>COUNTIF('第11章(森林)'!R21:T23,"&gt;=5")-COUNTIF('第11章(森林)'!R21:T23,"&gt;8")</f>
        <v>0</v>
      </c>
      <c r="T22" s="57">
        <f>COUNTIF('第11章(森林)'!S21:U23,"&gt;=5")-COUNTIF('第11章(森林)'!S21:U23,"&gt;8")</f>
        <v>0</v>
      </c>
      <c r="U22" s="57">
        <f>COUNTIF('第11章(森林)'!T21:V23,"&gt;=5")-COUNTIF('第11章(森林)'!T21:V23,"&gt;8")</f>
        <v>0</v>
      </c>
      <c r="V22" s="57">
        <f>COUNTIF('第11章(森林)'!U21:W23,"&gt;=5")-COUNTIF('第11章(森林)'!U21:W23,"&gt;8")</f>
        <v>0</v>
      </c>
      <c r="W22" s="57">
        <f>COUNTIF('第11章(森林)'!V21:X23,"&gt;=5")-COUNTIF('第11章(森林)'!V21:X23,"&gt;8")</f>
        <v>0</v>
      </c>
      <c r="X22" s="57">
        <f>COUNTIF('第11章(森林)'!W21:Y23,"&gt;=5")-COUNTIF('第11章(森林)'!W21:Y23,"&gt;8")</f>
        <v>0</v>
      </c>
      <c r="Y22" s="57">
        <f>COUNTIF('第11章(森林)'!X21:Z23,"&gt;=5")-COUNTIF('第11章(森林)'!X21:Z23,"&gt;8")</f>
        <v>0</v>
      </c>
      <c r="Z22" s="57">
        <f>COUNTIF('第11章(森林)'!Y21:AA23,"&gt;=5")-COUNTIF('第11章(森林)'!Y21:AA23,"&gt;8")</f>
        <v>0</v>
      </c>
    </row>
    <row r="23" spans="2:26" ht="12" customHeight="1" x14ac:dyDescent="0.15">
      <c r="B23" s="57">
        <f>COUNTIF('第11章(森林)'!A22:C24,"&gt;=5")-COUNTIF('第11章(森林)'!A22:C24,"&gt;8")</f>
        <v>0</v>
      </c>
      <c r="C23" s="57">
        <f>COUNTIF('第11章(森林)'!B22:D24,"&gt;=5")-COUNTIF('第11章(森林)'!B22:D24,"&gt;8")</f>
        <v>0</v>
      </c>
      <c r="D23" s="57">
        <f>COUNTIF('第11章(森林)'!C22:E24,"&gt;=5")-COUNTIF('第11章(森林)'!C22:E24,"&gt;8")</f>
        <v>0</v>
      </c>
      <c r="E23" s="57">
        <f>COUNTIF('第11章(森林)'!D22:F24,"&gt;=5")-COUNTIF('第11章(森林)'!D22:F24,"&gt;8")</f>
        <v>0</v>
      </c>
      <c r="F23" s="57">
        <f>COUNTIF('第11章(森林)'!E22:G24,"&gt;=5")-COUNTIF('第11章(森林)'!E22:G24,"&gt;8")</f>
        <v>0</v>
      </c>
      <c r="G23" s="57">
        <f>COUNTIF('第11章(森林)'!F22:H24,"&gt;=5")-COUNTIF('第11章(森林)'!F22:H24,"&gt;8")</f>
        <v>0</v>
      </c>
      <c r="H23" s="57">
        <f>COUNTIF('第11章(森林)'!G22:I24,"&gt;=5")-COUNTIF('第11章(森林)'!G22:I24,"&gt;8")</f>
        <v>0</v>
      </c>
      <c r="I23" s="57">
        <f>COUNTIF('第11章(森林)'!H22:J24,"&gt;=5")-COUNTIF('第11章(森林)'!H22:J24,"&gt;8")</f>
        <v>0</v>
      </c>
      <c r="J23" s="57">
        <f>COUNTIF('第11章(森林)'!I22:K24,"&gt;=5")-COUNTIF('第11章(森林)'!I22:K24,"&gt;8")</f>
        <v>0</v>
      </c>
      <c r="K23" s="57">
        <f>COUNTIF('第11章(森林)'!J22:L24,"&gt;=5")-COUNTIF('第11章(森林)'!J22:L24,"&gt;8")</f>
        <v>0</v>
      </c>
      <c r="L23" s="57">
        <f>COUNTIF('第11章(森林)'!K22:M24,"&gt;=5")-COUNTIF('第11章(森林)'!K22:M24,"&gt;8")</f>
        <v>0</v>
      </c>
      <c r="M23" s="57">
        <f>COUNTIF('第11章(森林)'!L22:N24,"&gt;=5")-COUNTIF('第11章(森林)'!L22:N24,"&gt;8")</f>
        <v>0</v>
      </c>
      <c r="N23" s="57">
        <f>COUNTIF('第11章(森林)'!M22:O24,"&gt;=5")-COUNTIF('第11章(森林)'!M22:O24,"&gt;8")</f>
        <v>0</v>
      </c>
      <c r="O23" s="57">
        <f>COUNTIF('第11章(森林)'!N22:P24,"&gt;=5")-COUNTIF('第11章(森林)'!N22:P24,"&gt;8")</f>
        <v>0</v>
      </c>
      <c r="P23" s="57">
        <f>COUNTIF('第11章(森林)'!O22:Q24,"&gt;=5")-COUNTIF('第11章(森林)'!O22:Q24,"&gt;8")</f>
        <v>0</v>
      </c>
      <c r="Q23" s="57">
        <f>COUNTIF('第11章(森林)'!P22:R24,"&gt;=5")-COUNTIF('第11章(森林)'!P22:R24,"&gt;8")</f>
        <v>0</v>
      </c>
      <c r="R23" s="57">
        <f>COUNTIF('第11章(森林)'!Q22:S24,"&gt;=5")-COUNTIF('第11章(森林)'!Q22:S24,"&gt;8")</f>
        <v>0</v>
      </c>
      <c r="S23" s="57">
        <f>COUNTIF('第11章(森林)'!R22:T24,"&gt;=5")-COUNTIF('第11章(森林)'!R22:T24,"&gt;8")</f>
        <v>0</v>
      </c>
      <c r="T23" s="57">
        <f>COUNTIF('第11章(森林)'!S22:U24,"&gt;=5")-COUNTIF('第11章(森林)'!S22:U24,"&gt;8")</f>
        <v>0</v>
      </c>
      <c r="U23" s="57">
        <f>COUNTIF('第11章(森林)'!T22:V24,"&gt;=5")-COUNTIF('第11章(森林)'!T22:V24,"&gt;8")</f>
        <v>0</v>
      </c>
      <c r="V23" s="57">
        <f>COUNTIF('第11章(森林)'!U22:W24,"&gt;=5")-COUNTIF('第11章(森林)'!U22:W24,"&gt;8")</f>
        <v>0</v>
      </c>
      <c r="W23" s="57">
        <f>COUNTIF('第11章(森林)'!V22:X24,"&gt;=5")-COUNTIF('第11章(森林)'!V22:X24,"&gt;8")</f>
        <v>0</v>
      </c>
      <c r="X23" s="57">
        <f>COUNTIF('第11章(森林)'!W22:Y24,"&gt;=5")-COUNTIF('第11章(森林)'!W22:Y24,"&gt;8")</f>
        <v>0</v>
      </c>
      <c r="Y23" s="57">
        <f>COUNTIF('第11章(森林)'!X22:Z24,"&gt;=5")-COUNTIF('第11章(森林)'!X22:Z24,"&gt;8")</f>
        <v>0</v>
      </c>
      <c r="Z23" s="57">
        <f>COUNTIF('第11章(森林)'!Y22:AA24,"&gt;=5")-COUNTIF('第11章(森林)'!Y22:AA24,"&gt;8")</f>
        <v>0</v>
      </c>
    </row>
    <row r="24" spans="2:26" ht="12" customHeight="1" x14ac:dyDescent="0.15">
      <c r="B24" s="57">
        <f>COUNTIF('第11章(森林)'!A23:C25,"&gt;=5")-COUNTIF('第11章(森林)'!A23:C25,"&gt;8")</f>
        <v>0</v>
      </c>
      <c r="C24" s="57">
        <f>COUNTIF('第11章(森林)'!B23:D25,"&gt;=5")-COUNTIF('第11章(森林)'!B23:D25,"&gt;8")</f>
        <v>0</v>
      </c>
      <c r="D24" s="57">
        <f>COUNTIF('第11章(森林)'!C23:E25,"&gt;=5")-COUNTIF('第11章(森林)'!C23:E25,"&gt;8")</f>
        <v>0</v>
      </c>
      <c r="E24" s="57">
        <f>COUNTIF('第11章(森林)'!D23:F25,"&gt;=5")-COUNTIF('第11章(森林)'!D23:F25,"&gt;8")</f>
        <v>0</v>
      </c>
      <c r="F24" s="57">
        <f>COUNTIF('第11章(森林)'!E23:G25,"&gt;=5")-COUNTIF('第11章(森林)'!E23:G25,"&gt;8")</f>
        <v>0</v>
      </c>
      <c r="G24" s="57">
        <f>COUNTIF('第11章(森林)'!F23:H25,"&gt;=5")-COUNTIF('第11章(森林)'!F23:H25,"&gt;8")</f>
        <v>0</v>
      </c>
      <c r="H24" s="57">
        <f>COUNTIF('第11章(森林)'!G23:I25,"&gt;=5")-COUNTIF('第11章(森林)'!G23:I25,"&gt;8")</f>
        <v>0</v>
      </c>
      <c r="I24" s="57">
        <f>COUNTIF('第11章(森林)'!H23:J25,"&gt;=5")-COUNTIF('第11章(森林)'!H23:J25,"&gt;8")</f>
        <v>0</v>
      </c>
      <c r="J24" s="57">
        <f>COUNTIF('第11章(森林)'!I23:K25,"&gt;=5")-COUNTIF('第11章(森林)'!I23:K25,"&gt;8")</f>
        <v>0</v>
      </c>
      <c r="K24" s="57">
        <f>COUNTIF('第11章(森林)'!J23:L25,"&gt;=5")-COUNTIF('第11章(森林)'!J23:L25,"&gt;8")</f>
        <v>0</v>
      </c>
      <c r="L24" s="57">
        <f>COUNTIF('第11章(森林)'!K23:M25,"&gt;=5")-COUNTIF('第11章(森林)'!K23:M25,"&gt;8")</f>
        <v>0</v>
      </c>
      <c r="M24" s="57">
        <f>COUNTIF('第11章(森林)'!L23:N25,"&gt;=5")-COUNTIF('第11章(森林)'!L23:N25,"&gt;8")</f>
        <v>0</v>
      </c>
      <c r="N24" s="57">
        <f>COUNTIF('第11章(森林)'!M23:O25,"&gt;=5")-COUNTIF('第11章(森林)'!M23:O25,"&gt;8")</f>
        <v>0</v>
      </c>
      <c r="O24" s="57">
        <f>COUNTIF('第11章(森林)'!N23:P25,"&gt;=5")-COUNTIF('第11章(森林)'!N23:P25,"&gt;8")</f>
        <v>0</v>
      </c>
      <c r="P24" s="57">
        <f>COUNTIF('第11章(森林)'!O23:Q25,"&gt;=5")-COUNTIF('第11章(森林)'!O23:Q25,"&gt;8")</f>
        <v>0</v>
      </c>
      <c r="Q24" s="57">
        <f>COUNTIF('第11章(森林)'!P23:R25,"&gt;=5")-COUNTIF('第11章(森林)'!P23:R25,"&gt;8")</f>
        <v>0</v>
      </c>
      <c r="R24" s="57">
        <f>COUNTIF('第11章(森林)'!Q23:S25,"&gt;=5")-COUNTIF('第11章(森林)'!Q23:S25,"&gt;8")</f>
        <v>0</v>
      </c>
      <c r="S24" s="57">
        <f>COUNTIF('第11章(森林)'!R23:T25,"&gt;=5")-COUNTIF('第11章(森林)'!R23:T25,"&gt;8")</f>
        <v>0</v>
      </c>
      <c r="T24" s="57">
        <f>COUNTIF('第11章(森林)'!S23:U25,"&gt;=5")-COUNTIF('第11章(森林)'!S23:U25,"&gt;8")</f>
        <v>0</v>
      </c>
      <c r="U24" s="57">
        <f>COUNTIF('第11章(森林)'!T23:V25,"&gt;=5")-COUNTIF('第11章(森林)'!T23:V25,"&gt;8")</f>
        <v>0</v>
      </c>
      <c r="V24" s="57">
        <f>COUNTIF('第11章(森林)'!U23:W25,"&gt;=5")-COUNTIF('第11章(森林)'!U23:W25,"&gt;8")</f>
        <v>0</v>
      </c>
      <c r="W24" s="57">
        <f>COUNTIF('第11章(森林)'!V23:X25,"&gt;=5")-COUNTIF('第11章(森林)'!V23:X25,"&gt;8")</f>
        <v>0</v>
      </c>
      <c r="X24" s="57">
        <f>COUNTIF('第11章(森林)'!W23:Y25,"&gt;=5")-COUNTIF('第11章(森林)'!W23:Y25,"&gt;8")</f>
        <v>0</v>
      </c>
      <c r="Y24" s="57">
        <f>COUNTIF('第11章(森林)'!X23:Z25,"&gt;=5")-COUNTIF('第11章(森林)'!X23:Z25,"&gt;8")</f>
        <v>0</v>
      </c>
      <c r="Z24" s="57">
        <f>COUNTIF('第11章(森林)'!Y23:AA25,"&gt;=5")-COUNTIF('第11章(森林)'!Y23:AA25,"&gt;8")</f>
        <v>0</v>
      </c>
    </row>
    <row r="25" spans="2:26" ht="12" customHeight="1" x14ac:dyDescent="0.15">
      <c r="B25" s="57">
        <f>COUNTIF('第11章(森林)'!A24:C26,"&gt;=5")-COUNTIF('第11章(森林)'!A24:C26,"&gt;8")</f>
        <v>0</v>
      </c>
      <c r="C25" s="57">
        <f>COUNTIF('第11章(森林)'!B24:D26,"&gt;=5")-COUNTIF('第11章(森林)'!B24:D26,"&gt;8")</f>
        <v>0</v>
      </c>
      <c r="D25" s="57">
        <f>COUNTIF('第11章(森林)'!C24:E26,"&gt;=5")-COUNTIF('第11章(森林)'!C24:E26,"&gt;8")</f>
        <v>0</v>
      </c>
      <c r="E25" s="57">
        <f>COUNTIF('第11章(森林)'!D24:F26,"&gt;=5")-COUNTIF('第11章(森林)'!D24:F26,"&gt;8")</f>
        <v>0</v>
      </c>
      <c r="F25" s="57">
        <f>COUNTIF('第11章(森林)'!E24:G26,"&gt;=5")-COUNTIF('第11章(森林)'!E24:G26,"&gt;8")</f>
        <v>0</v>
      </c>
      <c r="G25" s="57">
        <f>COUNTIF('第11章(森林)'!F24:H26,"&gt;=5")-COUNTIF('第11章(森林)'!F24:H26,"&gt;8")</f>
        <v>0</v>
      </c>
      <c r="H25" s="57">
        <f>COUNTIF('第11章(森林)'!G24:I26,"&gt;=5")-COUNTIF('第11章(森林)'!G24:I26,"&gt;8")</f>
        <v>0</v>
      </c>
      <c r="I25" s="57">
        <f>COUNTIF('第11章(森林)'!H24:J26,"&gt;=5")-COUNTIF('第11章(森林)'!H24:J26,"&gt;8")</f>
        <v>0</v>
      </c>
      <c r="J25" s="57">
        <f>COUNTIF('第11章(森林)'!I24:K26,"&gt;=5")-COUNTIF('第11章(森林)'!I24:K26,"&gt;8")</f>
        <v>0</v>
      </c>
      <c r="K25" s="57">
        <f>COUNTIF('第11章(森林)'!J24:L26,"&gt;=5")-COUNTIF('第11章(森林)'!J24:L26,"&gt;8")</f>
        <v>0</v>
      </c>
      <c r="L25" s="57">
        <f>COUNTIF('第11章(森林)'!K24:M26,"&gt;=5")-COUNTIF('第11章(森林)'!K24:M26,"&gt;8")</f>
        <v>0</v>
      </c>
      <c r="M25" s="57">
        <f>COUNTIF('第11章(森林)'!L24:N26,"&gt;=5")-COUNTIF('第11章(森林)'!L24:N26,"&gt;8")</f>
        <v>0</v>
      </c>
      <c r="N25" s="57">
        <f>COUNTIF('第11章(森林)'!M24:O26,"&gt;=5")-COUNTIF('第11章(森林)'!M24:O26,"&gt;8")</f>
        <v>0</v>
      </c>
      <c r="O25" s="57">
        <f>COUNTIF('第11章(森林)'!N24:P26,"&gt;=5")-COUNTIF('第11章(森林)'!N24:P26,"&gt;8")</f>
        <v>0</v>
      </c>
      <c r="P25" s="57">
        <f>COUNTIF('第11章(森林)'!O24:Q26,"&gt;=5")-COUNTIF('第11章(森林)'!O24:Q26,"&gt;8")</f>
        <v>0</v>
      </c>
      <c r="Q25" s="57">
        <f>COUNTIF('第11章(森林)'!P24:R26,"&gt;=5")-COUNTIF('第11章(森林)'!P24:R26,"&gt;8")</f>
        <v>0</v>
      </c>
      <c r="R25" s="57">
        <f>COUNTIF('第11章(森林)'!Q24:S26,"&gt;=5")-COUNTIF('第11章(森林)'!Q24:S26,"&gt;8")</f>
        <v>0</v>
      </c>
      <c r="S25" s="57">
        <f>COUNTIF('第11章(森林)'!R24:T26,"&gt;=5")-COUNTIF('第11章(森林)'!R24:T26,"&gt;8")</f>
        <v>0</v>
      </c>
      <c r="T25" s="57">
        <f>COUNTIF('第11章(森林)'!S24:U26,"&gt;=5")-COUNTIF('第11章(森林)'!S24:U26,"&gt;8")</f>
        <v>0</v>
      </c>
      <c r="U25" s="57">
        <f>COUNTIF('第11章(森林)'!T24:V26,"&gt;=5")-COUNTIF('第11章(森林)'!T24:V26,"&gt;8")</f>
        <v>0</v>
      </c>
      <c r="V25" s="57">
        <f>COUNTIF('第11章(森林)'!U24:W26,"&gt;=5")-COUNTIF('第11章(森林)'!U24:W26,"&gt;8")</f>
        <v>0</v>
      </c>
      <c r="W25" s="57">
        <f>COUNTIF('第11章(森林)'!V24:X26,"&gt;=5")-COUNTIF('第11章(森林)'!V24:X26,"&gt;8")</f>
        <v>0</v>
      </c>
      <c r="X25" s="57">
        <f>COUNTIF('第11章(森林)'!W24:Y26,"&gt;=5")-COUNTIF('第11章(森林)'!W24:Y26,"&gt;8")</f>
        <v>0</v>
      </c>
      <c r="Y25" s="57">
        <f>COUNTIF('第11章(森林)'!X24:Z26,"&gt;=5")-COUNTIF('第11章(森林)'!X24:Z26,"&gt;8")</f>
        <v>0</v>
      </c>
      <c r="Z25" s="57">
        <f>COUNTIF('第11章(森林)'!Y24:AA26,"&gt;=5")-COUNTIF('第11章(森林)'!Y24:AA26,"&gt;8")</f>
        <v>0</v>
      </c>
    </row>
    <row r="26" spans="2:26" ht="12" customHeight="1" x14ac:dyDescent="0.15">
      <c r="B26" s="57">
        <f>COUNTIF('第11章(森林)'!A25:C27,"&gt;=5")-COUNTIF('第11章(森林)'!A25:C27,"&gt;8")</f>
        <v>0</v>
      </c>
      <c r="C26" s="57">
        <f>COUNTIF('第11章(森林)'!B25:D27,"&gt;=5")-COUNTIF('第11章(森林)'!B25:D27,"&gt;8")</f>
        <v>0</v>
      </c>
      <c r="D26" s="57">
        <f>COUNTIF('第11章(森林)'!C25:E27,"&gt;=5")-COUNTIF('第11章(森林)'!C25:E27,"&gt;8")</f>
        <v>0</v>
      </c>
      <c r="E26" s="57">
        <f>COUNTIF('第11章(森林)'!D25:F27,"&gt;=5")-COUNTIF('第11章(森林)'!D25:F27,"&gt;8")</f>
        <v>0</v>
      </c>
      <c r="F26" s="57">
        <f>COUNTIF('第11章(森林)'!E25:G27,"&gt;=5")-COUNTIF('第11章(森林)'!E25:G27,"&gt;8")</f>
        <v>0</v>
      </c>
      <c r="G26" s="57">
        <f>COUNTIF('第11章(森林)'!F25:H27,"&gt;=5")-COUNTIF('第11章(森林)'!F25:H27,"&gt;8")</f>
        <v>0</v>
      </c>
      <c r="H26" s="57">
        <f>COUNTIF('第11章(森林)'!G25:I27,"&gt;=5")-COUNTIF('第11章(森林)'!G25:I27,"&gt;8")</f>
        <v>0</v>
      </c>
      <c r="I26" s="57">
        <f>COUNTIF('第11章(森林)'!H25:J27,"&gt;=5")-COUNTIF('第11章(森林)'!H25:J27,"&gt;8")</f>
        <v>0</v>
      </c>
      <c r="J26" s="57">
        <f>COUNTIF('第11章(森林)'!I25:K27,"&gt;=5")-COUNTIF('第11章(森林)'!I25:K27,"&gt;8")</f>
        <v>0</v>
      </c>
      <c r="K26" s="57">
        <f>COUNTIF('第11章(森林)'!J25:L27,"&gt;=5")-COUNTIF('第11章(森林)'!J25:L27,"&gt;8")</f>
        <v>0</v>
      </c>
      <c r="L26" s="57">
        <f>COUNTIF('第11章(森林)'!K25:M27,"&gt;=5")-COUNTIF('第11章(森林)'!K25:M27,"&gt;8")</f>
        <v>0</v>
      </c>
      <c r="M26" s="57">
        <f>COUNTIF('第11章(森林)'!L25:N27,"&gt;=5")-COUNTIF('第11章(森林)'!L25:N27,"&gt;8")</f>
        <v>0</v>
      </c>
      <c r="N26" s="57">
        <f>COUNTIF('第11章(森林)'!M25:O27,"&gt;=5")-COUNTIF('第11章(森林)'!M25:O27,"&gt;8")</f>
        <v>0</v>
      </c>
      <c r="O26" s="57">
        <f>COUNTIF('第11章(森林)'!N25:P27,"&gt;=5")-COUNTIF('第11章(森林)'!N25:P27,"&gt;8")</f>
        <v>0</v>
      </c>
      <c r="P26" s="57">
        <f>COUNTIF('第11章(森林)'!O25:Q27,"&gt;=5")-COUNTIF('第11章(森林)'!O25:Q27,"&gt;8")</f>
        <v>0</v>
      </c>
      <c r="Q26" s="57">
        <f>COUNTIF('第11章(森林)'!P25:R27,"&gt;=5")-COUNTIF('第11章(森林)'!P25:R27,"&gt;8")</f>
        <v>0</v>
      </c>
      <c r="R26" s="57">
        <f>COUNTIF('第11章(森林)'!Q25:S27,"&gt;=5")-COUNTIF('第11章(森林)'!Q25:S27,"&gt;8")</f>
        <v>0</v>
      </c>
      <c r="S26" s="57">
        <f>COUNTIF('第11章(森林)'!R25:T27,"&gt;=5")-COUNTIF('第11章(森林)'!R25:T27,"&gt;8")</f>
        <v>0</v>
      </c>
      <c r="T26" s="57">
        <f>COUNTIF('第11章(森林)'!S25:U27,"&gt;=5")-COUNTIF('第11章(森林)'!S25:U27,"&gt;8")</f>
        <v>0</v>
      </c>
      <c r="U26" s="57">
        <f>COUNTIF('第11章(森林)'!T25:V27,"&gt;=5")-COUNTIF('第11章(森林)'!T25:V27,"&gt;8")</f>
        <v>0</v>
      </c>
      <c r="V26" s="57">
        <f>COUNTIF('第11章(森林)'!U25:W27,"&gt;=5")-COUNTIF('第11章(森林)'!U25:W27,"&gt;8")</f>
        <v>0</v>
      </c>
      <c r="W26" s="57">
        <f>COUNTIF('第11章(森林)'!V25:X27,"&gt;=5")-COUNTIF('第11章(森林)'!V25:X27,"&gt;8")</f>
        <v>0</v>
      </c>
      <c r="X26" s="57">
        <f>COUNTIF('第11章(森林)'!W25:Y27,"&gt;=5")-COUNTIF('第11章(森林)'!W25:Y27,"&gt;8")</f>
        <v>0</v>
      </c>
      <c r="Y26" s="57">
        <f>COUNTIF('第11章(森林)'!X25:Z27,"&gt;=5")-COUNTIF('第11章(森林)'!X25:Z27,"&gt;8")</f>
        <v>0</v>
      </c>
      <c r="Z26" s="57">
        <f>COUNTIF('第11章(森林)'!Y25:AA27,"&gt;=5")-COUNTIF('第11章(森林)'!Y25:AA27,"&gt;8")</f>
        <v>0</v>
      </c>
    </row>
  </sheetData>
  <phoneticPr fontId="1"/>
  <conditionalFormatting sqref="B2:Z26">
    <cfRule type="cellIs" dxfId="15" priority="1" operator="between">
      <formula>6</formula>
      <formula>9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2"/>
  <sheetViews>
    <sheetView workbookViewId="0">
      <selection activeCell="J10" sqref="J10"/>
    </sheetView>
  </sheetViews>
  <sheetFormatPr defaultRowHeight="13.5" x14ac:dyDescent="0.15"/>
  <cols>
    <col min="1" max="1" width="2.875" bestFit="1" customWidth="1"/>
    <col min="2" max="2" width="5.25" bestFit="1" customWidth="1"/>
    <col min="3" max="3" width="2.5" bestFit="1" customWidth="1"/>
    <col min="4" max="13" width="5.375" customWidth="1"/>
  </cols>
  <sheetData>
    <row r="1" spans="1:13" x14ac:dyDescent="0.15">
      <c r="D1" s="72" t="s">
        <v>44</v>
      </c>
      <c r="E1" s="73"/>
      <c r="F1" s="73"/>
      <c r="G1" s="73"/>
      <c r="H1" s="73"/>
      <c r="I1" s="73"/>
      <c r="J1" s="73"/>
      <c r="K1" s="73"/>
      <c r="L1" s="73"/>
      <c r="M1" s="74"/>
    </row>
    <row r="2" spans="1:13" ht="14.25" thickBot="1" x14ac:dyDescent="0.2">
      <c r="D2" s="75">
        <v>0</v>
      </c>
      <c r="E2" s="69">
        <v>1</v>
      </c>
      <c r="F2" s="69">
        <v>2</v>
      </c>
      <c r="G2" s="69">
        <v>3</v>
      </c>
      <c r="H2" s="69">
        <v>4</v>
      </c>
      <c r="I2" s="69">
        <v>5</v>
      </c>
      <c r="J2" s="69">
        <v>6</v>
      </c>
      <c r="K2" s="69">
        <v>7</v>
      </c>
      <c r="L2" s="69">
        <v>8</v>
      </c>
      <c r="M2" s="71">
        <v>9</v>
      </c>
    </row>
    <row r="3" spans="1:13" x14ac:dyDescent="0.15">
      <c r="A3" s="62" t="s">
        <v>45</v>
      </c>
      <c r="B3" s="63" t="s">
        <v>46</v>
      </c>
      <c r="C3" s="64">
        <v>0</v>
      </c>
      <c r="D3" s="63">
        <v>0</v>
      </c>
      <c r="E3" s="63">
        <v>0</v>
      </c>
      <c r="F3" s="63">
        <v>0</v>
      </c>
      <c r="G3" s="63">
        <v>0</v>
      </c>
      <c r="H3" s="63">
        <v>0</v>
      </c>
      <c r="I3" s="63">
        <v>0</v>
      </c>
      <c r="J3" s="63">
        <v>0</v>
      </c>
      <c r="K3" s="63">
        <v>0</v>
      </c>
      <c r="L3" s="63">
        <v>0</v>
      </c>
      <c r="M3" s="65">
        <v>0</v>
      </c>
    </row>
    <row r="4" spans="1:13" x14ac:dyDescent="0.15">
      <c r="A4" s="66"/>
      <c r="B4" s="58" t="s">
        <v>47</v>
      </c>
      <c r="C4" s="59">
        <v>1</v>
      </c>
      <c r="D4" s="58">
        <v>1</v>
      </c>
      <c r="E4" s="58">
        <v>2</v>
      </c>
      <c r="F4" s="58">
        <v>2</v>
      </c>
      <c r="G4" s="58">
        <v>2</v>
      </c>
      <c r="H4" s="58">
        <v>2</v>
      </c>
      <c r="I4" s="58">
        <v>3</v>
      </c>
      <c r="J4" s="58">
        <v>3</v>
      </c>
      <c r="K4" s="58">
        <v>3</v>
      </c>
      <c r="L4" s="58">
        <v>3</v>
      </c>
      <c r="M4" s="67">
        <v>3</v>
      </c>
    </row>
    <row r="5" spans="1:13" x14ac:dyDescent="0.15">
      <c r="A5" s="66"/>
      <c r="B5" s="60" t="s">
        <v>48</v>
      </c>
      <c r="C5" s="59">
        <v>2</v>
      </c>
      <c r="D5" s="58">
        <v>2</v>
      </c>
      <c r="E5" s="58">
        <v>3</v>
      </c>
      <c r="F5" s="58">
        <v>3</v>
      </c>
      <c r="G5" s="58">
        <v>4</v>
      </c>
      <c r="H5" s="58">
        <v>4</v>
      </c>
      <c r="I5" s="58">
        <v>5</v>
      </c>
      <c r="J5" s="58">
        <v>5</v>
      </c>
      <c r="K5" s="58">
        <v>5</v>
      </c>
      <c r="L5" s="58">
        <v>5</v>
      </c>
      <c r="M5" s="67"/>
    </row>
    <row r="6" spans="1:13" x14ac:dyDescent="0.15">
      <c r="A6" s="66"/>
      <c r="B6" s="60"/>
      <c r="C6" s="59">
        <v>3</v>
      </c>
      <c r="D6" s="58">
        <v>3</v>
      </c>
      <c r="E6" s="58">
        <v>4</v>
      </c>
      <c r="F6" s="58">
        <v>4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67"/>
    </row>
    <row r="7" spans="1:13" x14ac:dyDescent="0.15">
      <c r="A7" s="66"/>
      <c r="B7" s="60"/>
      <c r="C7" s="59">
        <v>4</v>
      </c>
      <c r="D7" s="58">
        <v>4</v>
      </c>
      <c r="E7" s="58">
        <v>5</v>
      </c>
      <c r="F7" s="58">
        <v>5</v>
      </c>
      <c r="G7" s="58">
        <v>5</v>
      </c>
      <c r="H7" s="58">
        <v>5</v>
      </c>
      <c r="I7" s="58">
        <v>5</v>
      </c>
      <c r="J7" s="58">
        <v>5</v>
      </c>
      <c r="K7" s="58">
        <v>5</v>
      </c>
      <c r="L7" s="58">
        <v>5</v>
      </c>
      <c r="M7" s="67"/>
    </row>
    <row r="8" spans="1:13" x14ac:dyDescent="0.15">
      <c r="A8" s="66"/>
      <c r="B8" s="60" t="s">
        <v>49</v>
      </c>
      <c r="C8" s="61">
        <v>5</v>
      </c>
      <c r="D8" s="58">
        <v>6</v>
      </c>
      <c r="E8" s="58">
        <v>6</v>
      </c>
      <c r="F8" s="58">
        <v>6</v>
      </c>
      <c r="G8" s="58">
        <v>6</v>
      </c>
      <c r="H8" s="58">
        <v>6</v>
      </c>
      <c r="I8" s="58">
        <v>6</v>
      </c>
      <c r="J8" s="58">
        <v>6</v>
      </c>
      <c r="K8" s="58">
        <v>6</v>
      </c>
      <c r="L8" s="58">
        <v>6</v>
      </c>
      <c r="M8" s="67">
        <v>6</v>
      </c>
    </row>
    <row r="9" spans="1:13" x14ac:dyDescent="0.15">
      <c r="A9" s="66"/>
      <c r="B9" s="60"/>
      <c r="C9" s="61">
        <v>6</v>
      </c>
      <c r="D9" s="58">
        <v>7</v>
      </c>
      <c r="E9" s="58">
        <v>7</v>
      </c>
      <c r="F9" s="58">
        <v>7</v>
      </c>
      <c r="G9" s="58">
        <v>7</v>
      </c>
      <c r="H9" s="58">
        <v>7</v>
      </c>
      <c r="I9" s="58">
        <v>7</v>
      </c>
      <c r="J9" s="58">
        <v>7</v>
      </c>
      <c r="K9" s="58">
        <v>7</v>
      </c>
      <c r="L9" s="58">
        <v>7</v>
      </c>
      <c r="M9" s="67">
        <v>7</v>
      </c>
    </row>
    <row r="10" spans="1:13" x14ac:dyDescent="0.15">
      <c r="A10" s="66"/>
      <c r="B10" s="60"/>
      <c r="C10" s="61">
        <v>7</v>
      </c>
      <c r="D10" s="58">
        <v>8</v>
      </c>
      <c r="E10" s="58">
        <v>8</v>
      </c>
      <c r="F10" s="58">
        <v>8</v>
      </c>
      <c r="G10" s="58">
        <v>8</v>
      </c>
      <c r="H10" s="58">
        <v>8</v>
      </c>
      <c r="I10" s="58">
        <v>8</v>
      </c>
      <c r="J10" s="58">
        <v>8</v>
      </c>
      <c r="K10" s="58">
        <v>8</v>
      </c>
      <c r="L10" s="58">
        <v>8</v>
      </c>
      <c r="M10" s="67">
        <v>8</v>
      </c>
    </row>
    <row r="11" spans="1:13" x14ac:dyDescent="0.15">
      <c r="A11" s="66"/>
      <c r="B11" s="60"/>
      <c r="C11" s="61">
        <v>8</v>
      </c>
      <c r="D11" s="58">
        <v>9</v>
      </c>
      <c r="E11" s="58">
        <v>9</v>
      </c>
      <c r="F11" s="58">
        <v>9</v>
      </c>
      <c r="G11" s="58">
        <v>9</v>
      </c>
      <c r="H11" s="58">
        <v>9</v>
      </c>
      <c r="I11" s="58">
        <v>9</v>
      </c>
      <c r="J11" s="58">
        <v>9</v>
      </c>
      <c r="K11" s="58">
        <v>9</v>
      </c>
      <c r="L11" s="58">
        <v>9</v>
      </c>
      <c r="M11" s="67">
        <v>9</v>
      </c>
    </row>
    <row r="12" spans="1:13" ht="14.25" thickBot="1" x14ac:dyDescent="0.2">
      <c r="A12" s="68"/>
      <c r="B12" s="69" t="s">
        <v>50</v>
      </c>
      <c r="C12" s="70">
        <v>9</v>
      </c>
      <c r="D12" s="69">
        <v>9</v>
      </c>
      <c r="E12" s="69">
        <v>9</v>
      </c>
      <c r="F12" s="69">
        <v>9</v>
      </c>
      <c r="G12" s="69">
        <v>9</v>
      </c>
      <c r="H12" s="69">
        <v>9</v>
      </c>
      <c r="I12" s="69">
        <v>9</v>
      </c>
      <c r="J12" s="69">
        <v>9</v>
      </c>
      <c r="K12" s="69">
        <v>9</v>
      </c>
      <c r="L12" s="69">
        <v>9</v>
      </c>
      <c r="M12" s="71"/>
    </row>
  </sheetData>
  <mergeCells count="4">
    <mergeCell ref="D1:M1"/>
    <mergeCell ref="A3:A12"/>
    <mergeCell ref="B5:B7"/>
    <mergeCell ref="B8:B11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Y22"/>
  <sheetViews>
    <sheetView workbookViewId="0">
      <selection activeCell="L12" sqref="L12"/>
    </sheetView>
  </sheetViews>
  <sheetFormatPr defaultRowHeight="12" customHeight="1" x14ac:dyDescent="0.15"/>
  <cols>
    <col min="1" max="23" width="2.125" customWidth="1"/>
  </cols>
  <sheetData>
    <row r="2" spans="2:25" ht="12" customHeight="1" x14ac:dyDescent="0.15">
      <c r="B2" s="38">
        <f ca="1">INT(1+$Y$2-RAND())</f>
        <v>1</v>
      </c>
      <c r="C2" s="38">
        <f t="shared" ref="C2:V14" ca="1" si="0">INT(1+$Y$2-RAND())</f>
        <v>1</v>
      </c>
      <c r="D2" s="38">
        <f t="shared" ca="1" si="0"/>
        <v>1</v>
      </c>
      <c r="E2" s="38">
        <f t="shared" ca="1" si="0"/>
        <v>1</v>
      </c>
      <c r="F2" s="38">
        <f t="shared" ca="1" si="0"/>
        <v>0</v>
      </c>
      <c r="G2" s="38">
        <f t="shared" ca="1" si="0"/>
        <v>1</v>
      </c>
      <c r="H2" s="38">
        <f t="shared" ca="1" si="0"/>
        <v>1</v>
      </c>
      <c r="I2" s="38">
        <f t="shared" ca="1" si="0"/>
        <v>1</v>
      </c>
      <c r="J2" s="38">
        <f t="shared" ca="1" si="0"/>
        <v>1</v>
      </c>
      <c r="K2" s="38">
        <f t="shared" ca="1" si="0"/>
        <v>1</v>
      </c>
      <c r="L2" s="38">
        <f t="shared" ca="1" si="0"/>
        <v>1</v>
      </c>
      <c r="M2" s="38">
        <f t="shared" ca="1" si="0"/>
        <v>1</v>
      </c>
      <c r="N2" s="38">
        <f t="shared" ca="1" si="0"/>
        <v>1</v>
      </c>
      <c r="O2" s="38">
        <f t="shared" ca="1" si="0"/>
        <v>1</v>
      </c>
      <c r="P2" s="38">
        <f t="shared" ca="1" si="0"/>
        <v>1</v>
      </c>
      <c r="Q2" s="38">
        <f t="shared" ca="1" si="0"/>
        <v>1</v>
      </c>
      <c r="R2" s="38">
        <f t="shared" ca="1" si="0"/>
        <v>1</v>
      </c>
      <c r="S2" s="38">
        <f t="shared" ca="1" si="0"/>
        <v>1</v>
      </c>
      <c r="T2" s="38">
        <f t="shared" ca="1" si="0"/>
        <v>1</v>
      </c>
      <c r="U2" s="38">
        <f t="shared" ca="1" si="0"/>
        <v>1</v>
      </c>
      <c r="V2" s="38">
        <f t="shared" ca="1" si="0"/>
        <v>1</v>
      </c>
      <c r="X2" t="s">
        <v>38</v>
      </c>
      <c r="Y2">
        <v>0.9</v>
      </c>
    </row>
    <row r="3" spans="2:25" ht="12" customHeight="1" x14ac:dyDescent="0.15">
      <c r="B3" s="38">
        <f t="shared" ref="B3:Q22" ca="1" si="1">INT(1+$Y$2-RAND())</f>
        <v>1</v>
      </c>
      <c r="C3" s="38">
        <f t="shared" ca="1" si="0"/>
        <v>1</v>
      </c>
      <c r="D3" s="38">
        <f t="shared" ca="1" si="0"/>
        <v>1</v>
      </c>
      <c r="E3" s="38">
        <f t="shared" ca="1" si="0"/>
        <v>1</v>
      </c>
      <c r="F3" s="38">
        <f t="shared" ca="1" si="0"/>
        <v>1</v>
      </c>
      <c r="G3" s="38">
        <f t="shared" ca="1" si="0"/>
        <v>1</v>
      </c>
      <c r="H3" s="38">
        <f t="shared" ca="1" si="0"/>
        <v>1</v>
      </c>
      <c r="I3" s="38">
        <f t="shared" ca="1" si="0"/>
        <v>1</v>
      </c>
      <c r="J3" s="38">
        <f t="shared" ca="1" si="0"/>
        <v>1</v>
      </c>
      <c r="K3" s="38">
        <f t="shared" ca="1" si="0"/>
        <v>1</v>
      </c>
      <c r="L3" s="38">
        <f t="shared" ca="1" si="0"/>
        <v>1</v>
      </c>
      <c r="M3" s="38">
        <f t="shared" ca="1" si="0"/>
        <v>1</v>
      </c>
      <c r="N3" s="38">
        <f t="shared" ca="1" si="0"/>
        <v>1</v>
      </c>
      <c r="O3" s="38">
        <f t="shared" ca="1" si="0"/>
        <v>1</v>
      </c>
      <c r="P3" s="38">
        <f t="shared" ca="1" si="0"/>
        <v>1</v>
      </c>
      <c r="Q3" s="38">
        <f t="shared" ca="1" si="0"/>
        <v>0</v>
      </c>
      <c r="R3" s="38">
        <f t="shared" ca="1" si="0"/>
        <v>1</v>
      </c>
      <c r="S3" s="38">
        <f t="shared" ca="1" si="0"/>
        <v>1</v>
      </c>
      <c r="T3" s="38">
        <f t="shared" ca="1" si="0"/>
        <v>1</v>
      </c>
      <c r="U3" s="38">
        <f t="shared" ca="1" si="0"/>
        <v>1</v>
      </c>
      <c r="V3" s="38">
        <f t="shared" ca="1" si="0"/>
        <v>1</v>
      </c>
    </row>
    <row r="4" spans="2:25" ht="12" customHeight="1" x14ac:dyDescent="0.15">
      <c r="B4" s="38">
        <f t="shared" ca="1" si="1"/>
        <v>1</v>
      </c>
      <c r="C4" s="38">
        <f t="shared" ca="1" si="0"/>
        <v>1</v>
      </c>
      <c r="D4" s="38">
        <f t="shared" ca="1" si="0"/>
        <v>1</v>
      </c>
      <c r="E4" s="38">
        <f t="shared" ca="1" si="0"/>
        <v>1</v>
      </c>
      <c r="F4" s="38">
        <f t="shared" ca="1" si="0"/>
        <v>1</v>
      </c>
      <c r="G4" s="38">
        <f t="shared" ca="1" si="0"/>
        <v>1</v>
      </c>
      <c r="H4" s="38">
        <f t="shared" ca="1" si="0"/>
        <v>1</v>
      </c>
      <c r="I4" s="38">
        <f t="shared" ca="1" si="0"/>
        <v>1</v>
      </c>
      <c r="J4" s="38">
        <f t="shared" ca="1" si="0"/>
        <v>1</v>
      </c>
      <c r="K4" s="38">
        <f t="shared" ca="1" si="0"/>
        <v>1</v>
      </c>
      <c r="L4" s="38">
        <f t="shared" ca="1" si="0"/>
        <v>1</v>
      </c>
      <c r="M4" s="38">
        <f t="shared" ca="1" si="0"/>
        <v>1</v>
      </c>
      <c r="N4" s="38">
        <f t="shared" ca="1" si="0"/>
        <v>1</v>
      </c>
      <c r="O4" s="38">
        <f t="shared" ca="1" si="0"/>
        <v>1</v>
      </c>
      <c r="P4" s="38">
        <f t="shared" ca="1" si="0"/>
        <v>1</v>
      </c>
      <c r="Q4" s="38">
        <f t="shared" ca="1" si="0"/>
        <v>1</v>
      </c>
      <c r="R4" s="38">
        <f t="shared" ca="1" si="0"/>
        <v>1</v>
      </c>
      <c r="S4" s="38">
        <f t="shared" ca="1" si="0"/>
        <v>1</v>
      </c>
      <c r="T4" s="38">
        <f t="shared" ca="1" si="0"/>
        <v>1</v>
      </c>
      <c r="U4" s="38">
        <f t="shared" ca="1" si="0"/>
        <v>1</v>
      </c>
      <c r="V4" s="38">
        <f t="shared" ca="1" si="0"/>
        <v>1</v>
      </c>
    </row>
    <row r="5" spans="2:25" ht="12" customHeight="1" x14ac:dyDescent="0.15">
      <c r="B5" s="38">
        <f t="shared" ca="1" si="1"/>
        <v>1</v>
      </c>
      <c r="C5" s="38">
        <f t="shared" ca="1" si="0"/>
        <v>1</v>
      </c>
      <c r="D5" s="38">
        <f t="shared" ca="1" si="0"/>
        <v>1</v>
      </c>
      <c r="E5" s="38">
        <f t="shared" ca="1" si="0"/>
        <v>1</v>
      </c>
      <c r="F5" s="38">
        <f t="shared" ca="1" si="0"/>
        <v>1</v>
      </c>
      <c r="G5" s="38">
        <f t="shared" ca="1" si="0"/>
        <v>0</v>
      </c>
      <c r="H5" s="38">
        <f t="shared" ca="1" si="0"/>
        <v>1</v>
      </c>
      <c r="I5" s="38">
        <f t="shared" ca="1" si="0"/>
        <v>1</v>
      </c>
      <c r="J5" s="38">
        <f t="shared" ca="1" si="0"/>
        <v>1</v>
      </c>
      <c r="K5" s="38">
        <f t="shared" ca="1" si="0"/>
        <v>1</v>
      </c>
      <c r="L5" s="38">
        <f t="shared" ca="1" si="0"/>
        <v>1</v>
      </c>
      <c r="M5" s="38">
        <f t="shared" ca="1" si="0"/>
        <v>1</v>
      </c>
      <c r="N5" s="38">
        <f t="shared" ca="1" si="0"/>
        <v>0</v>
      </c>
      <c r="O5" s="38">
        <f t="shared" ca="1" si="0"/>
        <v>1</v>
      </c>
      <c r="P5" s="38">
        <f t="shared" ca="1" si="0"/>
        <v>1</v>
      </c>
      <c r="Q5" s="38">
        <f t="shared" ca="1" si="0"/>
        <v>1</v>
      </c>
      <c r="R5" s="38">
        <f t="shared" ca="1" si="0"/>
        <v>1</v>
      </c>
      <c r="S5" s="38">
        <f t="shared" ca="1" si="0"/>
        <v>1</v>
      </c>
      <c r="T5" s="38">
        <f t="shared" ca="1" si="0"/>
        <v>1</v>
      </c>
      <c r="U5" s="38">
        <f t="shared" ca="1" si="0"/>
        <v>1</v>
      </c>
      <c r="V5" s="38">
        <f t="shared" ca="1" si="0"/>
        <v>1</v>
      </c>
    </row>
    <row r="6" spans="2:25" ht="12" customHeight="1" x14ac:dyDescent="0.15">
      <c r="B6" s="38">
        <f t="shared" ca="1" si="1"/>
        <v>1</v>
      </c>
      <c r="C6" s="38">
        <f t="shared" ca="1" si="0"/>
        <v>1</v>
      </c>
      <c r="D6" s="38">
        <f t="shared" ca="1" si="0"/>
        <v>1</v>
      </c>
      <c r="E6" s="38">
        <f t="shared" ca="1" si="0"/>
        <v>1</v>
      </c>
      <c r="F6" s="38">
        <f t="shared" ca="1" si="0"/>
        <v>1</v>
      </c>
      <c r="G6" s="38">
        <f t="shared" ca="1" si="0"/>
        <v>1</v>
      </c>
      <c r="H6" s="38">
        <f t="shared" ca="1" si="0"/>
        <v>1</v>
      </c>
      <c r="I6" s="38">
        <f t="shared" ca="1" si="0"/>
        <v>1</v>
      </c>
      <c r="J6" s="38">
        <f t="shared" ca="1" si="0"/>
        <v>1</v>
      </c>
      <c r="K6" s="38">
        <f t="shared" ca="1" si="0"/>
        <v>1</v>
      </c>
      <c r="L6" s="38">
        <f t="shared" ca="1" si="0"/>
        <v>1</v>
      </c>
      <c r="M6" s="38">
        <f t="shared" ca="1" si="0"/>
        <v>1</v>
      </c>
      <c r="N6" s="38">
        <f t="shared" ca="1" si="0"/>
        <v>1</v>
      </c>
      <c r="O6" s="38">
        <f t="shared" ca="1" si="0"/>
        <v>1</v>
      </c>
      <c r="P6" s="38">
        <f t="shared" ca="1" si="0"/>
        <v>1</v>
      </c>
      <c r="Q6" s="38">
        <f t="shared" ca="1" si="0"/>
        <v>1</v>
      </c>
      <c r="R6" s="38">
        <f t="shared" ca="1" si="0"/>
        <v>1</v>
      </c>
      <c r="S6" s="38">
        <f t="shared" ca="1" si="0"/>
        <v>1</v>
      </c>
      <c r="T6" s="38">
        <f t="shared" ca="1" si="0"/>
        <v>1</v>
      </c>
      <c r="U6" s="38">
        <f t="shared" ca="1" si="0"/>
        <v>1</v>
      </c>
      <c r="V6" s="38">
        <f t="shared" ca="1" si="0"/>
        <v>1</v>
      </c>
    </row>
    <row r="7" spans="2:25" ht="12" customHeight="1" x14ac:dyDescent="0.15">
      <c r="B7" s="38">
        <f t="shared" ca="1" si="1"/>
        <v>1</v>
      </c>
      <c r="C7" s="38">
        <f t="shared" ca="1" si="0"/>
        <v>1</v>
      </c>
      <c r="D7" s="38">
        <f t="shared" ca="1" si="0"/>
        <v>1</v>
      </c>
      <c r="E7" s="38">
        <f t="shared" ca="1" si="0"/>
        <v>1</v>
      </c>
      <c r="F7" s="38">
        <f t="shared" ca="1" si="0"/>
        <v>1</v>
      </c>
      <c r="G7" s="38">
        <f t="shared" ca="1" si="0"/>
        <v>1</v>
      </c>
      <c r="H7" s="38">
        <f t="shared" ca="1" si="0"/>
        <v>1</v>
      </c>
      <c r="I7" s="38">
        <f t="shared" ca="1" si="0"/>
        <v>1</v>
      </c>
      <c r="J7" s="38">
        <f t="shared" ca="1" si="0"/>
        <v>1</v>
      </c>
      <c r="K7" s="38">
        <f t="shared" ca="1" si="0"/>
        <v>1</v>
      </c>
      <c r="L7" s="38">
        <f t="shared" ca="1" si="0"/>
        <v>1</v>
      </c>
      <c r="M7" s="38">
        <f t="shared" ca="1" si="0"/>
        <v>1</v>
      </c>
      <c r="N7" s="38">
        <f t="shared" ca="1" si="0"/>
        <v>0</v>
      </c>
      <c r="O7" s="38">
        <f t="shared" ca="1" si="0"/>
        <v>0</v>
      </c>
      <c r="P7" s="38">
        <f t="shared" ca="1" si="0"/>
        <v>1</v>
      </c>
      <c r="Q7" s="38">
        <f t="shared" ca="1" si="0"/>
        <v>1</v>
      </c>
      <c r="R7" s="38">
        <f t="shared" ca="1" si="0"/>
        <v>1</v>
      </c>
      <c r="S7" s="38">
        <f t="shared" ca="1" si="0"/>
        <v>1</v>
      </c>
      <c r="T7" s="38">
        <f t="shared" ca="1" si="0"/>
        <v>1</v>
      </c>
      <c r="U7" s="38">
        <f t="shared" ca="1" si="0"/>
        <v>0</v>
      </c>
      <c r="V7" s="38">
        <f t="shared" ca="1" si="0"/>
        <v>1</v>
      </c>
    </row>
    <row r="8" spans="2:25" ht="12" customHeight="1" x14ac:dyDescent="0.15">
      <c r="B8" s="38">
        <f t="shared" ca="1" si="1"/>
        <v>1</v>
      </c>
      <c r="C8" s="38">
        <f t="shared" ca="1" si="0"/>
        <v>1</v>
      </c>
      <c r="D8" s="38">
        <f t="shared" ca="1" si="0"/>
        <v>1</v>
      </c>
      <c r="E8" s="38">
        <f t="shared" ca="1" si="0"/>
        <v>1</v>
      </c>
      <c r="F8" s="38">
        <f t="shared" ca="1" si="0"/>
        <v>1</v>
      </c>
      <c r="G8" s="38">
        <f t="shared" ca="1" si="0"/>
        <v>1</v>
      </c>
      <c r="H8" s="38">
        <f t="shared" ca="1" si="0"/>
        <v>1</v>
      </c>
      <c r="I8" s="38">
        <f t="shared" ca="1" si="0"/>
        <v>1</v>
      </c>
      <c r="J8" s="38">
        <f t="shared" ca="1" si="0"/>
        <v>1</v>
      </c>
      <c r="K8" s="38">
        <f t="shared" ca="1" si="0"/>
        <v>1</v>
      </c>
      <c r="L8" s="38">
        <f t="shared" ca="1" si="0"/>
        <v>1</v>
      </c>
      <c r="M8" s="38">
        <f t="shared" ca="1" si="0"/>
        <v>0</v>
      </c>
      <c r="N8" s="38">
        <f t="shared" ca="1" si="0"/>
        <v>1</v>
      </c>
      <c r="O8" s="38">
        <f t="shared" ca="1" si="0"/>
        <v>1</v>
      </c>
      <c r="P8" s="38">
        <f t="shared" ca="1" si="0"/>
        <v>1</v>
      </c>
      <c r="Q8" s="38">
        <f t="shared" ca="1" si="0"/>
        <v>1</v>
      </c>
      <c r="R8" s="38">
        <f t="shared" ca="1" si="0"/>
        <v>1</v>
      </c>
      <c r="S8" s="38">
        <f t="shared" ca="1" si="0"/>
        <v>1</v>
      </c>
      <c r="T8" s="38">
        <f t="shared" ca="1" si="0"/>
        <v>1</v>
      </c>
      <c r="U8" s="38">
        <f t="shared" ca="1" si="0"/>
        <v>1</v>
      </c>
      <c r="V8" s="38">
        <f t="shared" ca="1" si="0"/>
        <v>0</v>
      </c>
    </row>
    <row r="9" spans="2:25" ht="12" customHeight="1" x14ac:dyDescent="0.15">
      <c r="B9" s="38">
        <f t="shared" ca="1" si="1"/>
        <v>1</v>
      </c>
      <c r="C9" s="38">
        <f t="shared" ca="1" si="0"/>
        <v>1</v>
      </c>
      <c r="D9" s="38">
        <f t="shared" ca="1" si="0"/>
        <v>1</v>
      </c>
      <c r="E9" s="38">
        <f t="shared" ca="1" si="0"/>
        <v>1</v>
      </c>
      <c r="F9" s="38">
        <f t="shared" ca="1" si="0"/>
        <v>1</v>
      </c>
      <c r="G9" s="38">
        <f t="shared" ca="1" si="0"/>
        <v>0</v>
      </c>
      <c r="H9" s="38">
        <f t="shared" ca="1" si="0"/>
        <v>1</v>
      </c>
      <c r="I9" s="38">
        <f t="shared" ca="1" si="0"/>
        <v>1</v>
      </c>
      <c r="J9" s="38">
        <f t="shared" ca="1" si="0"/>
        <v>1</v>
      </c>
      <c r="K9" s="38">
        <f t="shared" ca="1" si="0"/>
        <v>1</v>
      </c>
      <c r="L9" s="38">
        <f t="shared" ca="1" si="0"/>
        <v>0</v>
      </c>
      <c r="M9" s="38">
        <f t="shared" ca="1" si="0"/>
        <v>1</v>
      </c>
      <c r="N9" s="38">
        <f t="shared" ca="1" si="0"/>
        <v>1</v>
      </c>
      <c r="O9" s="38">
        <f t="shared" ca="1" si="0"/>
        <v>1</v>
      </c>
      <c r="P9" s="38">
        <f t="shared" ca="1" si="0"/>
        <v>1</v>
      </c>
      <c r="Q9" s="38">
        <f t="shared" ca="1" si="0"/>
        <v>1</v>
      </c>
      <c r="R9" s="38">
        <f t="shared" ca="1" si="0"/>
        <v>1</v>
      </c>
      <c r="S9" s="38">
        <f t="shared" ca="1" si="0"/>
        <v>0</v>
      </c>
      <c r="T9" s="38">
        <f t="shared" ca="1" si="0"/>
        <v>1</v>
      </c>
      <c r="U9" s="38">
        <f t="shared" ca="1" si="0"/>
        <v>1</v>
      </c>
      <c r="V9" s="38">
        <f t="shared" ca="1" si="0"/>
        <v>1</v>
      </c>
    </row>
    <row r="10" spans="2:25" ht="12" customHeight="1" x14ac:dyDescent="0.15">
      <c r="B10" s="38">
        <f t="shared" ca="1" si="1"/>
        <v>1</v>
      </c>
      <c r="C10" s="38">
        <f t="shared" ca="1" si="0"/>
        <v>1</v>
      </c>
      <c r="D10" s="38">
        <f t="shared" ca="1" si="0"/>
        <v>1</v>
      </c>
      <c r="E10" s="38">
        <f t="shared" ca="1" si="0"/>
        <v>1</v>
      </c>
      <c r="F10" s="38">
        <f t="shared" ca="1" si="0"/>
        <v>1</v>
      </c>
      <c r="G10" s="38">
        <f t="shared" ca="1" si="0"/>
        <v>1</v>
      </c>
      <c r="H10" s="38">
        <f t="shared" ca="1" si="0"/>
        <v>1</v>
      </c>
      <c r="I10" s="38">
        <f t="shared" ca="1" si="0"/>
        <v>0</v>
      </c>
      <c r="J10" s="38">
        <f t="shared" ca="1" si="0"/>
        <v>1</v>
      </c>
      <c r="K10" s="38">
        <f t="shared" ca="1" si="0"/>
        <v>1</v>
      </c>
      <c r="L10" s="38">
        <f t="shared" ca="1" si="0"/>
        <v>1</v>
      </c>
      <c r="M10" s="38">
        <f t="shared" ca="1" si="0"/>
        <v>1</v>
      </c>
      <c r="N10" s="38">
        <f t="shared" ca="1" si="0"/>
        <v>1</v>
      </c>
      <c r="O10" s="38">
        <f t="shared" ca="1" si="0"/>
        <v>1</v>
      </c>
      <c r="P10" s="38">
        <f t="shared" ca="1" si="0"/>
        <v>1</v>
      </c>
      <c r="Q10" s="38">
        <f t="shared" ca="1" si="0"/>
        <v>1</v>
      </c>
      <c r="R10" s="38">
        <f t="shared" ca="1" si="0"/>
        <v>1</v>
      </c>
      <c r="S10" s="38">
        <f t="shared" ca="1" si="0"/>
        <v>1</v>
      </c>
      <c r="T10" s="38">
        <f t="shared" ca="1" si="0"/>
        <v>1</v>
      </c>
      <c r="U10" s="38">
        <f t="shared" ca="1" si="0"/>
        <v>1</v>
      </c>
      <c r="V10" s="38">
        <f t="shared" ca="1" si="0"/>
        <v>1</v>
      </c>
    </row>
    <row r="11" spans="2:25" ht="12" customHeight="1" x14ac:dyDescent="0.15">
      <c r="B11" s="38">
        <f t="shared" ca="1" si="1"/>
        <v>1</v>
      </c>
      <c r="C11" s="38">
        <f t="shared" ca="1" si="0"/>
        <v>1</v>
      </c>
      <c r="D11" s="38">
        <f t="shared" ca="1" si="0"/>
        <v>1</v>
      </c>
      <c r="E11" s="38">
        <f t="shared" ca="1" si="0"/>
        <v>1</v>
      </c>
      <c r="F11" s="38">
        <f t="shared" ca="1" si="0"/>
        <v>1</v>
      </c>
      <c r="G11" s="38">
        <f t="shared" ca="1" si="0"/>
        <v>1</v>
      </c>
      <c r="H11" s="38">
        <f t="shared" ca="1" si="0"/>
        <v>1</v>
      </c>
      <c r="I11" s="38">
        <f t="shared" ca="1" si="0"/>
        <v>1</v>
      </c>
      <c r="J11" s="38">
        <f t="shared" ca="1" si="0"/>
        <v>1</v>
      </c>
      <c r="K11" s="38">
        <f t="shared" ca="1" si="0"/>
        <v>1</v>
      </c>
      <c r="L11" s="38">
        <f t="shared" ca="1" si="0"/>
        <v>1</v>
      </c>
      <c r="M11" s="38">
        <f t="shared" ca="1" si="0"/>
        <v>1</v>
      </c>
      <c r="N11" s="38">
        <f t="shared" ca="1" si="0"/>
        <v>1</v>
      </c>
      <c r="O11" s="38">
        <f t="shared" ca="1" si="0"/>
        <v>1</v>
      </c>
      <c r="P11" s="38">
        <f t="shared" ca="1" si="0"/>
        <v>0</v>
      </c>
      <c r="Q11" s="38">
        <f t="shared" ca="1" si="0"/>
        <v>1</v>
      </c>
      <c r="R11" s="38">
        <f t="shared" ca="1" si="0"/>
        <v>1</v>
      </c>
      <c r="S11" s="38">
        <f t="shared" ca="1" si="0"/>
        <v>1</v>
      </c>
      <c r="T11" s="38">
        <f t="shared" ca="1" si="0"/>
        <v>1</v>
      </c>
      <c r="U11" s="38">
        <f t="shared" ca="1" si="0"/>
        <v>1</v>
      </c>
      <c r="V11" s="38">
        <f t="shared" ca="1" si="0"/>
        <v>1</v>
      </c>
    </row>
    <row r="12" spans="2:25" ht="12" customHeight="1" x14ac:dyDescent="0.15">
      <c r="B12" s="38">
        <f t="shared" ca="1" si="1"/>
        <v>1</v>
      </c>
      <c r="C12" s="38">
        <f t="shared" ca="1" si="0"/>
        <v>0</v>
      </c>
      <c r="D12" s="38">
        <f t="shared" ca="1" si="0"/>
        <v>1</v>
      </c>
      <c r="E12" s="38">
        <f t="shared" ca="1" si="0"/>
        <v>1</v>
      </c>
      <c r="F12" s="38">
        <f t="shared" ca="1" si="0"/>
        <v>1</v>
      </c>
      <c r="G12" s="38">
        <f t="shared" ca="1" si="0"/>
        <v>1</v>
      </c>
      <c r="H12" s="38">
        <f t="shared" ca="1" si="0"/>
        <v>1</v>
      </c>
      <c r="I12" s="38">
        <f t="shared" ca="1" si="0"/>
        <v>1</v>
      </c>
      <c r="J12" s="38">
        <f t="shared" ca="1" si="0"/>
        <v>1</v>
      </c>
      <c r="K12" s="38">
        <f t="shared" ca="1" si="0"/>
        <v>1</v>
      </c>
      <c r="L12" s="38">
        <v>1</v>
      </c>
      <c r="M12" s="38">
        <f t="shared" ca="1" si="0"/>
        <v>0</v>
      </c>
      <c r="N12" s="38">
        <f t="shared" ca="1" si="0"/>
        <v>1</v>
      </c>
      <c r="O12" s="38">
        <f t="shared" ca="1" si="0"/>
        <v>1</v>
      </c>
      <c r="P12" s="38">
        <f t="shared" ca="1" si="0"/>
        <v>1</v>
      </c>
      <c r="Q12" s="38">
        <f t="shared" ca="1" si="0"/>
        <v>1</v>
      </c>
      <c r="R12" s="38">
        <f t="shared" ca="1" si="0"/>
        <v>1</v>
      </c>
      <c r="S12" s="38">
        <f t="shared" ca="1" si="0"/>
        <v>1</v>
      </c>
      <c r="T12" s="38">
        <f t="shared" ca="1" si="0"/>
        <v>0</v>
      </c>
      <c r="U12" s="38">
        <f t="shared" ca="1" si="0"/>
        <v>1</v>
      </c>
      <c r="V12" s="38">
        <f t="shared" ca="1" si="0"/>
        <v>1</v>
      </c>
    </row>
    <row r="13" spans="2:25" ht="12" customHeight="1" x14ac:dyDescent="0.15">
      <c r="B13" s="38">
        <f t="shared" ca="1" si="1"/>
        <v>1</v>
      </c>
      <c r="C13" s="38">
        <f t="shared" ca="1" si="0"/>
        <v>1</v>
      </c>
      <c r="D13" s="38">
        <f t="shared" ca="1" si="0"/>
        <v>1</v>
      </c>
      <c r="E13" s="38">
        <f t="shared" ca="1" si="0"/>
        <v>1</v>
      </c>
      <c r="F13" s="38">
        <f t="shared" ca="1" si="0"/>
        <v>1</v>
      </c>
      <c r="G13" s="38">
        <f t="shared" ca="1" si="0"/>
        <v>1</v>
      </c>
      <c r="H13" s="38">
        <f t="shared" ca="1" si="0"/>
        <v>1</v>
      </c>
      <c r="I13" s="38">
        <f t="shared" ca="1" si="0"/>
        <v>1</v>
      </c>
      <c r="J13" s="38">
        <f t="shared" ca="1" si="0"/>
        <v>1</v>
      </c>
      <c r="K13" s="38">
        <f t="shared" ca="1" si="0"/>
        <v>1</v>
      </c>
      <c r="L13" s="38">
        <f t="shared" ca="1" si="0"/>
        <v>1</v>
      </c>
      <c r="M13" s="38">
        <f t="shared" ca="1" si="0"/>
        <v>1</v>
      </c>
      <c r="N13" s="38">
        <f t="shared" ca="1" si="0"/>
        <v>0</v>
      </c>
      <c r="O13" s="38">
        <f t="shared" ca="1" si="0"/>
        <v>1</v>
      </c>
      <c r="P13" s="38">
        <f t="shared" ca="1" si="0"/>
        <v>1</v>
      </c>
      <c r="Q13" s="38">
        <f t="shared" ca="1" si="0"/>
        <v>1</v>
      </c>
      <c r="R13" s="38">
        <f t="shared" ca="1" si="0"/>
        <v>1</v>
      </c>
      <c r="S13" s="38">
        <f t="shared" ca="1" si="0"/>
        <v>1</v>
      </c>
      <c r="T13" s="38">
        <f t="shared" ca="1" si="0"/>
        <v>1</v>
      </c>
      <c r="U13" s="38">
        <f t="shared" ca="1" si="0"/>
        <v>1</v>
      </c>
      <c r="V13" s="38">
        <f t="shared" ca="1" si="0"/>
        <v>1</v>
      </c>
    </row>
    <row r="14" spans="2:25" ht="12" customHeight="1" x14ac:dyDescent="0.15">
      <c r="B14" s="38">
        <f t="shared" ca="1" si="1"/>
        <v>1</v>
      </c>
      <c r="C14" s="38">
        <f t="shared" ca="1" si="0"/>
        <v>1</v>
      </c>
      <c r="D14" s="38">
        <f t="shared" ca="1" si="0"/>
        <v>1</v>
      </c>
      <c r="E14" s="38">
        <f t="shared" ca="1" si="0"/>
        <v>1</v>
      </c>
      <c r="F14" s="38">
        <f t="shared" ca="1" si="0"/>
        <v>1</v>
      </c>
      <c r="G14" s="38">
        <f t="shared" ca="1" si="0"/>
        <v>1</v>
      </c>
      <c r="H14" s="38">
        <f t="shared" ca="1" si="0"/>
        <v>1</v>
      </c>
      <c r="I14" s="38">
        <f t="shared" ca="1" si="0"/>
        <v>1</v>
      </c>
      <c r="J14" s="38">
        <f t="shared" ca="1" si="0"/>
        <v>1</v>
      </c>
      <c r="K14" s="38">
        <f t="shared" ca="1" si="0"/>
        <v>1</v>
      </c>
      <c r="L14" s="38">
        <f t="shared" ca="1" si="0"/>
        <v>1</v>
      </c>
      <c r="M14" s="38">
        <f t="shared" ca="1" si="0"/>
        <v>1</v>
      </c>
      <c r="N14" s="38">
        <f t="shared" ca="1" si="0"/>
        <v>0</v>
      </c>
      <c r="O14" s="38">
        <f t="shared" ca="1" si="0"/>
        <v>1</v>
      </c>
      <c r="P14" s="38">
        <f t="shared" ca="1" si="0"/>
        <v>1</v>
      </c>
      <c r="Q14" s="38">
        <f t="shared" ca="1" si="0"/>
        <v>1</v>
      </c>
      <c r="R14" s="38">
        <f t="shared" ref="R14:V22" ca="1" si="2">INT(1+$Y$2-RAND())</f>
        <v>1</v>
      </c>
      <c r="S14" s="38">
        <f t="shared" ca="1" si="2"/>
        <v>1</v>
      </c>
      <c r="T14" s="38">
        <f t="shared" ca="1" si="2"/>
        <v>1</v>
      </c>
      <c r="U14" s="38">
        <f t="shared" ca="1" si="2"/>
        <v>1</v>
      </c>
      <c r="V14" s="38">
        <f t="shared" ca="1" si="2"/>
        <v>1</v>
      </c>
    </row>
    <row r="15" spans="2:25" ht="12" customHeight="1" x14ac:dyDescent="0.15">
      <c r="B15" s="38">
        <f t="shared" ca="1" si="1"/>
        <v>1</v>
      </c>
      <c r="C15" s="38">
        <f t="shared" ca="1" si="1"/>
        <v>1</v>
      </c>
      <c r="D15" s="38">
        <f t="shared" ca="1" si="1"/>
        <v>0</v>
      </c>
      <c r="E15" s="38">
        <f t="shared" ca="1" si="1"/>
        <v>1</v>
      </c>
      <c r="F15" s="38">
        <f t="shared" ca="1" si="1"/>
        <v>1</v>
      </c>
      <c r="G15" s="38">
        <f t="shared" ca="1" si="1"/>
        <v>1</v>
      </c>
      <c r="H15" s="38">
        <f t="shared" ca="1" si="1"/>
        <v>0</v>
      </c>
      <c r="I15" s="38">
        <f t="shared" ca="1" si="1"/>
        <v>1</v>
      </c>
      <c r="J15" s="38">
        <f t="shared" ca="1" si="1"/>
        <v>1</v>
      </c>
      <c r="K15" s="38">
        <f t="shared" ca="1" si="1"/>
        <v>1</v>
      </c>
      <c r="L15" s="38">
        <f t="shared" ca="1" si="1"/>
        <v>1</v>
      </c>
      <c r="M15" s="38">
        <f t="shared" ca="1" si="1"/>
        <v>1</v>
      </c>
      <c r="N15" s="38">
        <f t="shared" ca="1" si="1"/>
        <v>1</v>
      </c>
      <c r="O15" s="38">
        <f t="shared" ca="1" si="1"/>
        <v>1</v>
      </c>
      <c r="P15" s="38">
        <f t="shared" ca="1" si="1"/>
        <v>1</v>
      </c>
      <c r="Q15" s="38">
        <f t="shared" ca="1" si="1"/>
        <v>1</v>
      </c>
      <c r="R15" s="38">
        <f t="shared" ca="1" si="2"/>
        <v>1</v>
      </c>
      <c r="S15" s="38">
        <f t="shared" ca="1" si="2"/>
        <v>1</v>
      </c>
      <c r="T15" s="38">
        <f t="shared" ca="1" si="2"/>
        <v>1</v>
      </c>
      <c r="U15" s="38">
        <f t="shared" ca="1" si="2"/>
        <v>1</v>
      </c>
      <c r="V15" s="38">
        <f t="shared" ca="1" si="2"/>
        <v>1</v>
      </c>
    </row>
    <row r="16" spans="2:25" ht="12" customHeight="1" x14ac:dyDescent="0.15">
      <c r="B16" s="38">
        <f t="shared" ca="1" si="1"/>
        <v>1</v>
      </c>
      <c r="C16" s="38">
        <f t="shared" ca="1" si="1"/>
        <v>1</v>
      </c>
      <c r="D16" s="38">
        <f t="shared" ca="1" si="1"/>
        <v>1</v>
      </c>
      <c r="E16" s="38">
        <f t="shared" ca="1" si="1"/>
        <v>1</v>
      </c>
      <c r="F16" s="38">
        <f t="shared" ca="1" si="1"/>
        <v>1</v>
      </c>
      <c r="G16" s="38">
        <f t="shared" ca="1" si="1"/>
        <v>1</v>
      </c>
      <c r="H16" s="38">
        <f t="shared" ca="1" si="1"/>
        <v>1</v>
      </c>
      <c r="I16" s="38">
        <f t="shared" ca="1" si="1"/>
        <v>1</v>
      </c>
      <c r="J16" s="38">
        <f t="shared" ca="1" si="1"/>
        <v>1</v>
      </c>
      <c r="K16" s="38">
        <f t="shared" ca="1" si="1"/>
        <v>1</v>
      </c>
      <c r="L16" s="38">
        <f t="shared" ca="1" si="1"/>
        <v>1</v>
      </c>
      <c r="M16" s="38">
        <f t="shared" ca="1" si="1"/>
        <v>0</v>
      </c>
      <c r="N16" s="38">
        <f t="shared" ca="1" si="1"/>
        <v>1</v>
      </c>
      <c r="O16" s="38">
        <f t="shared" ca="1" si="1"/>
        <v>1</v>
      </c>
      <c r="P16" s="38">
        <f t="shared" ca="1" si="1"/>
        <v>1</v>
      </c>
      <c r="Q16" s="38">
        <f t="shared" ca="1" si="1"/>
        <v>1</v>
      </c>
      <c r="R16" s="38">
        <f t="shared" ca="1" si="2"/>
        <v>1</v>
      </c>
      <c r="S16" s="38">
        <f t="shared" ca="1" si="2"/>
        <v>1</v>
      </c>
      <c r="T16" s="38">
        <f t="shared" ca="1" si="2"/>
        <v>0</v>
      </c>
      <c r="U16" s="38">
        <f t="shared" ca="1" si="2"/>
        <v>0</v>
      </c>
      <c r="V16" s="38">
        <f t="shared" ca="1" si="2"/>
        <v>0</v>
      </c>
    </row>
    <row r="17" spans="2:22" ht="12" customHeight="1" x14ac:dyDescent="0.15">
      <c r="B17" s="38">
        <f t="shared" ca="1" si="1"/>
        <v>1</v>
      </c>
      <c r="C17" s="38">
        <f t="shared" ca="1" si="1"/>
        <v>1</v>
      </c>
      <c r="D17" s="38">
        <f t="shared" ca="1" si="1"/>
        <v>1</v>
      </c>
      <c r="E17" s="38">
        <f t="shared" ca="1" si="1"/>
        <v>1</v>
      </c>
      <c r="F17" s="38">
        <f t="shared" ca="1" si="1"/>
        <v>0</v>
      </c>
      <c r="G17" s="38">
        <f t="shared" ca="1" si="1"/>
        <v>1</v>
      </c>
      <c r="H17" s="38">
        <f t="shared" ca="1" si="1"/>
        <v>1</v>
      </c>
      <c r="I17" s="38">
        <f t="shared" ca="1" si="1"/>
        <v>1</v>
      </c>
      <c r="J17" s="38">
        <f t="shared" ca="1" si="1"/>
        <v>1</v>
      </c>
      <c r="K17" s="38">
        <f t="shared" ca="1" si="1"/>
        <v>0</v>
      </c>
      <c r="L17" s="38">
        <f t="shared" ca="1" si="1"/>
        <v>1</v>
      </c>
      <c r="M17" s="38">
        <f t="shared" ca="1" si="1"/>
        <v>1</v>
      </c>
      <c r="N17" s="38">
        <f t="shared" ca="1" si="1"/>
        <v>1</v>
      </c>
      <c r="O17" s="38">
        <f t="shared" ca="1" si="1"/>
        <v>1</v>
      </c>
      <c r="P17" s="38">
        <f t="shared" ca="1" si="1"/>
        <v>1</v>
      </c>
      <c r="Q17" s="38">
        <f t="shared" ca="1" si="1"/>
        <v>1</v>
      </c>
      <c r="R17" s="38">
        <f t="shared" ca="1" si="2"/>
        <v>1</v>
      </c>
      <c r="S17" s="38">
        <f t="shared" ca="1" si="2"/>
        <v>1</v>
      </c>
      <c r="T17" s="38">
        <f t="shared" ca="1" si="2"/>
        <v>1</v>
      </c>
      <c r="U17" s="38">
        <f t="shared" ca="1" si="2"/>
        <v>1</v>
      </c>
      <c r="V17" s="38">
        <f t="shared" ca="1" si="2"/>
        <v>1</v>
      </c>
    </row>
    <row r="18" spans="2:22" ht="12" customHeight="1" x14ac:dyDescent="0.15">
      <c r="B18" s="38">
        <f t="shared" ca="1" si="1"/>
        <v>1</v>
      </c>
      <c r="C18" s="38">
        <f t="shared" ca="1" si="1"/>
        <v>1</v>
      </c>
      <c r="D18" s="38">
        <f t="shared" ca="1" si="1"/>
        <v>1</v>
      </c>
      <c r="E18" s="38">
        <f t="shared" ca="1" si="1"/>
        <v>1</v>
      </c>
      <c r="F18" s="38">
        <f t="shared" ca="1" si="1"/>
        <v>1</v>
      </c>
      <c r="G18" s="38">
        <f t="shared" ca="1" si="1"/>
        <v>1</v>
      </c>
      <c r="H18" s="38">
        <f t="shared" ca="1" si="1"/>
        <v>0</v>
      </c>
      <c r="I18" s="38">
        <f t="shared" ca="1" si="1"/>
        <v>1</v>
      </c>
      <c r="J18" s="38">
        <f t="shared" ca="1" si="1"/>
        <v>1</v>
      </c>
      <c r="K18" s="38">
        <f t="shared" ca="1" si="1"/>
        <v>1</v>
      </c>
      <c r="L18" s="38">
        <f t="shared" ca="1" si="1"/>
        <v>1</v>
      </c>
      <c r="M18" s="38">
        <f t="shared" ca="1" si="1"/>
        <v>1</v>
      </c>
      <c r="N18" s="38">
        <f t="shared" ca="1" si="1"/>
        <v>0</v>
      </c>
      <c r="O18" s="38">
        <f t="shared" ca="1" si="1"/>
        <v>1</v>
      </c>
      <c r="P18" s="38">
        <f t="shared" ca="1" si="1"/>
        <v>1</v>
      </c>
      <c r="Q18" s="38">
        <f t="shared" ca="1" si="1"/>
        <v>1</v>
      </c>
      <c r="R18" s="38">
        <f t="shared" ca="1" si="2"/>
        <v>1</v>
      </c>
      <c r="S18" s="38">
        <f t="shared" ca="1" si="2"/>
        <v>1</v>
      </c>
      <c r="T18" s="38">
        <f t="shared" ca="1" si="2"/>
        <v>1</v>
      </c>
      <c r="U18" s="38">
        <f t="shared" ca="1" si="2"/>
        <v>0</v>
      </c>
      <c r="V18" s="38">
        <f t="shared" ca="1" si="2"/>
        <v>1</v>
      </c>
    </row>
    <row r="19" spans="2:22" ht="12" customHeight="1" x14ac:dyDescent="0.15">
      <c r="B19" s="38">
        <f t="shared" ca="1" si="1"/>
        <v>1</v>
      </c>
      <c r="C19" s="38">
        <f t="shared" ca="1" si="1"/>
        <v>1</v>
      </c>
      <c r="D19" s="38">
        <f t="shared" ca="1" si="1"/>
        <v>1</v>
      </c>
      <c r="E19" s="38">
        <f t="shared" ca="1" si="1"/>
        <v>1</v>
      </c>
      <c r="F19" s="38">
        <f t="shared" ca="1" si="1"/>
        <v>1</v>
      </c>
      <c r="G19" s="38">
        <f t="shared" ca="1" si="1"/>
        <v>1</v>
      </c>
      <c r="H19" s="38">
        <f t="shared" ca="1" si="1"/>
        <v>0</v>
      </c>
      <c r="I19" s="38">
        <f t="shared" ca="1" si="1"/>
        <v>1</v>
      </c>
      <c r="J19" s="38">
        <f t="shared" ca="1" si="1"/>
        <v>1</v>
      </c>
      <c r="K19" s="38">
        <f t="shared" ca="1" si="1"/>
        <v>1</v>
      </c>
      <c r="L19" s="38">
        <f t="shared" ca="1" si="1"/>
        <v>1</v>
      </c>
      <c r="M19" s="38">
        <f t="shared" ca="1" si="1"/>
        <v>1</v>
      </c>
      <c r="N19" s="38">
        <f t="shared" ca="1" si="1"/>
        <v>1</v>
      </c>
      <c r="O19" s="38">
        <f t="shared" ca="1" si="1"/>
        <v>1</v>
      </c>
      <c r="P19" s="38">
        <f t="shared" ca="1" si="1"/>
        <v>1</v>
      </c>
      <c r="Q19" s="38">
        <f t="shared" ca="1" si="1"/>
        <v>1</v>
      </c>
      <c r="R19" s="38">
        <f t="shared" ca="1" si="2"/>
        <v>1</v>
      </c>
      <c r="S19" s="38">
        <f t="shared" ca="1" si="2"/>
        <v>1</v>
      </c>
      <c r="T19" s="38">
        <f t="shared" ca="1" si="2"/>
        <v>1</v>
      </c>
      <c r="U19" s="38">
        <f t="shared" ca="1" si="2"/>
        <v>1</v>
      </c>
      <c r="V19" s="38">
        <f t="shared" ca="1" si="2"/>
        <v>1</v>
      </c>
    </row>
    <row r="20" spans="2:22" ht="12" customHeight="1" x14ac:dyDescent="0.15">
      <c r="B20" s="38">
        <f t="shared" ca="1" si="1"/>
        <v>1</v>
      </c>
      <c r="C20" s="38">
        <f t="shared" ca="1" si="1"/>
        <v>1</v>
      </c>
      <c r="D20" s="38">
        <f t="shared" ca="1" si="1"/>
        <v>1</v>
      </c>
      <c r="E20" s="38">
        <f t="shared" ca="1" si="1"/>
        <v>1</v>
      </c>
      <c r="F20" s="38">
        <f t="shared" ca="1" si="1"/>
        <v>1</v>
      </c>
      <c r="G20" s="38">
        <f t="shared" ca="1" si="1"/>
        <v>1</v>
      </c>
      <c r="H20" s="38">
        <f t="shared" ca="1" si="1"/>
        <v>1</v>
      </c>
      <c r="I20" s="38">
        <f t="shared" ca="1" si="1"/>
        <v>1</v>
      </c>
      <c r="J20" s="38">
        <f t="shared" ca="1" si="1"/>
        <v>1</v>
      </c>
      <c r="K20" s="38">
        <f t="shared" ca="1" si="1"/>
        <v>1</v>
      </c>
      <c r="L20" s="38">
        <f t="shared" ca="1" si="1"/>
        <v>1</v>
      </c>
      <c r="M20" s="38">
        <f t="shared" ca="1" si="1"/>
        <v>1</v>
      </c>
      <c r="N20" s="38">
        <f t="shared" ca="1" si="1"/>
        <v>1</v>
      </c>
      <c r="O20" s="38">
        <f t="shared" ca="1" si="1"/>
        <v>1</v>
      </c>
      <c r="P20" s="38">
        <f t="shared" ca="1" si="1"/>
        <v>1</v>
      </c>
      <c r="Q20" s="38">
        <f t="shared" ca="1" si="1"/>
        <v>1</v>
      </c>
      <c r="R20" s="38">
        <f t="shared" ca="1" si="2"/>
        <v>0</v>
      </c>
      <c r="S20" s="38">
        <f t="shared" ca="1" si="2"/>
        <v>1</v>
      </c>
      <c r="T20" s="38">
        <f t="shared" ca="1" si="2"/>
        <v>1</v>
      </c>
      <c r="U20" s="38">
        <f t="shared" ca="1" si="2"/>
        <v>1</v>
      </c>
      <c r="V20" s="38">
        <f t="shared" ca="1" si="2"/>
        <v>1</v>
      </c>
    </row>
    <row r="21" spans="2:22" ht="12" customHeight="1" x14ac:dyDescent="0.15">
      <c r="B21" s="38">
        <f t="shared" ca="1" si="1"/>
        <v>1</v>
      </c>
      <c r="C21" s="38">
        <f t="shared" ca="1" si="1"/>
        <v>1</v>
      </c>
      <c r="D21" s="38">
        <f t="shared" ca="1" si="1"/>
        <v>0</v>
      </c>
      <c r="E21" s="38">
        <f t="shared" ca="1" si="1"/>
        <v>1</v>
      </c>
      <c r="F21" s="38">
        <f t="shared" ca="1" si="1"/>
        <v>1</v>
      </c>
      <c r="G21" s="38">
        <f t="shared" ca="1" si="1"/>
        <v>1</v>
      </c>
      <c r="H21" s="38">
        <f t="shared" ca="1" si="1"/>
        <v>1</v>
      </c>
      <c r="I21" s="38">
        <f t="shared" ca="1" si="1"/>
        <v>1</v>
      </c>
      <c r="J21" s="38">
        <f t="shared" ca="1" si="1"/>
        <v>1</v>
      </c>
      <c r="K21" s="38">
        <f t="shared" ca="1" si="1"/>
        <v>1</v>
      </c>
      <c r="L21" s="38">
        <f t="shared" ca="1" si="1"/>
        <v>1</v>
      </c>
      <c r="M21" s="38">
        <f t="shared" ca="1" si="1"/>
        <v>0</v>
      </c>
      <c r="N21" s="38">
        <f t="shared" ca="1" si="1"/>
        <v>1</v>
      </c>
      <c r="O21" s="38">
        <f t="shared" ca="1" si="1"/>
        <v>1</v>
      </c>
      <c r="P21" s="38">
        <f t="shared" ca="1" si="1"/>
        <v>1</v>
      </c>
      <c r="Q21" s="38">
        <f t="shared" ca="1" si="1"/>
        <v>1</v>
      </c>
      <c r="R21" s="38">
        <f t="shared" ca="1" si="2"/>
        <v>1</v>
      </c>
      <c r="S21" s="38">
        <f t="shared" ca="1" si="2"/>
        <v>1</v>
      </c>
      <c r="T21" s="38">
        <f t="shared" ca="1" si="2"/>
        <v>1</v>
      </c>
      <c r="U21" s="38">
        <f t="shared" ca="1" si="2"/>
        <v>0</v>
      </c>
      <c r="V21" s="38">
        <f t="shared" ca="1" si="2"/>
        <v>1</v>
      </c>
    </row>
    <row r="22" spans="2:22" ht="12" customHeight="1" x14ac:dyDescent="0.15">
      <c r="B22" s="38">
        <f t="shared" ca="1" si="1"/>
        <v>1</v>
      </c>
      <c r="C22" s="38">
        <f t="shared" ca="1" si="1"/>
        <v>1</v>
      </c>
      <c r="D22" s="38">
        <f t="shared" ca="1" si="1"/>
        <v>1</v>
      </c>
      <c r="E22" s="38">
        <f t="shared" ca="1" si="1"/>
        <v>1</v>
      </c>
      <c r="F22" s="38">
        <f t="shared" ca="1" si="1"/>
        <v>1</v>
      </c>
      <c r="G22" s="38">
        <f t="shared" ca="1" si="1"/>
        <v>1</v>
      </c>
      <c r="H22" s="38">
        <f t="shared" ca="1" si="1"/>
        <v>1</v>
      </c>
      <c r="I22" s="38">
        <f t="shared" ca="1" si="1"/>
        <v>0</v>
      </c>
      <c r="J22" s="38">
        <f t="shared" ca="1" si="1"/>
        <v>1</v>
      </c>
      <c r="K22" s="38">
        <f t="shared" ca="1" si="1"/>
        <v>1</v>
      </c>
      <c r="L22" s="38">
        <f t="shared" ca="1" si="1"/>
        <v>1</v>
      </c>
      <c r="M22" s="38">
        <f t="shared" ca="1" si="1"/>
        <v>1</v>
      </c>
      <c r="N22" s="38">
        <f t="shared" ca="1" si="1"/>
        <v>1</v>
      </c>
      <c r="O22" s="38">
        <f t="shared" ca="1" si="1"/>
        <v>1</v>
      </c>
      <c r="P22" s="38">
        <f t="shared" ca="1" si="1"/>
        <v>1</v>
      </c>
      <c r="Q22" s="38">
        <f t="shared" ca="1" si="1"/>
        <v>1</v>
      </c>
      <c r="R22" s="38">
        <f t="shared" ca="1" si="2"/>
        <v>1</v>
      </c>
      <c r="S22" s="38">
        <f t="shared" ca="1" si="2"/>
        <v>1</v>
      </c>
      <c r="T22" s="38">
        <f t="shared" ca="1" si="2"/>
        <v>1</v>
      </c>
      <c r="U22" s="38">
        <f t="shared" ca="1" si="2"/>
        <v>1</v>
      </c>
      <c r="V22" s="38">
        <f t="shared" ca="1" si="2"/>
        <v>1</v>
      </c>
    </row>
  </sheetData>
  <phoneticPr fontId="1"/>
  <conditionalFormatting sqref="B2:V22">
    <cfRule type="cellIs" dxfId="22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再計算ボタン_Click">
                <anchor moveWithCells="1" sizeWithCells="1">
                  <from>
                    <xdr:col>23</xdr:col>
                    <xdr:colOff>47625</xdr:colOff>
                    <xdr:row>3</xdr:row>
                    <xdr:rowOff>66675</xdr:rowOff>
                  </from>
                  <to>
                    <xdr:col>24</xdr:col>
                    <xdr:colOff>600075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2:V22"/>
  <sheetViews>
    <sheetView workbookViewId="0"/>
  </sheetViews>
  <sheetFormatPr defaultRowHeight="12" customHeight="1" x14ac:dyDescent="0.15"/>
  <cols>
    <col min="1" max="23" width="2.125" customWidth="1"/>
  </cols>
  <sheetData>
    <row r="2" spans="2:22" ht="12" customHeight="1" x14ac:dyDescent="0.15">
      <c r="B2" s="38">
        <v>1</v>
      </c>
      <c r="C2" s="38">
        <v>1</v>
      </c>
      <c r="D2" s="38">
        <v>1</v>
      </c>
      <c r="E2" s="38">
        <v>1</v>
      </c>
      <c r="F2" s="38">
        <v>1</v>
      </c>
      <c r="G2" s="38">
        <v>1</v>
      </c>
      <c r="H2" s="38">
        <v>1</v>
      </c>
      <c r="I2" s="38">
        <v>1</v>
      </c>
      <c r="J2" s="38">
        <v>1</v>
      </c>
      <c r="K2" s="38">
        <v>1</v>
      </c>
      <c r="L2" s="38">
        <v>1</v>
      </c>
      <c r="M2" s="38">
        <v>1</v>
      </c>
      <c r="N2" s="38">
        <v>1</v>
      </c>
      <c r="O2" s="38">
        <v>1</v>
      </c>
      <c r="P2" s="38">
        <v>1</v>
      </c>
      <c r="Q2" s="38">
        <v>1</v>
      </c>
      <c r="R2" s="38">
        <v>1</v>
      </c>
      <c r="S2" s="38">
        <v>1</v>
      </c>
      <c r="T2" s="38">
        <v>1</v>
      </c>
      <c r="U2" s="38">
        <v>1</v>
      </c>
      <c r="V2" s="38">
        <v>1</v>
      </c>
    </row>
    <row r="3" spans="2:22" ht="12" customHeight="1" x14ac:dyDescent="0.15">
      <c r="B3" s="38">
        <v>1</v>
      </c>
      <c r="C3" s="38">
        <v>1</v>
      </c>
      <c r="D3" s="38">
        <v>1</v>
      </c>
      <c r="E3" s="38">
        <v>1</v>
      </c>
      <c r="F3" s="38">
        <v>1</v>
      </c>
      <c r="G3" s="38">
        <v>1</v>
      </c>
      <c r="H3" s="38">
        <v>1</v>
      </c>
      <c r="I3" s="38">
        <v>1</v>
      </c>
      <c r="J3" s="38">
        <v>1</v>
      </c>
      <c r="K3" s="38">
        <v>1</v>
      </c>
      <c r="L3" s="38">
        <v>1</v>
      </c>
      <c r="M3" s="38">
        <v>1</v>
      </c>
      <c r="N3" s="38">
        <v>1</v>
      </c>
      <c r="O3" s="38">
        <v>1</v>
      </c>
      <c r="P3" s="38">
        <v>0</v>
      </c>
      <c r="Q3" s="38">
        <v>1</v>
      </c>
      <c r="R3" s="38">
        <v>1</v>
      </c>
      <c r="S3" s="38">
        <v>1</v>
      </c>
      <c r="T3" s="38">
        <v>1</v>
      </c>
      <c r="U3" s="38">
        <v>1</v>
      </c>
      <c r="V3" s="38">
        <v>1</v>
      </c>
    </row>
    <row r="4" spans="2:22" ht="12" customHeight="1" x14ac:dyDescent="0.15">
      <c r="B4" s="38">
        <v>1</v>
      </c>
      <c r="C4" s="38">
        <v>1</v>
      </c>
      <c r="D4" s="38">
        <v>0</v>
      </c>
      <c r="E4" s="38">
        <v>0</v>
      </c>
      <c r="F4" s="38">
        <v>1</v>
      </c>
      <c r="G4" s="38">
        <v>1</v>
      </c>
      <c r="H4" s="38">
        <v>1</v>
      </c>
      <c r="I4" s="38">
        <v>1</v>
      </c>
      <c r="J4" s="38">
        <v>1</v>
      </c>
      <c r="K4" s="38">
        <v>1</v>
      </c>
      <c r="L4" s="38">
        <v>1</v>
      </c>
      <c r="M4" s="38">
        <v>1</v>
      </c>
      <c r="N4" s="38">
        <v>1</v>
      </c>
      <c r="O4" s="38">
        <v>1</v>
      </c>
      <c r="P4" s="38">
        <v>1</v>
      </c>
      <c r="Q4" s="38">
        <v>1</v>
      </c>
      <c r="R4" s="38">
        <v>1</v>
      </c>
      <c r="S4" s="38">
        <v>0</v>
      </c>
      <c r="T4" s="38">
        <v>1</v>
      </c>
      <c r="U4" s="38">
        <v>1</v>
      </c>
      <c r="V4" s="38">
        <v>1</v>
      </c>
    </row>
    <row r="5" spans="2:22" ht="12" customHeight="1" x14ac:dyDescent="0.15">
      <c r="B5" s="38">
        <v>1</v>
      </c>
      <c r="C5" s="38">
        <v>1</v>
      </c>
      <c r="D5" s="38">
        <v>1</v>
      </c>
      <c r="E5" s="38">
        <v>1</v>
      </c>
      <c r="F5" s="38">
        <v>1</v>
      </c>
      <c r="G5" s="38">
        <v>1</v>
      </c>
      <c r="H5" s="38">
        <v>1</v>
      </c>
      <c r="I5" s="38">
        <v>1</v>
      </c>
      <c r="J5" s="38">
        <v>1</v>
      </c>
      <c r="K5" s="38">
        <v>1</v>
      </c>
      <c r="L5" s="38">
        <v>1</v>
      </c>
      <c r="M5" s="38">
        <v>1</v>
      </c>
      <c r="N5" s="38">
        <v>1</v>
      </c>
      <c r="O5" s="38">
        <v>1</v>
      </c>
      <c r="P5" s="38">
        <v>1</v>
      </c>
      <c r="Q5" s="38">
        <v>1</v>
      </c>
      <c r="R5" s="38">
        <v>1</v>
      </c>
      <c r="S5" s="38">
        <v>1</v>
      </c>
      <c r="T5" s="38">
        <v>1</v>
      </c>
      <c r="U5" s="38">
        <v>1</v>
      </c>
      <c r="V5" s="38">
        <v>0</v>
      </c>
    </row>
    <row r="6" spans="2:22" ht="12" customHeight="1" x14ac:dyDescent="0.15">
      <c r="B6" s="38">
        <v>0</v>
      </c>
      <c r="C6" s="38">
        <v>0</v>
      </c>
      <c r="D6" s="38">
        <v>1</v>
      </c>
      <c r="E6" s="38">
        <v>1</v>
      </c>
      <c r="F6" s="38">
        <v>1</v>
      </c>
      <c r="G6" s="38">
        <v>1</v>
      </c>
      <c r="H6" s="38">
        <v>1</v>
      </c>
      <c r="I6" s="38">
        <v>1</v>
      </c>
      <c r="J6" s="38">
        <v>1</v>
      </c>
      <c r="K6" s="38">
        <v>1</v>
      </c>
      <c r="L6" s="38">
        <v>1</v>
      </c>
      <c r="M6" s="38">
        <v>0</v>
      </c>
      <c r="N6" s="38">
        <v>0</v>
      </c>
      <c r="O6" s="38">
        <v>0</v>
      </c>
      <c r="P6" s="38">
        <v>1</v>
      </c>
      <c r="Q6" s="38">
        <v>1</v>
      </c>
      <c r="R6" s="38">
        <v>1</v>
      </c>
      <c r="S6" s="38">
        <v>1</v>
      </c>
      <c r="T6" s="38">
        <v>1</v>
      </c>
      <c r="U6" s="38">
        <v>1</v>
      </c>
      <c r="V6" s="38">
        <v>1</v>
      </c>
    </row>
    <row r="7" spans="2:22" ht="12" customHeight="1" x14ac:dyDescent="0.15">
      <c r="B7" s="38">
        <v>1</v>
      </c>
      <c r="C7" s="38">
        <v>1</v>
      </c>
      <c r="D7" s="38">
        <v>1</v>
      </c>
      <c r="E7" s="38">
        <v>1</v>
      </c>
      <c r="F7" s="38">
        <v>1</v>
      </c>
      <c r="G7" s="38">
        <v>1</v>
      </c>
      <c r="H7" s="38">
        <v>1</v>
      </c>
      <c r="I7" s="38">
        <v>1</v>
      </c>
      <c r="J7" s="38">
        <v>1</v>
      </c>
      <c r="K7" s="38">
        <v>1</v>
      </c>
      <c r="L7" s="38">
        <v>1</v>
      </c>
      <c r="M7" s="38">
        <v>1</v>
      </c>
      <c r="N7" s="38">
        <v>1</v>
      </c>
      <c r="O7" s="38">
        <v>0</v>
      </c>
      <c r="P7" s="38">
        <v>1</v>
      </c>
      <c r="Q7" s="38">
        <v>1</v>
      </c>
      <c r="R7" s="38">
        <v>1</v>
      </c>
      <c r="S7" s="38">
        <v>1</v>
      </c>
      <c r="T7" s="38">
        <v>1</v>
      </c>
      <c r="U7" s="38">
        <v>1</v>
      </c>
      <c r="V7" s="38">
        <v>1</v>
      </c>
    </row>
    <row r="8" spans="2:22" ht="12" customHeight="1" x14ac:dyDescent="0.15">
      <c r="B8" s="38">
        <v>1</v>
      </c>
      <c r="C8" s="38">
        <v>1</v>
      </c>
      <c r="D8" s="38">
        <v>1</v>
      </c>
      <c r="E8" s="38">
        <v>1</v>
      </c>
      <c r="F8" s="38">
        <v>1</v>
      </c>
      <c r="G8" s="38">
        <v>1</v>
      </c>
      <c r="H8" s="38">
        <v>1</v>
      </c>
      <c r="I8" s="38">
        <v>1</v>
      </c>
      <c r="J8" s="38">
        <v>1</v>
      </c>
      <c r="K8" s="38">
        <v>1</v>
      </c>
      <c r="L8" s="38">
        <v>1</v>
      </c>
      <c r="M8" s="38">
        <v>0</v>
      </c>
      <c r="N8" s="38">
        <v>1</v>
      </c>
      <c r="O8" s="38">
        <v>1</v>
      </c>
      <c r="P8" s="38">
        <v>1</v>
      </c>
      <c r="Q8" s="38">
        <v>1</v>
      </c>
      <c r="R8" s="38">
        <v>1</v>
      </c>
      <c r="S8" s="38">
        <v>1</v>
      </c>
      <c r="T8" s="38">
        <v>1</v>
      </c>
      <c r="U8" s="38">
        <v>1</v>
      </c>
      <c r="V8" s="38">
        <v>1</v>
      </c>
    </row>
    <row r="9" spans="2:22" ht="12" customHeight="1" x14ac:dyDescent="0.15">
      <c r="B9" s="38">
        <v>1</v>
      </c>
      <c r="C9" s="38">
        <v>1</v>
      </c>
      <c r="D9" s="38">
        <v>0</v>
      </c>
      <c r="E9" s="38">
        <v>1</v>
      </c>
      <c r="F9" s="38">
        <v>1</v>
      </c>
      <c r="G9" s="38">
        <v>1</v>
      </c>
      <c r="H9" s="38">
        <v>1</v>
      </c>
      <c r="I9" s="38">
        <v>1</v>
      </c>
      <c r="J9" s="38">
        <v>1</v>
      </c>
      <c r="K9" s="38">
        <v>0</v>
      </c>
      <c r="L9" s="38">
        <v>1</v>
      </c>
      <c r="M9" s="38">
        <v>1</v>
      </c>
      <c r="N9" s="38">
        <v>1</v>
      </c>
      <c r="O9" s="38">
        <v>1</v>
      </c>
      <c r="P9" s="38">
        <v>1</v>
      </c>
      <c r="Q9" s="38">
        <v>1</v>
      </c>
      <c r="R9" s="38">
        <v>0</v>
      </c>
      <c r="S9" s="38">
        <v>1</v>
      </c>
      <c r="T9" s="38">
        <v>1</v>
      </c>
      <c r="U9" s="38">
        <v>1</v>
      </c>
      <c r="V9" s="38">
        <v>1</v>
      </c>
    </row>
    <row r="10" spans="2:22" ht="12" customHeight="1" x14ac:dyDescent="0.15">
      <c r="B10" s="38">
        <v>1</v>
      </c>
      <c r="C10" s="38">
        <v>1</v>
      </c>
      <c r="D10" s="38">
        <v>1</v>
      </c>
      <c r="E10" s="38">
        <v>1</v>
      </c>
      <c r="F10" s="38">
        <v>1</v>
      </c>
      <c r="G10" s="38">
        <v>1</v>
      </c>
      <c r="H10" s="38">
        <v>1</v>
      </c>
      <c r="I10" s="38">
        <v>1</v>
      </c>
      <c r="J10" s="38">
        <v>1</v>
      </c>
      <c r="K10" s="38">
        <v>1</v>
      </c>
      <c r="L10" s="38">
        <v>1</v>
      </c>
      <c r="M10" s="38">
        <v>1</v>
      </c>
      <c r="N10" s="38">
        <v>1</v>
      </c>
      <c r="O10" s="38">
        <v>1</v>
      </c>
      <c r="P10" s="38">
        <v>1</v>
      </c>
      <c r="Q10" s="38">
        <v>1</v>
      </c>
      <c r="R10" s="38">
        <v>1</v>
      </c>
      <c r="S10" s="38">
        <v>1</v>
      </c>
      <c r="T10" s="38">
        <v>1</v>
      </c>
      <c r="U10" s="38">
        <v>1</v>
      </c>
      <c r="V10" s="38">
        <v>1</v>
      </c>
    </row>
    <row r="11" spans="2:22" ht="12" customHeight="1" x14ac:dyDescent="0.15">
      <c r="B11" s="38">
        <v>1</v>
      </c>
      <c r="C11" s="38">
        <v>1</v>
      </c>
      <c r="D11" s="38">
        <v>1</v>
      </c>
      <c r="E11" s="38">
        <v>1</v>
      </c>
      <c r="F11" s="38">
        <v>0</v>
      </c>
      <c r="G11" s="38">
        <v>1</v>
      </c>
      <c r="H11" s="38">
        <v>1</v>
      </c>
      <c r="I11" s="38">
        <v>1</v>
      </c>
      <c r="J11" s="38">
        <v>1</v>
      </c>
      <c r="K11" s="38">
        <v>1</v>
      </c>
      <c r="L11" s="38">
        <v>1</v>
      </c>
      <c r="M11" s="38">
        <v>1</v>
      </c>
      <c r="N11" s="38">
        <v>1</v>
      </c>
      <c r="O11" s="38">
        <v>1</v>
      </c>
      <c r="P11" s="38">
        <v>1</v>
      </c>
      <c r="Q11" s="38">
        <v>0</v>
      </c>
      <c r="R11" s="38">
        <v>1</v>
      </c>
      <c r="S11" s="38">
        <v>0</v>
      </c>
      <c r="T11" s="38">
        <v>1</v>
      </c>
      <c r="U11" s="38">
        <v>0</v>
      </c>
      <c r="V11" s="38">
        <v>1</v>
      </c>
    </row>
    <row r="12" spans="2:22" ht="12" customHeight="1" x14ac:dyDescent="0.15">
      <c r="B12" s="38">
        <v>1</v>
      </c>
      <c r="C12" s="38">
        <v>1</v>
      </c>
      <c r="D12" s="38">
        <v>0</v>
      </c>
      <c r="E12" s="38">
        <v>1</v>
      </c>
      <c r="F12" s="38">
        <v>1</v>
      </c>
      <c r="G12" s="38">
        <v>0</v>
      </c>
      <c r="H12" s="38">
        <v>1</v>
      </c>
      <c r="I12" s="38">
        <v>1</v>
      </c>
      <c r="J12" s="38">
        <v>1</v>
      </c>
      <c r="K12" s="38">
        <v>1</v>
      </c>
      <c r="L12" s="38">
        <v>1</v>
      </c>
      <c r="M12" s="38">
        <v>1</v>
      </c>
      <c r="N12" s="38">
        <v>0</v>
      </c>
      <c r="O12" s="38">
        <v>1</v>
      </c>
      <c r="P12" s="38">
        <v>1</v>
      </c>
      <c r="Q12" s="38">
        <v>1</v>
      </c>
      <c r="R12" s="38">
        <v>1</v>
      </c>
      <c r="S12" s="38">
        <v>1</v>
      </c>
      <c r="T12" s="38">
        <v>1</v>
      </c>
      <c r="U12" s="38">
        <v>1</v>
      </c>
      <c r="V12" s="38">
        <v>1</v>
      </c>
    </row>
    <row r="13" spans="2:22" ht="12" customHeight="1" x14ac:dyDescent="0.15">
      <c r="B13" s="38">
        <v>1</v>
      </c>
      <c r="C13" s="38">
        <v>1</v>
      </c>
      <c r="D13" s="38">
        <v>1</v>
      </c>
      <c r="E13" s="38">
        <v>1</v>
      </c>
      <c r="F13" s="38">
        <v>0</v>
      </c>
      <c r="G13" s="38">
        <v>1</v>
      </c>
      <c r="H13" s="38">
        <v>1</v>
      </c>
      <c r="I13" s="38">
        <v>1</v>
      </c>
      <c r="J13" s="38">
        <v>1</v>
      </c>
      <c r="K13" s="38">
        <v>1</v>
      </c>
      <c r="L13" s="38">
        <v>1</v>
      </c>
      <c r="M13" s="38">
        <v>1</v>
      </c>
      <c r="N13" s="38">
        <v>1</v>
      </c>
      <c r="O13" s="38">
        <v>1</v>
      </c>
      <c r="P13" s="38">
        <v>0</v>
      </c>
      <c r="Q13" s="38">
        <v>1</v>
      </c>
      <c r="R13" s="38">
        <v>1</v>
      </c>
      <c r="S13" s="38">
        <v>1</v>
      </c>
      <c r="T13" s="38">
        <v>1</v>
      </c>
      <c r="U13" s="38">
        <v>1</v>
      </c>
      <c r="V13" s="38">
        <v>1</v>
      </c>
    </row>
    <row r="14" spans="2:22" ht="12" customHeight="1" x14ac:dyDescent="0.15">
      <c r="B14" s="38">
        <v>1</v>
      </c>
      <c r="C14" s="38">
        <v>0</v>
      </c>
      <c r="D14" s="38">
        <v>1</v>
      </c>
      <c r="E14" s="38">
        <v>1</v>
      </c>
      <c r="F14" s="38">
        <v>0</v>
      </c>
      <c r="G14" s="38">
        <v>1</v>
      </c>
      <c r="H14" s="38">
        <v>1</v>
      </c>
      <c r="I14" s="38">
        <v>1</v>
      </c>
      <c r="J14" s="38">
        <v>1</v>
      </c>
      <c r="K14" s="38">
        <v>0</v>
      </c>
      <c r="L14" s="38">
        <v>1</v>
      </c>
      <c r="M14" s="38">
        <v>0</v>
      </c>
      <c r="N14" s="38">
        <v>0</v>
      </c>
      <c r="O14" s="38">
        <v>1</v>
      </c>
      <c r="P14" s="38">
        <v>1</v>
      </c>
      <c r="Q14" s="38">
        <v>1</v>
      </c>
      <c r="R14" s="38">
        <v>1</v>
      </c>
      <c r="S14" s="38">
        <v>1</v>
      </c>
      <c r="T14" s="38">
        <v>1</v>
      </c>
      <c r="U14" s="38">
        <v>1</v>
      </c>
      <c r="V14" s="38">
        <v>1</v>
      </c>
    </row>
    <row r="15" spans="2:22" ht="12" customHeight="1" x14ac:dyDescent="0.15">
      <c r="B15" s="38">
        <v>1</v>
      </c>
      <c r="C15" s="38">
        <v>1</v>
      </c>
      <c r="D15" s="38">
        <v>1</v>
      </c>
      <c r="E15" s="38">
        <v>1</v>
      </c>
      <c r="F15" s="38">
        <v>1</v>
      </c>
      <c r="G15" s="38">
        <v>1</v>
      </c>
      <c r="H15" s="38">
        <v>1</v>
      </c>
      <c r="I15" s="38">
        <v>1</v>
      </c>
      <c r="J15" s="38">
        <v>1</v>
      </c>
      <c r="K15" s="38">
        <v>1</v>
      </c>
      <c r="L15" s="38">
        <v>1</v>
      </c>
      <c r="M15" s="38">
        <v>1</v>
      </c>
      <c r="N15" s="38">
        <v>1</v>
      </c>
      <c r="O15" s="38">
        <v>1</v>
      </c>
      <c r="P15" s="38">
        <v>1</v>
      </c>
      <c r="Q15" s="38">
        <v>0</v>
      </c>
      <c r="R15" s="38">
        <v>1</v>
      </c>
      <c r="S15" s="38">
        <v>1</v>
      </c>
      <c r="T15" s="38">
        <v>1</v>
      </c>
      <c r="U15" s="38">
        <v>1</v>
      </c>
      <c r="V15" s="38">
        <v>1</v>
      </c>
    </row>
    <row r="16" spans="2:22" ht="12" customHeight="1" x14ac:dyDescent="0.15">
      <c r="B16" s="38">
        <v>1</v>
      </c>
      <c r="C16" s="38">
        <v>1</v>
      </c>
      <c r="D16" s="38">
        <v>1</v>
      </c>
      <c r="E16" s="38">
        <v>1</v>
      </c>
      <c r="F16" s="38">
        <v>1</v>
      </c>
      <c r="G16" s="38">
        <v>1</v>
      </c>
      <c r="H16" s="38">
        <v>1</v>
      </c>
      <c r="I16" s="38">
        <v>0</v>
      </c>
      <c r="J16" s="38">
        <v>1</v>
      </c>
      <c r="K16" s="38">
        <v>1</v>
      </c>
      <c r="L16" s="38">
        <v>1</v>
      </c>
      <c r="M16" s="38">
        <v>1</v>
      </c>
      <c r="N16" s="38">
        <v>1</v>
      </c>
      <c r="O16" s="38">
        <v>1</v>
      </c>
      <c r="P16" s="38">
        <v>1</v>
      </c>
      <c r="Q16" s="38">
        <v>1</v>
      </c>
      <c r="R16" s="38">
        <v>1</v>
      </c>
      <c r="S16" s="38">
        <v>1</v>
      </c>
      <c r="T16" s="38">
        <v>1</v>
      </c>
      <c r="U16" s="38">
        <v>0</v>
      </c>
      <c r="V16" s="38">
        <v>1</v>
      </c>
    </row>
    <row r="17" spans="2:22" ht="12" customHeight="1" x14ac:dyDescent="0.15">
      <c r="B17" s="38">
        <v>0</v>
      </c>
      <c r="C17" s="38">
        <v>1</v>
      </c>
      <c r="D17" s="38">
        <v>1</v>
      </c>
      <c r="E17" s="38">
        <v>1</v>
      </c>
      <c r="F17" s="38">
        <v>1</v>
      </c>
      <c r="G17" s="38">
        <v>1</v>
      </c>
      <c r="H17" s="38">
        <v>1</v>
      </c>
      <c r="I17" s="38">
        <v>1</v>
      </c>
      <c r="J17" s="38">
        <v>1</v>
      </c>
      <c r="K17" s="38">
        <v>1</v>
      </c>
      <c r="L17" s="38">
        <v>1</v>
      </c>
      <c r="M17" s="38">
        <v>1</v>
      </c>
      <c r="N17" s="38">
        <v>1</v>
      </c>
      <c r="O17" s="38">
        <v>0</v>
      </c>
      <c r="P17" s="38">
        <v>0</v>
      </c>
      <c r="Q17" s="38">
        <v>1</v>
      </c>
      <c r="R17" s="38">
        <v>1</v>
      </c>
      <c r="S17" s="38">
        <v>1</v>
      </c>
      <c r="T17" s="38">
        <v>1</v>
      </c>
      <c r="U17" s="38">
        <v>1</v>
      </c>
      <c r="V17" s="38">
        <v>0</v>
      </c>
    </row>
    <row r="18" spans="2:22" ht="12" customHeight="1" x14ac:dyDescent="0.15">
      <c r="B18" s="38">
        <v>1</v>
      </c>
      <c r="C18" s="38">
        <v>1</v>
      </c>
      <c r="D18" s="38">
        <v>1</v>
      </c>
      <c r="E18" s="38">
        <v>1</v>
      </c>
      <c r="F18" s="38">
        <v>1</v>
      </c>
      <c r="G18" s="38">
        <v>1</v>
      </c>
      <c r="H18" s="38">
        <v>1</v>
      </c>
      <c r="I18" s="38">
        <v>1</v>
      </c>
      <c r="J18" s="38">
        <v>1</v>
      </c>
      <c r="K18" s="38">
        <v>1</v>
      </c>
      <c r="L18" s="38">
        <v>1</v>
      </c>
      <c r="M18" s="38">
        <v>1</v>
      </c>
      <c r="N18" s="38">
        <v>1</v>
      </c>
      <c r="O18" s="38">
        <v>1</v>
      </c>
      <c r="P18" s="38">
        <v>1</v>
      </c>
      <c r="Q18" s="38">
        <v>1</v>
      </c>
      <c r="R18" s="38">
        <v>1</v>
      </c>
      <c r="S18" s="38">
        <v>1</v>
      </c>
      <c r="T18" s="38">
        <v>1</v>
      </c>
      <c r="U18" s="38">
        <v>1</v>
      </c>
      <c r="V18" s="38">
        <v>1</v>
      </c>
    </row>
    <row r="19" spans="2:22" ht="12" customHeight="1" x14ac:dyDescent="0.15">
      <c r="B19" s="38">
        <v>1</v>
      </c>
      <c r="C19" s="38">
        <v>1</v>
      </c>
      <c r="D19" s="38">
        <v>1</v>
      </c>
      <c r="E19" s="38">
        <v>1</v>
      </c>
      <c r="F19" s="38">
        <v>1</v>
      </c>
      <c r="G19" s="38">
        <v>1</v>
      </c>
      <c r="H19" s="38">
        <v>1</v>
      </c>
      <c r="I19" s="38">
        <v>1</v>
      </c>
      <c r="J19" s="38">
        <v>1</v>
      </c>
      <c r="K19" s="38">
        <v>1</v>
      </c>
      <c r="L19" s="38">
        <v>1</v>
      </c>
      <c r="M19" s="38">
        <v>1</v>
      </c>
      <c r="N19" s="38">
        <v>1</v>
      </c>
      <c r="O19" s="38">
        <v>1</v>
      </c>
      <c r="P19" s="38">
        <v>1</v>
      </c>
      <c r="Q19" s="38">
        <v>1</v>
      </c>
      <c r="R19" s="38">
        <v>1</v>
      </c>
      <c r="S19" s="38">
        <v>1</v>
      </c>
      <c r="T19" s="38">
        <v>1</v>
      </c>
      <c r="U19" s="38">
        <v>1</v>
      </c>
      <c r="V19" s="38">
        <v>1</v>
      </c>
    </row>
    <row r="20" spans="2:22" ht="12" customHeight="1" x14ac:dyDescent="0.15">
      <c r="B20" s="38">
        <v>1</v>
      </c>
      <c r="C20" s="38">
        <v>0</v>
      </c>
      <c r="D20" s="38">
        <v>0</v>
      </c>
      <c r="E20" s="38">
        <v>1</v>
      </c>
      <c r="F20" s="38">
        <v>1</v>
      </c>
      <c r="G20" s="38">
        <v>1</v>
      </c>
      <c r="H20" s="38">
        <v>1</v>
      </c>
      <c r="I20" s="38">
        <v>0</v>
      </c>
      <c r="J20" s="38">
        <v>1</v>
      </c>
      <c r="K20" s="38">
        <v>1</v>
      </c>
      <c r="L20" s="38">
        <v>1</v>
      </c>
      <c r="M20" s="38">
        <v>1</v>
      </c>
      <c r="N20" s="38">
        <v>1</v>
      </c>
      <c r="O20" s="38">
        <v>1</v>
      </c>
      <c r="P20" s="38">
        <v>1</v>
      </c>
      <c r="Q20" s="38">
        <v>1</v>
      </c>
      <c r="R20" s="38">
        <v>1</v>
      </c>
      <c r="S20" s="38">
        <v>1</v>
      </c>
      <c r="T20" s="38">
        <v>1</v>
      </c>
      <c r="U20" s="38">
        <v>1</v>
      </c>
      <c r="V20" s="38">
        <v>1</v>
      </c>
    </row>
    <row r="21" spans="2:22" ht="12" customHeight="1" x14ac:dyDescent="0.15">
      <c r="B21" s="38">
        <v>1</v>
      </c>
      <c r="C21" s="38">
        <v>1</v>
      </c>
      <c r="D21" s="38">
        <v>1</v>
      </c>
      <c r="E21" s="38">
        <v>1</v>
      </c>
      <c r="F21" s="38">
        <v>1</v>
      </c>
      <c r="G21" s="38">
        <v>1</v>
      </c>
      <c r="H21" s="38">
        <v>1</v>
      </c>
      <c r="I21" s="38">
        <v>1</v>
      </c>
      <c r="J21" s="38">
        <v>1</v>
      </c>
      <c r="K21" s="38">
        <v>1</v>
      </c>
      <c r="L21" s="38">
        <v>1</v>
      </c>
      <c r="M21" s="38">
        <v>1</v>
      </c>
      <c r="N21" s="38">
        <v>1</v>
      </c>
      <c r="O21" s="38">
        <v>1</v>
      </c>
      <c r="P21" s="38">
        <v>1</v>
      </c>
      <c r="Q21" s="38">
        <v>1</v>
      </c>
      <c r="R21" s="38">
        <v>1</v>
      </c>
      <c r="S21" s="38">
        <v>1</v>
      </c>
      <c r="T21" s="38">
        <v>1</v>
      </c>
      <c r="U21" s="38">
        <v>1</v>
      </c>
      <c r="V21" s="38">
        <v>1</v>
      </c>
    </row>
    <row r="22" spans="2:22" ht="12" customHeight="1" x14ac:dyDescent="0.15">
      <c r="B22" s="38">
        <v>0</v>
      </c>
      <c r="C22" s="38">
        <v>1</v>
      </c>
      <c r="D22" s="38">
        <v>0</v>
      </c>
      <c r="E22" s="38">
        <v>1</v>
      </c>
      <c r="F22" s="38">
        <v>1</v>
      </c>
      <c r="G22" s="38">
        <v>1</v>
      </c>
      <c r="H22" s="38">
        <v>1</v>
      </c>
      <c r="I22" s="38">
        <v>0</v>
      </c>
      <c r="J22" s="38">
        <v>1</v>
      </c>
      <c r="K22" s="38">
        <v>0</v>
      </c>
      <c r="L22" s="38">
        <v>1</v>
      </c>
      <c r="M22" s="38">
        <v>1</v>
      </c>
      <c r="N22" s="38">
        <v>1</v>
      </c>
      <c r="O22" s="38">
        <v>1</v>
      </c>
      <c r="P22" s="38">
        <v>1</v>
      </c>
      <c r="Q22" s="38">
        <v>1</v>
      </c>
      <c r="R22" s="38">
        <v>1</v>
      </c>
      <c r="S22" s="38">
        <v>1</v>
      </c>
      <c r="T22" s="38">
        <v>0</v>
      </c>
      <c r="U22" s="38">
        <v>1</v>
      </c>
      <c r="V22" s="38">
        <v>0</v>
      </c>
    </row>
  </sheetData>
  <phoneticPr fontId="1"/>
  <conditionalFormatting sqref="B2:V22">
    <cfRule type="cellIs" dxfId="21" priority="1" operator="equal">
      <formula>1</formula>
    </cfRule>
    <cfRule type="cellIs" dxfId="2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初期化ボタン_Click">
                <anchor moveWithCells="1" sizeWithCells="1">
                  <from>
                    <xdr:col>23</xdr:col>
                    <xdr:colOff>114300</xdr:colOff>
                    <xdr:row>5</xdr:row>
                    <xdr:rowOff>85725</xdr:rowOff>
                  </from>
                  <to>
                    <xdr:col>24</xdr:col>
                    <xdr:colOff>619125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第12章更新">
                <anchor moveWithCells="1" sizeWithCells="1">
                  <from>
                    <xdr:col>23</xdr:col>
                    <xdr:colOff>114300</xdr:colOff>
                    <xdr:row>1</xdr:row>
                    <xdr:rowOff>85725</xdr:rowOff>
                  </from>
                  <to>
                    <xdr:col>24</xdr:col>
                    <xdr:colOff>619125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V22"/>
  <sheetViews>
    <sheetView workbookViewId="0">
      <selection activeCell="B2" sqref="B2:V22"/>
    </sheetView>
  </sheetViews>
  <sheetFormatPr defaultRowHeight="12" customHeight="1" x14ac:dyDescent="0.15"/>
  <cols>
    <col min="1" max="23" width="2.125" customWidth="1"/>
  </cols>
  <sheetData>
    <row r="2" spans="2:22" ht="12" customHeight="1" x14ac:dyDescent="0.15">
      <c r="B2" s="38">
        <f ca="1">INDEX('第12章(ルール)'!$C$3:$H$4,'第12章(媒質)'!B2+1,'第12章(クラスター)'!B2+'第12章(クラスター)'!B1+'第12章(クラスター)'!C2+'第12章(クラスター)'!B3+'第12章(クラスター)'!A2+1)</f>
        <v>1</v>
      </c>
      <c r="C2" s="38">
        <f ca="1">INDEX('第12章(ルール)'!$C$3:$H$4,'第12章(媒質)'!C2+1,'第12章(クラスター)'!C2+'第12章(クラスター)'!C1+'第12章(クラスター)'!D2+'第12章(クラスター)'!C3+'第12章(クラスター)'!B2+1)</f>
        <v>1</v>
      </c>
      <c r="D2" s="38">
        <f ca="1">INDEX('第12章(ルール)'!$C$3:$H$4,'第12章(媒質)'!D2+1,'第12章(クラスター)'!D2+'第12章(クラスター)'!D1+'第12章(クラスター)'!E2+'第12章(クラスター)'!D3+'第12章(クラスター)'!C2+1)</f>
        <v>1</v>
      </c>
      <c r="E2" s="38">
        <f ca="1">INDEX('第12章(ルール)'!$C$3:$H$4,'第12章(媒質)'!E2+1,'第12章(クラスター)'!E2+'第12章(クラスター)'!E1+'第12章(クラスター)'!F2+'第12章(クラスター)'!E3+'第12章(クラスター)'!D2+1)</f>
        <v>1</v>
      </c>
      <c r="F2" s="38">
        <f ca="1">INDEX('第12章(ルール)'!$C$3:$H$4,'第12章(媒質)'!F2+1,'第12章(クラスター)'!F2+'第12章(クラスター)'!F1+'第12章(クラスター)'!G2+'第12章(クラスター)'!F3+'第12章(クラスター)'!E2+1)</f>
        <v>0</v>
      </c>
      <c r="G2" s="38">
        <f ca="1">INDEX('第12章(ルール)'!$C$3:$H$4,'第12章(媒質)'!G2+1,'第12章(クラスター)'!G2+'第12章(クラスター)'!G1+'第12章(クラスター)'!H2+'第12章(クラスター)'!G3+'第12章(クラスター)'!F2+1)</f>
        <v>1</v>
      </c>
      <c r="H2" s="38">
        <f ca="1">INDEX('第12章(ルール)'!$C$3:$H$4,'第12章(媒質)'!H2+1,'第12章(クラスター)'!H2+'第12章(クラスター)'!H1+'第12章(クラスター)'!I2+'第12章(クラスター)'!H3+'第12章(クラスター)'!G2+1)</f>
        <v>1</v>
      </c>
      <c r="I2" s="38">
        <f ca="1">INDEX('第12章(ルール)'!$C$3:$H$4,'第12章(媒質)'!I2+1,'第12章(クラスター)'!I2+'第12章(クラスター)'!I1+'第12章(クラスター)'!J2+'第12章(クラスター)'!I3+'第12章(クラスター)'!H2+1)</f>
        <v>1</v>
      </c>
      <c r="J2" s="38">
        <f ca="1">INDEX('第12章(ルール)'!$C$3:$H$4,'第12章(媒質)'!J2+1,'第12章(クラスター)'!J2+'第12章(クラスター)'!J1+'第12章(クラスター)'!K2+'第12章(クラスター)'!J3+'第12章(クラスター)'!I2+1)</f>
        <v>1</v>
      </c>
      <c r="K2" s="38">
        <f ca="1">INDEX('第12章(ルール)'!$C$3:$H$4,'第12章(媒質)'!K2+1,'第12章(クラスター)'!K2+'第12章(クラスター)'!K1+'第12章(クラスター)'!L2+'第12章(クラスター)'!K3+'第12章(クラスター)'!J2+1)</f>
        <v>1</v>
      </c>
      <c r="L2" s="38">
        <f ca="1">INDEX('第12章(ルール)'!$C$3:$H$4,'第12章(媒質)'!L2+1,'第12章(クラスター)'!L2+'第12章(クラスター)'!L1+'第12章(クラスター)'!M2+'第12章(クラスター)'!L3+'第12章(クラスター)'!K2+1)</f>
        <v>1</v>
      </c>
      <c r="M2" s="38">
        <f ca="1">INDEX('第12章(ルール)'!$C$3:$H$4,'第12章(媒質)'!M2+1,'第12章(クラスター)'!M2+'第12章(クラスター)'!M1+'第12章(クラスター)'!N2+'第12章(クラスター)'!M3+'第12章(クラスター)'!L2+1)</f>
        <v>1</v>
      </c>
      <c r="N2" s="38">
        <f ca="1">INDEX('第12章(ルール)'!$C$3:$H$4,'第12章(媒質)'!N2+1,'第12章(クラスター)'!N2+'第12章(クラスター)'!N1+'第12章(クラスター)'!O2+'第12章(クラスター)'!N3+'第12章(クラスター)'!M2+1)</f>
        <v>1</v>
      </c>
      <c r="O2" s="38">
        <f ca="1">INDEX('第12章(ルール)'!$C$3:$H$4,'第12章(媒質)'!O2+1,'第12章(クラスター)'!O2+'第12章(クラスター)'!O1+'第12章(クラスター)'!P2+'第12章(クラスター)'!O3+'第12章(クラスター)'!N2+1)</f>
        <v>1</v>
      </c>
      <c r="P2" s="38">
        <f ca="1">INDEX('第12章(ルール)'!$C$3:$H$4,'第12章(媒質)'!P2+1,'第12章(クラスター)'!P2+'第12章(クラスター)'!P1+'第12章(クラスター)'!Q2+'第12章(クラスター)'!P3+'第12章(クラスター)'!O2+1)</f>
        <v>1</v>
      </c>
      <c r="Q2" s="38">
        <f ca="1">INDEX('第12章(ルール)'!$C$3:$H$4,'第12章(媒質)'!Q2+1,'第12章(クラスター)'!Q2+'第12章(クラスター)'!Q1+'第12章(クラスター)'!R2+'第12章(クラスター)'!Q3+'第12章(クラスター)'!P2+1)</f>
        <v>1</v>
      </c>
      <c r="R2" s="38">
        <f ca="1">INDEX('第12章(ルール)'!$C$3:$H$4,'第12章(媒質)'!R2+1,'第12章(クラスター)'!R2+'第12章(クラスター)'!R1+'第12章(クラスター)'!S2+'第12章(クラスター)'!R3+'第12章(クラスター)'!Q2+1)</f>
        <v>1</v>
      </c>
      <c r="S2" s="38">
        <f ca="1">INDEX('第12章(ルール)'!$C$3:$H$4,'第12章(媒質)'!S2+1,'第12章(クラスター)'!S2+'第12章(クラスター)'!S1+'第12章(クラスター)'!T2+'第12章(クラスター)'!S3+'第12章(クラスター)'!R2+1)</f>
        <v>1</v>
      </c>
      <c r="T2" s="38">
        <f ca="1">INDEX('第12章(ルール)'!$C$3:$H$4,'第12章(媒質)'!T2+1,'第12章(クラスター)'!T2+'第12章(クラスター)'!T1+'第12章(クラスター)'!U2+'第12章(クラスター)'!T3+'第12章(クラスター)'!S2+1)</f>
        <v>1</v>
      </c>
      <c r="U2" s="38">
        <f ca="1">INDEX('第12章(ルール)'!$C$3:$H$4,'第12章(媒質)'!U2+1,'第12章(クラスター)'!U2+'第12章(クラスター)'!U1+'第12章(クラスター)'!V2+'第12章(クラスター)'!U3+'第12章(クラスター)'!T2+1)</f>
        <v>1</v>
      </c>
      <c r="V2" s="38">
        <f ca="1">INDEX('第12章(ルール)'!$C$3:$H$4,'第12章(媒質)'!V2+1,'第12章(クラスター)'!V2+'第12章(クラスター)'!V1+'第12章(クラスター)'!W2+'第12章(クラスター)'!V3+'第12章(クラスター)'!U2+1)</f>
        <v>1</v>
      </c>
    </row>
    <row r="3" spans="2:22" ht="12" customHeight="1" x14ac:dyDescent="0.15">
      <c r="B3" s="38">
        <f ca="1">INDEX('第12章(ルール)'!$C$3:$H$4,'第12章(媒質)'!B3+1,'第12章(クラスター)'!B3+'第12章(クラスター)'!B2+'第12章(クラスター)'!C3+'第12章(クラスター)'!B4+'第12章(クラスター)'!A3+1)</f>
        <v>1</v>
      </c>
      <c r="C3" s="38">
        <f ca="1">INDEX('第12章(ルール)'!$C$3:$H$4,'第12章(媒質)'!C3+1,'第12章(クラスター)'!C3+'第12章(クラスター)'!C2+'第12章(クラスター)'!D3+'第12章(クラスター)'!C4+'第12章(クラスター)'!B3+1)</f>
        <v>1</v>
      </c>
      <c r="D3" s="38">
        <f ca="1">INDEX('第12章(ルール)'!$C$3:$H$4,'第12章(媒質)'!D3+1,'第12章(クラスター)'!D3+'第12章(クラスター)'!D2+'第12章(クラスター)'!E3+'第12章(クラスター)'!D4+'第12章(クラスター)'!C3+1)</f>
        <v>1</v>
      </c>
      <c r="E3" s="38">
        <f ca="1">INDEX('第12章(ルール)'!$C$3:$H$4,'第12章(媒質)'!E3+1,'第12章(クラスター)'!E3+'第12章(クラスター)'!E2+'第12章(クラスター)'!F3+'第12章(クラスター)'!E4+'第12章(クラスター)'!D3+1)</f>
        <v>1</v>
      </c>
      <c r="F3" s="38">
        <f ca="1">INDEX('第12章(ルール)'!$C$3:$H$4,'第12章(媒質)'!F3+1,'第12章(クラスター)'!F3+'第12章(クラスター)'!F2+'第12章(クラスター)'!G3+'第12章(クラスター)'!F4+'第12章(クラスター)'!E3+1)</f>
        <v>1</v>
      </c>
      <c r="G3" s="38">
        <f ca="1">INDEX('第12章(ルール)'!$C$3:$H$4,'第12章(媒質)'!G3+1,'第12章(クラスター)'!G3+'第12章(クラスター)'!G2+'第12章(クラスター)'!H3+'第12章(クラスター)'!G4+'第12章(クラスター)'!F3+1)</f>
        <v>1</v>
      </c>
      <c r="H3" s="38">
        <f ca="1">INDEX('第12章(ルール)'!$C$3:$H$4,'第12章(媒質)'!H3+1,'第12章(クラスター)'!H3+'第12章(クラスター)'!H2+'第12章(クラスター)'!I3+'第12章(クラスター)'!H4+'第12章(クラスター)'!G3+1)</f>
        <v>1</v>
      </c>
      <c r="I3" s="38">
        <f ca="1">INDEX('第12章(ルール)'!$C$3:$H$4,'第12章(媒質)'!I3+1,'第12章(クラスター)'!I3+'第12章(クラスター)'!I2+'第12章(クラスター)'!J3+'第12章(クラスター)'!I4+'第12章(クラスター)'!H3+1)</f>
        <v>1</v>
      </c>
      <c r="J3" s="38">
        <f ca="1">INDEX('第12章(ルール)'!$C$3:$H$4,'第12章(媒質)'!J3+1,'第12章(クラスター)'!J3+'第12章(クラスター)'!J2+'第12章(クラスター)'!K3+'第12章(クラスター)'!J4+'第12章(クラスター)'!I3+1)</f>
        <v>1</v>
      </c>
      <c r="K3" s="38">
        <f ca="1">INDEX('第12章(ルール)'!$C$3:$H$4,'第12章(媒質)'!K3+1,'第12章(クラスター)'!K3+'第12章(クラスター)'!K2+'第12章(クラスター)'!L3+'第12章(クラスター)'!K4+'第12章(クラスター)'!J3+1)</f>
        <v>1</v>
      </c>
      <c r="L3" s="38">
        <f ca="1">INDEX('第12章(ルール)'!$C$3:$H$4,'第12章(媒質)'!L3+1,'第12章(クラスター)'!L3+'第12章(クラスター)'!L2+'第12章(クラスター)'!M3+'第12章(クラスター)'!L4+'第12章(クラスター)'!K3+1)</f>
        <v>1</v>
      </c>
      <c r="M3" s="38">
        <f ca="1">INDEX('第12章(ルール)'!$C$3:$H$4,'第12章(媒質)'!M3+1,'第12章(クラスター)'!M3+'第12章(クラスター)'!M2+'第12章(クラスター)'!N3+'第12章(クラスター)'!M4+'第12章(クラスター)'!L3+1)</f>
        <v>1</v>
      </c>
      <c r="N3" s="38">
        <f ca="1">INDEX('第12章(ルール)'!$C$3:$H$4,'第12章(媒質)'!N3+1,'第12章(クラスター)'!N3+'第12章(クラスター)'!N2+'第12章(クラスター)'!O3+'第12章(クラスター)'!N4+'第12章(クラスター)'!M3+1)</f>
        <v>1</v>
      </c>
      <c r="O3" s="38">
        <f ca="1">INDEX('第12章(ルール)'!$C$3:$H$4,'第12章(媒質)'!O3+1,'第12章(クラスター)'!O3+'第12章(クラスター)'!O2+'第12章(クラスター)'!P3+'第12章(クラスター)'!O4+'第12章(クラスター)'!N3+1)</f>
        <v>1</v>
      </c>
      <c r="P3" s="38">
        <f ca="1">INDEX('第12章(ルール)'!$C$3:$H$4,'第12章(媒質)'!P3+1,'第12章(クラスター)'!P3+'第12章(クラスター)'!P2+'第12章(クラスター)'!Q3+'第12章(クラスター)'!P4+'第12章(クラスター)'!O3+1)</f>
        <v>1</v>
      </c>
      <c r="Q3" s="38">
        <f ca="1">INDEX('第12章(ルール)'!$C$3:$H$4,'第12章(媒質)'!Q3+1,'第12章(クラスター)'!Q3+'第12章(クラスター)'!Q2+'第12章(クラスター)'!R3+'第12章(クラスター)'!Q4+'第12章(クラスター)'!P3+1)</f>
        <v>0</v>
      </c>
      <c r="R3" s="38">
        <f ca="1">INDEX('第12章(ルール)'!$C$3:$H$4,'第12章(媒質)'!R3+1,'第12章(クラスター)'!R3+'第12章(クラスター)'!R2+'第12章(クラスター)'!S3+'第12章(クラスター)'!R4+'第12章(クラスター)'!Q3+1)</f>
        <v>1</v>
      </c>
      <c r="S3" s="38">
        <f ca="1">INDEX('第12章(ルール)'!$C$3:$H$4,'第12章(媒質)'!S3+1,'第12章(クラスター)'!S3+'第12章(クラスター)'!S2+'第12章(クラスター)'!T3+'第12章(クラスター)'!S4+'第12章(クラスター)'!R3+1)</f>
        <v>1</v>
      </c>
      <c r="T3" s="38">
        <f ca="1">INDEX('第12章(ルール)'!$C$3:$H$4,'第12章(媒質)'!T3+1,'第12章(クラスター)'!T3+'第12章(クラスター)'!T2+'第12章(クラスター)'!U3+'第12章(クラスター)'!T4+'第12章(クラスター)'!S3+1)</f>
        <v>1</v>
      </c>
      <c r="U3" s="38">
        <f ca="1">INDEX('第12章(ルール)'!$C$3:$H$4,'第12章(媒質)'!U3+1,'第12章(クラスター)'!U3+'第12章(クラスター)'!U2+'第12章(クラスター)'!V3+'第12章(クラスター)'!U4+'第12章(クラスター)'!T3+1)</f>
        <v>1</v>
      </c>
      <c r="V3" s="38">
        <f ca="1">INDEX('第12章(ルール)'!$C$3:$H$4,'第12章(媒質)'!V3+1,'第12章(クラスター)'!V3+'第12章(クラスター)'!V2+'第12章(クラスター)'!W3+'第12章(クラスター)'!V4+'第12章(クラスター)'!U3+1)</f>
        <v>1</v>
      </c>
    </row>
    <row r="4" spans="2:22" ht="12" customHeight="1" x14ac:dyDescent="0.15">
      <c r="B4" s="38">
        <f ca="1">INDEX('第12章(ルール)'!$C$3:$H$4,'第12章(媒質)'!B4+1,'第12章(クラスター)'!B4+'第12章(クラスター)'!B3+'第12章(クラスター)'!C4+'第12章(クラスター)'!B5+'第12章(クラスター)'!A4+1)</f>
        <v>1</v>
      </c>
      <c r="C4" s="38">
        <f ca="1">INDEX('第12章(ルール)'!$C$3:$H$4,'第12章(媒質)'!C4+1,'第12章(クラスター)'!C4+'第12章(クラスター)'!C3+'第12章(クラスター)'!D4+'第12章(クラスター)'!C5+'第12章(クラスター)'!B4+1)</f>
        <v>1</v>
      </c>
      <c r="D4" s="38">
        <f ca="1">INDEX('第12章(ルール)'!$C$3:$H$4,'第12章(媒質)'!D4+1,'第12章(クラスター)'!D4+'第12章(クラスター)'!D3+'第12章(クラスター)'!E4+'第12章(クラスター)'!D5+'第12章(クラスター)'!C4+1)</f>
        <v>1</v>
      </c>
      <c r="E4" s="38">
        <f ca="1">INDEX('第12章(ルール)'!$C$3:$H$4,'第12章(媒質)'!E4+1,'第12章(クラスター)'!E4+'第12章(クラスター)'!E3+'第12章(クラスター)'!F4+'第12章(クラスター)'!E5+'第12章(クラスター)'!D4+1)</f>
        <v>1</v>
      </c>
      <c r="F4" s="38">
        <f ca="1">INDEX('第12章(ルール)'!$C$3:$H$4,'第12章(媒質)'!F4+1,'第12章(クラスター)'!F4+'第12章(クラスター)'!F3+'第12章(クラスター)'!G4+'第12章(クラスター)'!F5+'第12章(クラスター)'!E4+1)</f>
        <v>1</v>
      </c>
      <c r="G4" s="38">
        <f ca="1">INDEX('第12章(ルール)'!$C$3:$H$4,'第12章(媒質)'!G4+1,'第12章(クラスター)'!G4+'第12章(クラスター)'!G3+'第12章(クラスター)'!H4+'第12章(クラスター)'!G5+'第12章(クラスター)'!F4+1)</f>
        <v>1</v>
      </c>
      <c r="H4" s="38">
        <f ca="1">INDEX('第12章(ルール)'!$C$3:$H$4,'第12章(媒質)'!H4+1,'第12章(クラスター)'!H4+'第12章(クラスター)'!H3+'第12章(クラスター)'!I4+'第12章(クラスター)'!H5+'第12章(クラスター)'!G4+1)</f>
        <v>1</v>
      </c>
      <c r="I4" s="38">
        <f ca="1">INDEX('第12章(ルール)'!$C$3:$H$4,'第12章(媒質)'!I4+1,'第12章(クラスター)'!I4+'第12章(クラスター)'!I3+'第12章(クラスター)'!J4+'第12章(クラスター)'!I5+'第12章(クラスター)'!H4+1)</f>
        <v>1</v>
      </c>
      <c r="J4" s="38">
        <f ca="1">INDEX('第12章(ルール)'!$C$3:$H$4,'第12章(媒質)'!J4+1,'第12章(クラスター)'!J4+'第12章(クラスター)'!J3+'第12章(クラスター)'!K4+'第12章(クラスター)'!J5+'第12章(クラスター)'!I4+1)</f>
        <v>1</v>
      </c>
      <c r="K4" s="38">
        <f ca="1">INDEX('第12章(ルール)'!$C$3:$H$4,'第12章(媒質)'!K4+1,'第12章(クラスター)'!K4+'第12章(クラスター)'!K3+'第12章(クラスター)'!L4+'第12章(クラスター)'!K5+'第12章(クラスター)'!J4+1)</f>
        <v>1</v>
      </c>
      <c r="L4" s="38">
        <f ca="1">INDEX('第12章(ルール)'!$C$3:$H$4,'第12章(媒質)'!L4+1,'第12章(クラスター)'!L4+'第12章(クラスター)'!L3+'第12章(クラスター)'!M4+'第12章(クラスター)'!L5+'第12章(クラスター)'!K4+1)</f>
        <v>1</v>
      </c>
      <c r="M4" s="38">
        <f ca="1">INDEX('第12章(ルール)'!$C$3:$H$4,'第12章(媒質)'!M4+1,'第12章(クラスター)'!M4+'第12章(クラスター)'!M3+'第12章(クラスター)'!N4+'第12章(クラスター)'!M5+'第12章(クラスター)'!L4+1)</f>
        <v>1</v>
      </c>
      <c r="N4" s="38">
        <f ca="1">INDEX('第12章(ルール)'!$C$3:$H$4,'第12章(媒質)'!N4+1,'第12章(クラスター)'!N4+'第12章(クラスター)'!N3+'第12章(クラスター)'!O4+'第12章(クラスター)'!N5+'第12章(クラスター)'!M4+1)</f>
        <v>1</v>
      </c>
      <c r="O4" s="38">
        <f ca="1">INDEX('第12章(ルール)'!$C$3:$H$4,'第12章(媒質)'!O4+1,'第12章(クラスター)'!O4+'第12章(クラスター)'!O3+'第12章(クラスター)'!P4+'第12章(クラスター)'!O5+'第12章(クラスター)'!N4+1)</f>
        <v>1</v>
      </c>
      <c r="P4" s="38">
        <f ca="1">INDEX('第12章(ルール)'!$C$3:$H$4,'第12章(媒質)'!P4+1,'第12章(クラスター)'!P4+'第12章(クラスター)'!P3+'第12章(クラスター)'!Q4+'第12章(クラスター)'!P5+'第12章(クラスター)'!O4+1)</f>
        <v>1</v>
      </c>
      <c r="Q4" s="38">
        <f ca="1">INDEX('第12章(ルール)'!$C$3:$H$4,'第12章(媒質)'!Q4+1,'第12章(クラスター)'!Q4+'第12章(クラスター)'!Q3+'第12章(クラスター)'!R4+'第12章(クラスター)'!Q5+'第12章(クラスター)'!P4+1)</f>
        <v>1</v>
      </c>
      <c r="R4" s="38">
        <f ca="1">INDEX('第12章(ルール)'!$C$3:$H$4,'第12章(媒質)'!R4+1,'第12章(クラスター)'!R4+'第12章(クラスター)'!R3+'第12章(クラスター)'!S4+'第12章(クラスター)'!R5+'第12章(クラスター)'!Q4+1)</f>
        <v>1</v>
      </c>
      <c r="S4" s="38">
        <f ca="1">INDEX('第12章(ルール)'!$C$3:$H$4,'第12章(媒質)'!S4+1,'第12章(クラスター)'!S4+'第12章(クラスター)'!S3+'第12章(クラスター)'!T4+'第12章(クラスター)'!S5+'第12章(クラスター)'!R4+1)</f>
        <v>1</v>
      </c>
      <c r="T4" s="38">
        <f ca="1">INDEX('第12章(ルール)'!$C$3:$H$4,'第12章(媒質)'!T4+1,'第12章(クラスター)'!T4+'第12章(クラスター)'!T3+'第12章(クラスター)'!U4+'第12章(クラスター)'!T5+'第12章(クラスター)'!S4+1)</f>
        <v>1</v>
      </c>
      <c r="U4" s="38">
        <f ca="1">INDEX('第12章(ルール)'!$C$3:$H$4,'第12章(媒質)'!U4+1,'第12章(クラスター)'!U4+'第12章(クラスター)'!U3+'第12章(クラスター)'!V4+'第12章(クラスター)'!U5+'第12章(クラスター)'!T4+1)</f>
        <v>1</v>
      </c>
      <c r="V4" s="38">
        <f ca="1">INDEX('第12章(ルール)'!$C$3:$H$4,'第12章(媒質)'!V4+1,'第12章(クラスター)'!V4+'第12章(クラスター)'!V3+'第12章(クラスター)'!W4+'第12章(クラスター)'!V5+'第12章(クラスター)'!U4+1)</f>
        <v>1</v>
      </c>
    </row>
    <row r="5" spans="2:22" ht="12" customHeight="1" x14ac:dyDescent="0.15">
      <c r="B5" s="38">
        <f ca="1">INDEX('第12章(ルール)'!$C$3:$H$4,'第12章(媒質)'!B5+1,'第12章(クラスター)'!B5+'第12章(クラスター)'!B4+'第12章(クラスター)'!C5+'第12章(クラスター)'!B6+'第12章(クラスター)'!A5+1)</f>
        <v>1</v>
      </c>
      <c r="C5" s="38">
        <f ca="1">INDEX('第12章(ルール)'!$C$3:$H$4,'第12章(媒質)'!C5+1,'第12章(クラスター)'!C5+'第12章(クラスター)'!C4+'第12章(クラスター)'!D5+'第12章(クラスター)'!C6+'第12章(クラスター)'!B5+1)</f>
        <v>1</v>
      </c>
      <c r="D5" s="38">
        <f ca="1">INDEX('第12章(ルール)'!$C$3:$H$4,'第12章(媒質)'!D5+1,'第12章(クラスター)'!D5+'第12章(クラスター)'!D4+'第12章(クラスター)'!E5+'第12章(クラスター)'!D6+'第12章(クラスター)'!C5+1)</f>
        <v>1</v>
      </c>
      <c r="E5" s="38">
        <f ca="1">INDEX('第12章(ルール)'!$C$3:$H$4,'第12章(媒質)'!E5+1,'第12章(クラスター)'!E5+'第12章(クラスター)'!E4+'第12章(クラスター)'!F5+'第12章(クラスター)'!E6+'第12章(クラスター)'!D5+1)</f>
        <v>1</v>
      </c>
      <c r="F5" s="38">
        <f ca="1">INDEX('第12章(ルール)'!$C$3:$H$4,'第12章(媒質)'!F5+1,'第12章(クラスター)'!F5+'第12章(クラスター)'!F4+'第12章(クラスター)'!G5+'第12章(クラスター)'!F6+'第12章(クラスター)'!E5+1)</f>
        <v>1</v>
      </c>
      <c r="G5" s="38">
        <f ca="1">INDEX('第12章(ルール)'!$C$3:$H$4,'第12章(媒質)'!G5+1,'第12章(クラスター)'!G5+'第12章(クラスター)'!G4+'第12章(クラスター)'!H5+'第12章(クラスター)'!G6+'第12章(クラスター)'!F5+1)</f>
        <v>0</v>
      </c>
      <c r="H5" s="38">
        <f ca="1">INDEX('第12章(ルール)'!$C$3:$H$4,'第12章(媒質)'!H5+1,'第12章(クラスター)'!H5+'第12章(クラスター)'!H4+'第12章(クラスター)'!I5+'第12章(クラスター)'!H6+'第12章(クラスター)'!G5+1)</f>
        <v>1</v>
      </c>
      <c r="I5" s="38">
        <f ca="1">INDEX('第12章(ルール)'!$C$3:$H$4,'第12章(媒質)'!I5+1,'第12章(クラスター)'!I5+'第12章(クラスター)'!I4+'第12章(クラスター)'!J5+'第12章(クラスター)'!I6+'第12章(クラスター)'!H5+1)</f>
        <v>1</v>
      </c>
      <c r="J5" s="38">
        <f ca="1">INDEX('第12章(ルール)'!$C$3:$H$4,'第12章(媒質)'!J5+1,'第12章(クラスター)'!J5+'第12章(クラスター)'!J4+'第12章(クラスター)'!K5+'第12章(クラスター)'!J6+'第12章(クラスター)'!I5+1)</f>
        <v>1</v>
      </c>
      <c r="K5" s="38">
        <f ca="1">INDEX('第12章(ルール)'!$C$3:$H$4,'第12章(媒質)'!K5+1,'第12章(クラスター)'!K5+'第12章(クラスター)'!K4+'第12章(クラスター)'!L5+'第12章(クラスター)'!K6+'第12章(クラスター)'!J5+1)</f>
        <v>1</v>
      </c>
      <c r="L5" s="38">
        <f ca="1">INDEX('第12章(ルール)'!$C$3:$H$4,'第12章(媒質)'!L5+1,'第12章(クラスター)'!L5+'第12章(クラスター)'!L4+'第12章(クラスター)'!M5+'第12章(クラスター)'!L6+'第12章(クラスター)'!K5+1)</f>
        <v>1</v>
      </c>
      <c r="M5" s="38">
        <f ca="1">INDEX('第12章(ルール)'!$C$3:$H$4,'第12章(媒質)'!M5+1,'第12章(クラスター)'!M5+'第12章(クラスター)'!M4+'第12章(クラスター)'!N5+'第12章(クラスター)'!M6+'第12章(クラスター)'!L5+1)</f>
        <v>1</v>
      </c>
      <c r="N5" s="38">
        <f ca="1">INDEX('第12章(ルール)'!$C$3:$H$4,'第12章(媒質)'!N5+1,'第12章(クラスター)'!N5+'第12章(クラスター)'!N4+'第12章(クラスター)'!O5+'第12章(クラスター)'!N6+'第12章(クラスター)'!M5+1)</f>
        <v>0</v>
      </c>
      <c r="O5" s="38">
        <f ca="1">INDEX('第12章(ルール)'!$C$3:$H$4,'第12章(媒質)'!O5+1,'第12章(クラスター)'!O5+'第12章(クラスター)'!O4+'第12章(クラスター)'!P5+'第12章(クラスター)'!O6+'第12章(クラスター)'!N5+1)</f>
        <v>1</v>
      </c>
      <c r="P5" s="38">
        <f ca="1">INDEX('第12章(ルール)'!$C$3:$H$4,'第12章(媒質)'!P5+1,'第12章(クラスター)'!P5+'第12章(クラスター)'!P4+'第12章(クラスター)'!Q5+'第12章(クラスター)'!P6+'第12章(クラスター)'!O5+1)</f>
        <v>1</v>
      </c>
      <c r="Q5" s="38">
        <f ca="1">INDEX('第12章(ルール)'!$C$3:$H$4,'第12章(媒質)'!Q5+1,'第12章(クラスター)'!Q5+'第12章(クラスター)'!Q4+'第12章(クラスター)'!R5+'第12章(クラスター)'!Q6+'第12章(クラスター)'!P5+1)</f>
        <v>1</v>
      </c>
      <c r="R5" s="38">
        <f ca="1">INDEX('第12章(ルール)'!$C$3:$H$4,'第12章(媒質)'!R5+1,'第12章(クラスター)'!R5+'第12章(クラスター)'!R4+'第12章(クラスター)'!S5+'第12章(クラスター)'!R6+'第12章(クラスター)'!Q5+1)</f>
        <v>1</v>
      </c>
      <c r="S5" s="38">
        <f ca="1">INDEX('第12章(ルール)'!$C$3:$H$4,'第12章(媒質)'!S5+1,'第12章(クラスター)'!S5+'第12章(クラスター)'!S4+'第12章(クラスター)'!T5+'第12章(クラスター)'!S6+'第12章(クラスター)'!R5+1)</f>
        <v>1</v>
      </c>
      <c r="T5" s="38">
        <f ca="1">INDEX('第12章(ルール)'!$C$3:$H$4,'第12章(媒質)'!T5+1,'第12章(クラスター)'!T5+'第12章(クラスター)'!T4+'第12章(クラスター)'!U5+'第12章(クラスター)'!T6+'第12章(クラスター)'!S5+1)</f>
        <v>1</v>
      </c>
      <c r="U5" s="38">
        <f ca="1">INDEX('第12章(ルール)'!$C$3:$H$4,'第12章(媒質)'!U5+1,'第12章(クラスター)'!U5+'第12章(クラスター)'!U4+'第12章(クラスター)'!V5+'第12章(クラスター)'!U6+'第12章(クラスター)'!T5+1)</f>
        <v>1</v>
      </c>
      <c r="V5" s="38">
        <f ca="1">INDEX('第12章(ルール)'!$C$3:$H$4,'第12章(媒質)'!V5+1,'第12章(クラスター)'!V5+'第12章(クラスター)'!V4+'第12章(クラスター)'!W5+'第12章(クラスター)'!V6+'第12章(クラスター)'!U5+1)</f>
        <v>1</v>
      </c>
    </row>
    <row r="6" spans="2:22" ht="12" customHeight="1" x14ac:dyDescent="0.15">
      <c r="B6" s="38">
        <f ca="1">INDEX('第12章(ルール)'!$C$3:$H$4,'第12章(媒質)'!B6+1,'第12章(クラスター)'!B6+'第12章(クラスター)'!B5+'第12章(クラスター)'!C6+'第12章(クラスター)'!B7+'第12章(クラスター)'!A6+1)</f>
        <v>1</v>
      </c>
      <c r="C6" s="38">
        <f ca="1">INDEX('第12章(ルール)'!$C$3:$H$4,'第12章(媒質)'!C6+1,'第12章(クラスター)'!C6+'第12章(クラスター)'!C5+'第12章(クラスター)'!D6+'第12章(クラスター)'!C7+'第12章(クラスター)'!B6+1)</f>
        <v>1</v>
      </c>
      <c r="D6" s="38">
        <f ca="1">INDEX('第12章(ルール)'!$C$3:$H$4,'第12章(媒質)'!D6+1,'第12章(クラスター)'!D6+'第12章(クラスター)'!D5+'第12章(クラスター)'!E6+'第12章(クラスター)'!D7+'第12章(クラスター)'!C6+1)</f>
        <v>1</v>
      </c>
      <c r="E6" s="38">
        <f ca="1">INDEX('第12章(ルール)'!$C$3:$H$4,'第12章(媒質)'!E6+1,'第12章(クラスター)'!E6+'第12章(クラスター)'!E5+'第12章(クラスター)'!F6+'第12章(クラスター)'!E7+'第12章(クラスター)'!D6+1)</f>
        <v>1</v>
      </c>
      <c r="F6" s="38">
        <f ca="1">INDEX('第12章(ルール)'!$C$3:$H$4,'第12章(媒質)'!F6+1,'第12章(クラスター)'!F6+'第12章(クラスター)'!F5+'第12章(クラスター)'!G6+'第12章(クラスター)'!F7+'第12章(クラスター)'!E6+1)</f>
        <v>1</v>
      </c>
      <c r="G6" s="38">
        <f ca="1">INDEX('第12章(ルール)'!$C$3:$H$4,'第12章(媒質)'!G6+1,'第12章(クラスター)'!G6+'第12章(クラスター)'!G5+'第12章(クラスター)'!H6+'第12章(クラスター)'!G7+'第12章(クラスター)'!F6+1)</f>
        <v>1</v>
      </c>
      <c r="H6" s="38">
        <f ca="1">INDEX('第12章(ルール)'!$C$3:$H$4,'第12章(媒質)'!H6+1,'第12章(クラスター)'!H6+'第12章(クラスター)'!H5+'第12章(クラスター)'!I6+'第12章(クラスター)'!H7+'第12章(クラスター)'!G6+1)</f>
        <v>1</v>
      </c>
      <c r="I6" s="38">
        <f ca="1">INDEX('第12章(ルール)'!$C$3:$H$4,'第12章(媒質)'!I6+1,'第12章(クラスター)'!I6+'第12章(クラスター)'!I5+'第12章(クラスター)'!J6+'第12章(クラスター)'!I7+'第12章(クラスター)'!H6+1)</f>
        <v>1</v>
      </c>
      <c r="J6" s="38">
        <f ca="1">INDEX('第12章(ルール)'!$C$3:$H$4,'第12章(媒質)'!J6+1,'第12章(クラスター)'!J6+'第12章(クラスター)'!J5+'第12章(クラスター)'!K6+'第12章(クラスター)'!J7+'第12章(クラスター)'!I6+1)</f>
        <v>1</v>
      </c>
      <c r="K6" s="38">
        <f ca="1">INDEX('第12章(ルール)'!$C$3:$H$4,'第12章(媒質)'!K6+1,'第12章(クラスター)'!K6+'第12章(クラスター)'!K5+'第12章(クラスター)'!L6+'第12章(クラスター)'!K7+'第12章(クラスター)'!J6+1)</f>
        <v>1</v>
      </c>
      <c r="L6" s="38">
        <f ca="1">INDEX('第12章(ルール)'!$C$3:$H$4,'第12章(媒質)'!L6+1,'第12章(クラスター)'!L6+'第12章(クラスター)'!L5+'第12章(クラスター)'!M6+'第12章(クラスター)'!L7+'第12章(クラスター)'!K6+1)</f>
        <v>1</v>
      </c>
      <c r="M6" s="38">
        <f ca="1">INDEX('第12章(ルール)'!$C$3:$H$4,'第12章(媒質)'!M6+1,'第12章(クラスター)'!M6+'第12章(クラスター)'!M5+'第12章(クラスター)'!N6+'第12章(クラスター)'!M7+'第12章(クラスター)'!L6+1)</f>
        <v>1</v>
      </c>
      <c r="N6" s="38">
        <f ca="1">INDEX('第12章(ルール)'!$C$3:$H$4,'第12章(媒質)'!N6+1,'第12章(クラスター)'!N6+'第12章(クラスター)'!N5+'第12章(クラスター)'!O6+'第12章(クラスター)'!N7+'第12章(クラスター)'!M6+1)</f>
        <v>1</v>
      </c>
      <c r="O6" s="38">
        <f ca="1">INDEX('第12章(ルール)'!$C$3:$H$4,'第12章(媒質)'!O6+1,'第12章(クラスター)'!O6+'第12章(クラスター)'!O5+'第12章(クラスター)'!P6+'第12章(クラスター)'!O7+'第12章(クラスター)'!N6+1)</f>
        <v>1</v>
      </c>
      <c r="P6" s="38">
        <f ca="1">INDEX('第12章(ルール)'!$C$3:$H$4,'第12章(媒質)'!P6+1,'第12章(クラスター)'!P6+'第12章(クラスター)'!P5+'第12章(クラスター)'!Q6+'第12章(クラスター)'!P7+'第12章(クラスター)'!O6+1)</f>
        <v>1</v>
      </c>
      <c r="Q6" s="38">
        <f ca="1">INDEX('第12章(ルール)'!$C$3:$H$4,'第12章(媒質)'!Q6+1,'第12章(クラスター)'!Q6+'第12章(クラスター)'!Q5+'第12章(クラスター)'!R6+'第12章(クラスター)'!Q7+'第12章(クラスター)'!P6+1)</f>
        <v>1</v>
      </c>
      <c r="R6" s="38">
        <f ca="1">INDEX('第12章(ルール)'!$C$3:$H$4,'第12章(媒質)'!R6+1,'第12章(クラスター)'!R6+'第12章(クラスター)'!R5+'第12章(クラスター)'!S6+'第12章(クラスター)'!R7+'第12章(クラスター)'!Q6+1)</f>
        <v>1</v>
      </c>
      <c r="S6" s="38">
        <f ca="1">INDEX('第12章(ルール)'!$C$3:$H$4,'第12章(媒質)'!S6+1,'第12章(クラスター)'!S6+'第12章(クラスター)'!S5+'第12章(クラスター)'!T6+'第12章(クラスター)'!S7+'第12章(クラスター)'!R6+1)</f>
        <v>1</v>
      </c>
      <c r="T6" s="38">
        <f ca="1">INDEX('第12章(ルール)'!$C$3:$H$4,'第12章(媒質)'!T6+1,'第12章(クラスター)'!T6+'第12章(クラスター)'!T5+'第12章(クラスター)'!U6+'第12章(クラスター)'!T7+'第12章(クラスター)'!S6+1)</f>
        <v>1</v>
      </c>
      <c r="U6" s="38">
        <f ca="1">INDEX('第12章(ルール)'!$C$3:$H$4,'第12章(媒質)'!U6+1,'第12章(クラスター)'!U6+'第12章(クラスター)'!U5+'第12章(クラスター)'!V6+'第12章(クラスター)'!U7+'第12章(クラスター)'!T6+1)</f>
        <v>1</v>
      </c>
      <c r="V6" s="38">
        <f ca="1">INDEX('第12章(ルール)'!$C$3:$H$4,'第12章(媒質)'!V6+1,'第12章(クラスター)'!V6+'第12章(クラスター)'!V5+'第12章(クラスター)'!W6+'第12章(クラスター)'!V7+'第12章(クラスター)'!U6+1)</f>
        <v>1</v>
      </c>
    </row>
    <row r="7" spans="2:22" ht="12" customHeight="1" x14ac:dyDescent="0.15">
      <c r="B7" s="38">
        <f ca="1">INDEX('第12章(ルール)'!$C$3:$H$4,'第12章(媒質)'!B7+1,'第12章(クラスター)'!B7+'第12章(クラスター)'!B6+'第12章(クラスター)'!C7+'第12章(クラスター)'!B8+'第12章(クラスター)'!A7+1)</f>
        <v>1</v>
      </c>
      <c r="C7" s="38">
        <f ca="1">INDEX('第12章(ルール)'!$C$3:$H$4,'第12章(媒質)'!C7+1,'第12章(クラスター)'!C7+'第12章(クラスター)'!C6+'第12章(クラスター)'!D7+'第12章(クラスター)'!C8+'第12章(クラスター)'!B7+1)</f>
        <v>1</v>
      </c>
      <c r="D7" s="38">
        <f ca="1">INDEX('第12章(ルール)'!$C$3:$H$4,'第12章(媒質)'!D7+1,'第12章(クラスター)'!D7+'第12章(クラスター)'!D6+'第12章(クラスター)'!E7+'第12章(クラスター)'!D8+'第12章(クラスター)'!C7+1)</f>
        <v>1</v>
      </c>
      <c r="E7" s="38">
        <f ca="1">INDEX('第12章(ルール)'!$C$3:$H$4,'第12章(媒質)'!E7+1,'第12章(クラスター)'!E7+'第12章(クラスター)'!E6+'第12章(クラスター)'!F7+'第12章(クラスター)'!E8+'第12章(クラスター)'!D7+1)</f>
        <v>1</v>
      </c>
      <c r="F7" s="38">
        <f ca="1">INDEX('第12章(ルール)'!$C$3:$H$4,'第12章(媒質)'!F7+1,'第12章(クラスター)'!F7+'第12章(クラスター)'!F6+'第12章(クラスター)'!G7+'第12章(クラスター)'!F8+'第12章(クラスター)'!E7+1)</f>
        <v>1</v>
      </c>
      <c r="G7" s="38">
        <f ca="1">INDEX('第12章(ルール)'!$C$3:$H$4,'第12章(媒質)'!G7+1,'第12章(クラスター)'!G7+'第12章(クラスター)'!G6+'第12章(クラスター)'!H7+'第12章(クラスター)'!G8+'第12章(クラスター)'!F7+1)</f>
        <v>1</v>
      </c>
      <c r="H7" s="38">
        <f ca="1">INDEX('第12章(ルール)'!$C$3:$H$4,'第12章(媒質)'!H7+1,'第12章(クラスター)'!H7+'第12章(クラスター)'!H6+'第12章(クラスター)'!I7+'第12章(クラスター)'!H8+'第12章(クラスター)'!G7+1)</f>
        <v>1</v>
      </c>
      <c r="I7" s="38">
        <f ca="1">INDEX('第12章(ルール)'!$C$3:$H$4,'第12章(媒質)'!I7+1,'第12章(クラスター)'!I7+'第12章(クラスター)'!I6+'第12章(クラスター)'!J7+'第12章(クラスター)'!I8+'第12章(クラスター)'!H7+1)</f>
        <v>1</v>
      </c>
      <c r="J7" s="38">
        <f ca="1">INDEX('第12章(ルール)'!$C$3:$H$4,'第12章(媒質)'!J7+1,'第12章(クラスター)'!J7+'第12章(クラスター)'!J6+'第12章(クラスター)'!K7+'第12章(クラスター)'!J8+'第12章(クラスター)'!I7+1)</f>
        <v>1</v>
      </c>
      <c r="K7" s="38">
        <f ca="1">INDEX('第12章(ルール)'!$C$3:$H$4,'第12章(媒質)'!K7+1,'第12章(クラスター)'!K7+'第12章(クラスター)'!K6+'第12章(クラスター)'!L7+'第12章(クラスター)'!K8+'第12章(クラスター)'!J7+1)</f>
        <v>1</v>
      </c>
      <c r="L7" s="38">
        <f ca="1">INDEX('第12章(ルール)'!$C$3:$H$4,'第12章(媒質)'!L7+1,'第12章(クラスター)'!L7+'第12章(クラスター)'!L6+'第12章(クラスター)'!M7+'第12章(クラスター)'!L8+'第12章(クラスター)'!K7+1)</f>
        <v>1</v>
      </c>
      <c r="M7" s="38">
        <f ca="1">INDEX('第12章(ルール)'!$C$3:$H$4,'第12章(媒質)'!M7+1,'第12章(クラスター)'!M7+'第12章(クラスター)'!M6+'第12章(クラスター)'!N7+'第12章(クラスター)'!M8+'第12章(クラスター)'!L7+1)</f>
        <v>1</v>
      </c>
      <c r="N7" s="38">
        <f ca="1">INDEX('第12章(ルール)'!$C$3:$H$4,'第12章(媒質)'!N7+1,'第12章(クラスター)'!N7+'第12章(クラスター)'!N6+'第12章(クラスター)'!O7+'第12章(クラスター)'!N8+'第12章(クラスター)'!M7+1)</f>
        <v>0</v>
      </c>
      <c r="O7" s="38">
        <f ca="1">INDEX('第12章(ルール)'!$C$3:$H$4,'第12章(媒質)'!O7+1,'第12章(クラスター)'!O7+'第12章(クラスター)'!O6+'第12章(クラスター)'!P7+'第12章(クラスター)'!O8+'第12章(クラスター)'!N7+1)</f>
        <v>0</v>
      </c>
      <c r="P7" s="38">
        <f ca="1">INDEX('第12章(ルール)'!$C$3:$H$4,'第12章(媒質)'!P7+1,'第12章(クラスター)'!P7+'第12章(クラスター)'!P6+'第12章(クラスター)'!Q7+'第12章(クラスター)'!P8+'第12章(クラスター)'!O7+1)</f>
        <v>1</v>
      </c>
      <c r="Q7" s="38">
        <f ca="1">INDEX('第12章(ルール)'!$C$3:$H$4,'第12章(媒質)'!Q7+1,'第12章(クラスター)'!Q7+'第12章(クラスター)'!Q6+'第12章(クラスター)'!R7+'第12章(クラスター)'!Q8+'第12章(クラスター)'!P7+1)</f>
        <v>1</v>
      </c>
      <c r="R7" s="38">
        <f ca="1">INDEX('第12章(ルール)'!$C$3:$H$4,'第12章(媒質)'!R7+1,'第12章(クラスター)'!R7+'第12章(クラスター)'!R6+'第12章(クラスター)'!S7+'第12章(クラスター)'!R8+'第12章(クラスター)'!Q7+1)</f>
        <v>1</v>
      </c>
      <c r="S7" s="38">
        <f ca="1">INDEX('第12章(ルール)'!$C$3:$H$4,'第12章(媒質)'!S7+1,'第12章(クラスター)'!S7+'第12章(クラスター)'!S6+'第12章(クラスター)'!T7+'第12章(クラスター)'!S8+'第12章(クラスター)'!R7+1)</f>
        <v>1</v>
      </c>
      <c r="T7" s="38">
        <f ca="1">INDEX('第12章(ルール)'!$C$3:$H$4,'第12章(媒質)'!T7+1,'第12章(クラスター)'!T7+'第12章(クラスター)'!T6+'第12章(クラスター)'!U7+'第12章(クラスター)'!T8+'第12章(クラスター)'!S7+1)</f>
        <v>1</v>
      </c>
      <c r="U7" s="38">
        <f ca="1">INDEX('第12章(ルール)'!$C$3:$H$4,'第12章(媒質)'!U7+1,'第12章(クラスター)'!U7+'第12章(クラスター)'!U6+'第12章(クラスター)'!V7+'第12章(クラスター)'!U8+'第12章(クラスター)'!T7+1)</f>
        <v>0</v>
      </c>
      <c r="V7" s="38">
        <f ca="1">INDEX('第12章(ルール)'!$C$3:$H$4,'第12章(媒質)'!V7+1,'第12章(クラスター)'!V7+'第12章(クラスター)'!V6+'第12章(クラスター)'!W7+'第12章(クラスター)'!V8+'第12章(クラスター)'!U7+1)</f>
        <v>1</v>
      </c>
    </row>
    <row r="8" spans="2:22" ht="12" customHeight="1" x14ac:dyDescent="0.15">
      <c r="B8" s="38">
        <f ca="1">INDEX('第12章(ルール)'!$C$3:$H$4,'第12章(媒質)'!B8+1,'第12章(クラスター)'!B8+'第12章(クラスター)'!B7+'第12章(クラスター)'!C8+'第12章(クラスター)'!B9+'第12章(クラスター)'!A8+1)</f>
        <v>1</v>
      </c>
      <c r="C8" s="38">
        <f ca="1">INDEX('第12章(ルール)'!$C$3:$H$4,'第12章(媒質)'!C8+1,'第12章(クラスター)'!C8+'第12章(クラスター)'!C7+'第12章(クラスター)'!D8+'第12章(クラスター)'!C9+'第12章(クラスター)'!B8+1)</f>
        <v>1</v>
      </c>
      <c r="D8" s="38">
        <f ca="1">INDEX('第12章(ルール)'!$C$3:$H$4,'第12章(媒質)'!D8+1,'第12章(クラスター)'!D8+'第12章(クラスター)'!D7+'第12章(クラスター)'!E8+'第12章(クラスター)'!D9+'第12章(クラスター)'!C8+1)</f>
        <v>1</v>
      </c>
      <c r="E8" s="38">
        <f ca="1">INDEX('第12章(ルール)'!$C$3:$H$4,'第12章(媒質)'!E8+1,'第12章(クラスター)'!E8+'第12章(クラスター)'!E7+'第12章(クラスター)'!F8+'第12章(クラスター)'!E9+'第12章(クラスター)'!D8+1)</f>
        <v>1</v>
      </c>
      <c r="F8" s="38">
        <f ca="1">INDEX('第12章(ルール)'!$C$3:$H$4,'第12章(媒質)'!F8+1,'第12章(クラスター)'!F8+'第12章(クラスター)'!F7+'第12章(クラスター)'!G8+'第12章(クラスター)'!F9+'第12章(クラスター)'!E8+1)</f>
        <v>1</v>
      </c>
      <c r="G8" s="38">
        <f ca="1">INDEX('第12章(ルール)'!$C$3:$H$4,'第12章(媒質)'!G8+1,'第12章(クラスター)'!G8+'第12章(クラスター)'!G7+'第12章(クラスター)'!H8+'第12章(クラスター)'!G9+'第12章(クラスター)'!F8+1)</f>
        <v>1</v>
      </c>
      <c r="H8" s="38">
        <f ca="1">INDEX('第12章(ルール)'!$C$3:$H$4,'第12章(媒質)'!H8+1,'第12章(クラスター)'!H8+'第12章(クラスター)'!H7+'第12章(クラスター)'!I8+'第12章(クラスター)'!H9+'第12章(クラスター)'!G8+1)</f>
        <v>1</v>
      </c>
      <c r="I8" s="38">
        <f ca="1">INDEX('第12章(ルール)'!$C$3:$H$4,'第12章(媒質)'!I8+1,'第12章(クラスター)'!I8+'第12章(クラスター)'!I7+'第12章(クラスター)'!J8+'第12章(クラスター)'!I9+'第12章(クラスター)'!H8+1)</f>
        <v>1</v>
      </c>
      <c r="J8" s="38">
        <f ca="1">INDEX('第12章(ルール)'!$C$3:$H$4,'第12章(媒質)'!J8+1,'第12章(クラスター)'!J8+'第12章(クラスター)'!J7+'第12章(クラスター)'!K8+'第12章(クラスター)'!J9+'第12章(クラスター)'!I8+1)</f>
        <v>1</v>
      </c>
      <c r="K8" s="38">
        <f ca="1">INDEX('第12章(ルール)'!$C$3:$H$4,'第12章(媒質)'!K8+1,'第12章(クラスター)'!K8+'第12章(クラスター)'!K7+'第12章(クラスター)'!L8+'第12章(クラスター)'!K9+'第12章(クラスター)'!J8+1)</f>
        <v>1</v>
      </c>
      <c r="L8" s="38">
        <f ca="1">INDEX('第12章(ルール)'!$C$3:$H$4,'第12章(媒質)'!L8+1,'第12章(クラスター)'!L8+'第12章(クラスター)'!L7+'第12章(クラスター)'!M8+'第12章(クラスター)'!L9+'第12章(クラスター)'!K8+1)</f>
        <v>1</v>
      </c>
      <c r="M8" s="38">
        <f ca="1">INDEX('第12章(ルール)'!$C$3:$H$4,'第12章(媒質)'!M8+1,'第12章(クラスター)'!M8+'第12章(クラスター)'!M7+'第12章(クラスター)'!N8+'第12章(クラスター)'!M9+'第12章(クラスター)'!L8+1)</f>
        <v>0</v>
      </c>
      <c r="N8" s="38">
        <f ca="1">INDEX('第12章(ルール)'!$C$3:$H$4,'第12章(媒質)'!N8+1,'第12章(クラスター)'!N8+'第12章(クラスター)'!N7+'第12章(クラスター)'!O8+'第12章(クラスター)'!N9+'第12章(クラスター)'!M8+1)</f>
        <v>1</v>
      </c>
      <c r="O8" s="38">
        <f ca="1">INDEX('第12章(ルール)'!$C$3:$H$4,'第12章(媒質)'!O8+1,'第12章(クラスター)'!O8+'第12章(クラスター)'!O7+'第12章(クラスター)'!P8+'第12章(クラスター)'!O9+'第12章(クラスター)'!N8+1)</f>
        <v>1</v>
      </c>
      <c r="P8" s="38">
        <f ca="1">INDEX('第12章(ルール)'!$C$3:$H$4,'第12章(媒質)'!P8+1,'第12章(クラスター)'!P8+'第12章(クラスター)'!P7+'第12章(クラスター)'!Q8+'第12章(クラスター)'!P9+'第12章(クラスター)'!O8+1)</f>
        <v>1</v>
      </c>
      <c r="Q8" s="38">
        <f ca="1">INDEX('第12章(ルール)'!$C$3:$H$4,'第12章(媒質)'!Q8+1,'第12章(クラスター)'!Q8+'第12章(クラスター)'!Q7+'第12章(クラスター)'!R8+'第12章(クラスター)'!Q9+'第12章(クラスター)'!P8+1)</f>
        <v>1</v>
      </c>
      <c r="R8" s="38">
        <f ca="1">INDEX('第12章(ルール)'!$C$3:$H$4,'第12章(媒質)'!R8+1,'第12章(クラスター)'!R8+'第12章(クラスター)'!R7+'第12章(クラスター)'!S8+'第12章(クラスター)'!R9+'第12章(クラスター)'!Q8+1)</f>
        <v>1</v>
      </c>
      <c r="S8" s="38">
        <f ca="1">INDEX('第12章(ルール)'!$C$3:$H$4,'第12章(媒質)'!S8+1,'第12章(クラスター)'!S8+'第12章(クラスター)'!S7+'第12章(クラスター)'!T8+'第12章(クラスター)'!S9+'第12章(クラスター)'!R8+1)</f>
        <v>1</v>
      </c>
      <c r="T8" s="38">
        <f ca="1">INDEX('第12章(ルール)'!$C$3:$H$4,'第12章(媒質)'!T8+1,'第12章(クラスター)'!T8+'第12章(クラスター)'!T7+'第12章(クラスター)'!U8+'第12章(クラスター)'!T9+'第12章(クラスター)'!S8+1)</f>
        <v>1</v>
      </c>
      <c r="U8" s="38">
        <f ca="1">INDEX('第12章(ルール)'!$C$3:$H$4,'第12章(媒質)'!U8+1,'第12章(クラスター)'!U8+'第12章(クラスター)'!U7+'第12章(クラスター)'!V8+'第12章(クラスター)'!U9+'第12章(クラスター)'!T8+1)</f>
        <v>1</v>
      </c>
      <c r="V8" s="38">
        <f ca="1">INDEX('第12章(ルール)'!$C$3:$H$4,'第12章(媒質)'!V8+1,'第12章(クラスター)'!V8+'第12章(クラスター)'!V7+'第12章(クラスター)'!W8+'第12章(クラスター)'!V9+'第12章(クラスター)'!U8+1)</f>
        <v>0</v>
      </c>
    </row>
    <row r="9" spans="2:22" ht="12" customHeight="1" x14ac:dyDescent="0.15">
      <c r="B9" s="38">
        <f ca="1">INDEX('第12章(ルール)'!$C$3:$H$4,'第12章(媒質)'!B9+1,'第12章(クラスター)'!B9+'第12章(クラスター)'!B8+'第12章(クラスター)'!C9+'第12章(クラスター)'!B10+'第12章(クラスター)'!A9+1)</f>
        <v>1</v>
      </c>
      <c r="C9" s="38">
        <f ca="1">INDEX('第12章(ルール)'!$C$3:$H$4,'第12章(媒質)'!C9+1,'第12章(クラスター)'!C9+'第12章(クラスター)'!C8+'第12章(クラスター)'!D9+'第12章(クラスター)'!C10+'第12章(クラスター)'!B9+1)</f>
        <v>1</v>
      </c>
      <c r="D9" s="38">
        <f ca="1">INDEX('第12章(ルール)'!$C$3:$H$4,'第12章(媒質)'!D9+1,'第12章(クラスター)'!D9+'第12章(クラスター)'!D8+'第12章(クラスター)'!E9+'第12章(クラスター)'!D10+'第12章(クラスター)'!C9+1)</f>
        <v>1</v>
      </c>
      <c r="E9" s="38">
        <f ca="1">INDEX('第12章(ルール)'!$C$3:$H$4,'第12章(媒質)'!E9+1,'第12章(クラスター)'!E9+'第12章(クラスター)'!E8+'第12章(クラスター)'!F9+'第12章(クラスター)'!E10+'第12章(クラスター)'!D9+1)</f>
        <v>1</v>
      </c>
      <c r="F9" s="38">
        <f ca="1">INDEX('第12章(ルール)'!$C$3:$H$4,'第12章(媒質)'!F9+1,'第12章(クラスター)'!F9+'第12章(クラスター)'!F8+'第12章(クラスター)'!G9+'第12章(クラスター)'!F10+'第12章(クラスター)'!E9+1)</f>
        <v>1</v>
      </c>
      <c r="G9" s="38">
        <f ca="1">INDEX('第12章(ルール)'!$C$3:$H$4,'第12章(媒質)'!G9+1,'第12章(クラスター)'!G9+'第12章(クラスター)'!G8+'第12章(クラスター)'!H9+'第12章(クラスター)'!G10+'第12章(クラスター)'!F9+1)</f>
        <v>0</v>
      </c>
      <c r="H9" s="38">
        <f ca="1">INDEX('第12章(ルール)'!$C$3:$H$4,'第12章(媒質)'!H9+1,'第12章(クラスター)'!H9+'第12章(クラスター)'!H8+'第12章(クラスター)'!I9+'第12章(クラスター)'!H10+'第12章(クラスター)'!G9+1)</f>
        <v>1</v>
      </c>
      <c r="I9" s="38">
        <f ca="1">INDEX('第12章(ルール)'!$C$3:$H$4,'第12章(媒質)'!I9+1,'第12章(クラスター)'!I9+'第12章(クラスター)'!I8+'第12章(クラスター)'!J9+'第12章(クラスター)'!I10+'第12章(クラスター)'!H9+1)</f>
        <v>1</v>
      </c>
      <c r="J9" s="38">
        <f ca="1">INDEX('第12章(ルール)'!$C$3:$H$4,'第12章(媒質)'!J9+1,'第12章(クラスター)'!J9+'第12章(クラスター)'!J8+'第12章(クラスター)'!K9+'第12章(クラスター)'!J10+'第12章(クラスター)'!I9+1)</f>
        <v>1</v>
      </c>
      <c r="K9" s="38">
        <f ca="1">INDEX('第12章(ルール)'!$C$3:$H$4,'第12章(媒質)'!K9+1,'第12章(クラスター)'!K9+'第12章(クラスター)'!K8+'第12章(クラスター)'!L9+'第12章(クラスター)'!K10+'第12章(クラスター)'!J9+1)</f>
        <v>1</v>
      </c>
      <c r="L9" s="38">
        <f ca="1">INDEX('第12章(ルール)'!$C$3:$H$4,'第12章(媒質)'!L9+1,'第12章(クラスター)'!L9+'第12章(クラスター)'!L8+'第12章(クラスター)'!M9+'第12章(クラスター)'!L10+'第12章(クラスター)'!K9+1)</f>
        <v>0</v>
      </c>
      <c r="M9" s="38">
        <f ca="1">INDEX('第12章(ルール)'!$C$3:$H$4,'第12章(媒質)'!M9+1,'第12章(クラスター)'!M9+'第12章(クラスター)'!M8+'第12章(クラスター)'!N9+'第12章(クラスター)'!M10+'第12章(クラスター)'!L9+1)</f>
        <v>1</v>
      </c>
      <c r="N9" s="38">
        <f ca="1">INDEX('第12章(ルール)'!$C$3:$H$4,'第12章(媒質)'!N9+1,'第12章(クラスター)'!N9+'第12章(クラスター)'!N8+'第12章(クラスター)'!O9+'第12章(クラスター)'!N10+'第12章(クラスター)'!M9+1)</f>
        <v>1</v>
      </c>
      <c r="O9" s="38">
        <f ca="1">INDEX('第12章(ルール)'!$C$3:$H$4,'第12章(媒質)'!O9+1,'第12章(クラスター)'!O9+'第12章(クラスター)'!O8+'第12章(クラスター)'!P9+'第12章(クラスター)'!O10+'第12章(クラスター)'!N9+1)</f>
        <v>1</v>
      </c>
      <c r="P9" s="38">
        <f ca="1">INDEX('第12章(ルール)'!$C$3:$H$4,'第12章(媒質)'!P9+1,'第12章(クラスター)'!P9+'第12章(クラスター)'!P8+'第12章(クラスター)'!Q9+'第12章(クラスター)'!P10+'第12章(クラスター)'!O9+1)</f>
        <v>1</v>
      </c>
      <c r="Q9" s="38">
        <f ca="1">INDEX('第12章(ルール)'!$C$3:$H$4,'第12章(媒質)'!Q9+1,'第12章(クラスター)'!Q9+'第12章(クラスター)'!Q8+'第12章(クラスター)'!R9+'第12章(クラスター)'!Q10+'第12章(クラスター)'!P9+1)</f>
        <v>1</v>
      </c>
      <c r="R9" s="38">
        <f ca="1">INDEX('第12章(ルール)'!$C$3:$H$4,'第12章(媒質)'!R9+1,'第12章(クラスター)'!R9+'第12章(クラスター)'!R8+'第12章(クラスター)'!S9+'第12章(クラスター)'!R10+'第12章(クラスター)'!Q9+1)</f>
        <v>1</v>
      </c>
      <c r="S9" s="38">
        <f ca="1">INDEX('第12章(ルール)'!$C$3:$H$4,'第12章(媒質)'!S9+1,'第12章(クラスター)'!S9+'第12章(クラスター)'!S8+'第12章(クラスター)'!T9+'第12章(クラスター)'!S10+'第12章(クラスター)'!R9+1)</f>
        <v>0</v>
      </c>
      <c r="T9" s="38">
        <f ca="1">INDEX('第12章(ルール)'!$C$3:$H$4,'第12章(媒質)'!T9+1,'第12章(クラスター)'!T9+'第12章(クラスター)'!T8+'第12章(クラスター)'!U9+'第12章(クラスター)'!T10+'第12章(クラスター)'!S9+1)</f>
        <v>1</v>
      </c>
      <c r="U9" s="38">
        <f ca="1">INDEX('第12章(ルール)'!$C$3:$H$4,'第12章(媒質)'!U9+1,'第12章(クラスター)'!U9+'第12章(クラスター)'!U8+'第12章(クラスター)'!V9+'第12章(クラスター)'!U10+'第12章(クラスター)'!T9+1)</f>
        <v>1</v>
      </c>
      <c r="V9" s="38">
        <f ca="1">INDEX('第12章(ルール)'!$C$3:$H$4,'第12章(媒質)'!V9+1,'第12章(クラスター)'!V9+'第12章(クラスター)'!V8+'第12章(クラスター)'!W9+'第12章(クラスター)'!V10+'第12章(クラスター)'!U9+1)</f>
        <v>1</v>
      </c>
    </row>
    <row r="10" spans="2:22" ht="12" customHeight="1" x14ac:dyDescent="0.15">
      <c r="B10" s="38">
        <f ca="1">INDEX('第12章(ルール)'!$C$3:$H$4,'第12章(媒質)'!B10+1,'第12章(クラスター)'!B10+'第12章(クラスター)'!B9+'第12章(クラスター)'!C10+'第12章(クラスター)'!B11+'第12章(クラスター)'!A10+1)</f>
        <v>1</v>
      </c>
      <c r="C10" s="38">
        <f ca="1">INDEX('第12章(ルール)'!$C$3:$H$4,'第12章(媒質)'!C10+1,'第12章(クラスター)'!C10+'第12章(クラスター)'!C9+'第12章(クラスター)'!D10+'第12章(クラスター)'!C11+'第12章(クラスター)'!B10+1)</f>
        <v>1</v>
      </c>
      <c r="D10" s="38">
        <f ca="1">INDEX('第12章(ルール)'!$C$3:$H$4,'第12章(媒質)'!D10+1,'第12章(クラスター)'!D10+'第12章(クラスター)'!D9+'第12章(クラスター)'!E10+'第12章(クラスター)'!D11+'第12章(クラスター)'!C10+1)</f>
        <v>1</v>
      </c>
      <c r="E10" s="38">
        <f ca="1">INDEX('第12章(ルール)'!$C$3:$H$4,'第12章(媒質)'!E10+1,'第12章(クラスター)'!E10+'第12章(クラスター)'!E9+'第12章(クラスター)'!F10+'第12章(クラスター)'!E11+'第12章(クラスター)'!D10+1)</f>
        <v>1</v>
      </c>
      <c r="F10" s="38">
        <f ca="1">INDEX('第12章(ルール)'!$C$3:$H$4,'第12章(媒質)'!F10+1,'第12章(クラスター)'!F10+'第12章(クラスター)'!F9+'第12章(クラスター)'!G10+'第12章(クラスター)'!F11+'第12章(クラスター)'!E10+1)</f>
        <v>1</v>
      </c>
      <c r="G10" s="38">
        <f ca="1">INDEX('第12章(ルール)'!$C$3:$H$4,'第12章(媒質)'!G10+1,'第12章(クラスター)'!G10+'第12章(クラスター)'!G9+'第12章(クラスター)'!H10+'第12章(クラスター)'!G11+'第12章(クラスター)'!F10+1)</f>
        <v>1</v>
      </c>
      <c r="H10" s="38">
        <f ca="1">INDEX('第12章(ルール)'!$C$3:$H$4,'第12章(媒質)'!H10+1,'第12章(クラスター)'!H10+'第12章(クラスター)'!H9+'第12章(クラスター)'!I10+'第12章(クラスター)'!H11+'第12章(クラスター)'!G10+1)</f>
        <v>1</v>
      </c>
      <c r="I10" s="38">
        <f ca="1">INDEX('第12章(ルール)'!$C$3:$H$4,'第12章(媒質)'!I10+1,'第12章(クラスター)'!I10+'第12章(クラスター)'!I9+'第12章(クラスター)'!J10+'第12章(クラスター)'!I11+'第12章(クラスター)'!H10+1)</f>
        <v>0</v>
      </c>
      <c r="J10" s="38">
        <f ca="1">INDEX('第12章(ルール)'!$C$3:$H$4,'第12章(媒質)'!J10+1,'第12章(クラスター)'!J10+'第12章(クラスター)'!J9+'第12章(クラスター)'!K10+'第12章(クラスター)'!J11+'第12章(クラスター)'!I10+1)</f>
        <v>1</v>
      </c>
      <c r="K10" s="38">
        <f ca="1">INDEX('第12章(ルール)'!$C$3:$H$4,'第12章(媒質)'!K10+1,'第12章(クラスター)'!K10+'第12章(クラスター)'!K9+'第12章(クラスター)'!L10+'第12章(クラスター)'!K11+'第12章(クラスター)'!J10+1)</f>
        <v>1</v>
      </c>
      <c r="L10" s="38">
        <f ca="1">INDEX('第12章(ルール)'!$C$3:$H$4,'第12章(媒質)'!L10+1,'第12章(クラスター)'!L10+'第12章(クラスター)'!L9+'第12章(クラスター)'!M10+'第12章(クラスター)'!L11+'第12章(クラスター)'!K10+1)</f>
        <v>1</v>
      </c>
      <c r="M10" s="38">
        <f ca="1">INDEX('第12章(ルール)'!$C$3:$H$4,'第12章(媒質)'!M10+1,'第12章(クラスター)'!M10+'第12章(クラスター)'!M9+'第12章(クラスター)'!N10+'第12章(クラスター)'!M11+'第12章(クラスター)'!L10+1)</f>
        <v>1</v>
      </c>
      <c r="N10" s="38">
        <f ca="1">INDEX('第12章(ルール)'!$C$3:$H$4,'第12章(媒質)'!N10+1,'第12章(クラスター)'!N10+'第12章(クラスター)'!N9+'第12章(クラスター)'!O10+'第12章(クラスター)'!N11+'第12章(クラスター)'!M10+1)</f>
        <v>1</v>
      </c>
      <c r="O10" s="38">
        <f ca="1">INDEX('第12章(ルール)'!$C$3:$H$4,'第12章(媒質)'!O10+1,'第12章(クラスター)'!O10+'第12章(クラスター)'!O9+'第12章(クラスター)'!P10+'第12章(クラスター)'!O11+'第12章(クラスター)'!N10+1)</f>
        <v>1</v>
      </c>
      <c r="P10" s="38">
        <f ca="1">INDEX('第12章(ルール)'!$C$3:$H$4,'第12章(媒質)'!P10+1,'第12章(クラスター)'!P10+'第12章(クラスター)'!P9+'第12章(クラスター)'!Q10+'第12章(クラスター)'!P11+'第12章(クラスター)'!O10+1)</f>
        <v>1</v>
      </c>
      <c r="Q10" s="38">
        <f ca="1">INDEX('第12章(ルール)'!$C$3:$H$4,'第12章(媒質)'!Q10+1,'第12章(クラスター)'!Q10+'第12章(クラスター)'!Q9+'第12章(クラスター)'!R10+'第12章(クラスター)'!Q11+'第12章(クラスター)'!P10+1)</f>
        <v>1</v>
      </c>
      <c r="R10" s="38">
        <f ca="1">INDEX('第12章(ルール)'!$C$3:$H$4,'第12章(媒質)'!R10+1,'第12章(クラスター)'!R10+'第12章(クラスター)'!R9+'第12章(クラスター)'!S10+'第12章(クラスター)'!R11+'第12章(クラスター)'!Q10+1)</f>
        <v>1</v>
      </c>
      <c r="S10" s="38">
        <f ca="1">INDEX('第12章(ルール)'!$C$3:$H$4,'第12章(媒質)'!S10+1,'第12章(クラスター)'!S10+'第12章(クラスター)'!S9+'第12章(クラスター)'!T10+'第12章(クラスター)'!S11+'第12章(クラスター)'!R10+1)</f>
        <v>1</v>
      </c>
      <c r="T10" s="38">
        <f ca="1">INDEX('第12章(ルール)'!$C$3:$H$4,'第12章(媒質)'!T10+1,'第12章(クラスター)'!T10+'第12章(クラスター)'!T9+'第12章(クラスター)'!U10+'第12章(クラスター)'!T11+'第12章(クラスター)'!S10+1)</f>
        <v>1</v>
      </c>
      <c r="U10" s="38">
        <f ca="1">INDEX('第12章(ルール)'!$C$3:$H$4,'第12章(媒質)'!U10+1,'第12章(クラスター)'!U10+'第12章(クラスター)'!U9+'第12章(クラスター)'!V10+'第12章(クラスター)'!U11+'第12章(クラスター)'!T10+1)</f>
        <v>1</v>
      </c>
      <c r="V10" s="38">
        <f ca="1">INDEX('第12章(ルール)'!$C$3:$H$4,'第12章(媒質)'!V10+1,'第12章(クラスター)'!V10+'第12章(クラスター)'!V9+'第12章(クラスター)'!W10+'第12章(クラスター)'!V11+'第12章(クラスター)'!U10+1)</f>
        <v>1</v>
      </c>
    </row>
    <row r="11" spans="2:22" ht="12" customHeight="1" x14ac:dyDescent="0.15">
      <c r="B11" s="38">
        <f ca="1">INDEX('第12章(ルール)'!$C$3:$H$4,'第12章(媒質)'!B11+1,'第12章(クラスター)'!B11+'第12章(クラスター)'!B10+'第12章(クラスター)'!C11+'第12章(クラスター)'!B12+'第12章(クラスター)'!A11+1)</f>
        <v>1</v>
      </c>
      <c r="C11" s="38">
        <f ca="1">INDEX('第12章(ルール)'!$C$3:$H$4,'第12章(媒質)'!C11+1,'第12章(クラスター)'!C11+'第12章(クラスター)'!C10+'第12章(クラスター)'!D11+'第12章(クラスター)'!C12+'第12章(クラスター)'!B11+1)</f>
        <v>1</v>
      </c>
      <c r="D11" s="38">
        <f ca="1">INDEX('第12章(ルール)'!$C$3:$H$4,'第12章(媒質)'!D11+1,'第12章(クラスター)'!D11+'第12章(クラスター)'!D10+'第12章(クラスター)'!E11+'第12章(クラスター)'!D12+'第12章(クラスター)'!C11+1)</f>
        <v>1</v>
      </c>
      <c r="E11" s="38">
        <f ca="1">INDEX('第12章(ルール)'!$C$3:$H$4,'第12章(媒質)'!E11+1,'第12章(クラスター)'!E11+'第12章(クラスター)'!E10+'第12章(クラスター)'!F11+'第12章(クラスター)'!E12+'第12章(クラスター)'!D11+1)</f>
        <v>1</v>
      </c>
      <c r="F11" s="38">
        <f ca="1">INDEX('第12章(ルール)'!$C$3:$H$4,'第12章(媒質)'!F11+1,'第12章(クラスター)'!F11+'第12章(クラスター)'!F10+'第12章(クラスター)'!G11+'第12章(クラスター)'!F12+'第12章(クラスター)'!E11+1)</f>
        <v>1</v>
      </c>
      <c r="G11" s="38">
        <f ca="1">INDEX('第12章(ルール)'!$C$3:$H$4,'第12章(媒質)'!G11+1,'第12章(クラスター)'!G11+'第12章(クラスター)'!G10+'第12章(クラスター)'!H11+'第12章(クラスター)'!G12+'第12章(クラスター)'!F11+1)</f>
        <v>1</v>
      </c>
      <c r="H11" s="38">
        <f ca="1">INDEX('第12章(ルール)'!$C$3:$H$4,'第12章(媒質)'!H11+1,'第12章(クラスター)'!H11+'第12章(クラスター)'!H10+'第12章(クラスター)'!I11+'第12章(クラスター)'!H12+'第12章(クラスター)'!G11+1)</f>
        <v>1</v>
      </c>
      <c r="I11" s="38">
        <f ca="1">INDEX('第12章(ルール)'!$C$3:$H$4,'第12章(媒質)'!I11+1,'第12章(クラスター)'!I11+'第12章(クラスター)'!I10+'第12章(クラスター)'!J11+'第12章(クラスター)'!I12+'第12章(クラスター)'!H11+1)</f>
        <v>1</v>
      </c>
      <c r="J11" s="38">
        <f ca="1">INDEX('第12章(ルール)'!$C$3:$H$4,'第12章(媒質)'!J11+1,'第12章(クラスター)'!J11+'第12章(クラスター)'!J10+'第12章(クラスター)'!K11+'第12章(クラスター)'!J12+'第12章(クラスター)'!I11+1)</f>
        <v>1</v>
      </c>
      <c r="K11" s="38">
        <f ca="1">INDEX('第12章(ルール)'!$C$3:$H$4,'第12章(媒質)'!K11+1,'第12章(クラスター)'!K11+'第12章(クラスター)'!K10+'第12章(クラスター)'!L11+'第12章(クラスター)'!K12+'第12章(クラスター)'!J11+1)</f>
        <v>1</v>
      </c>
      <c r="L11" s="38">
        <f ca="1">INDEX('第12章(ルール)'!$C$3:$H$4,'第12章(媒質)'!L11+1,'第12章(クラスター)'!L11+'第12章(クラスター)'!L10+'第12章(クラスター)'!M11+'第12章(クラスター)'!L12+'第12章(クラスター)'!K11+1)</f>
        <v>1</v>
      </c>
      <c r="M11" s="38">
        <f ca="1">INDEX('第12章(ルール)'!$C$3:$H$4,'第12章(媒質)'!M11+1,'第12章(クラスター)'!M11+'第12章(クラスター)'!M10+'第12章(クラスター)'!N11+'第12章(クラスター)'!M12+'第12章(クラスター)'!L11+1)</f>
        <v>1</v>
      </c>
      <c r="N11" s="38">
        <f ca="1">INDEX('第12章(ルール)'!$C$3:$H$4,'第12章(媒質)'!N11+1,'第12章(クラスター)'!N11+'第12章(クラスター)'!N10+'第12章(クラスター)'!O11+'第12章(クラスター)'!N12+'第12章(クラスター)'!M11+1)</f>
        <v>1</v>
      </c>
      <c r="O11" s="38">
        <f ca="1">INDEX('第12章(ルール)'!$C$3:$H$4,'第12章(媒質)'!O11+1,'第12章(クラスター)'!O11+'第12章(クラスター)'!O10+'第12章(クラスター)'!P11+'第12章(クラスター)'!O12+'第12章(クラスター)'!N11+1)</f>
        <v>1</v>
      </c>
      <c r="P11" s="38">
        <f ca="1">INDEX('第12章(ルール)'!$C$3:$H$4,'第12章(媒質)'!P11+1,'第12章(クラスター)'!P11+'第12章(クラスター)'!P10+'第12章(クラスター)'!Q11+'第12章(クラスター)'!P12+'第12章(クラスター)'!O11+1)</f>
        <v>0</v>
      </c>
      <c r="Q11" s="38">
        <f ca="1">INDEX('第12章(ルール)'!$C$3:$H$4,'第12章(媒質)'!Q11+1,'第12章(クラスター)'!Q11+'第12章(クラスター)'!Q10+'第12章(クラスター)'!R11+'第12章(クラスター)'!Q12+'第12章(クラスター)'!P11+1)</f>
        <v>1</v>
      </c>
      <c r="R11" s="38">
        <f ca="1">INDEX('第12章(ルール)'!$C$3:$H$4,'第12章(媒質)'!R11+1,'第12章(クラスター)'!R11+'第12章(クラスター)'!R10+'第12章(クラスター)'!S11+'第12章(クラスター)'!R12+'第12章(クラスター)'!Q11+1)</f>
        <v>1</v>
      </c>
      <c r="S11" s="38">
        <f ca="1">INDEX('第12章(ルール)'!$C$3:$H$4,'第12章(媒質)'!S11+1,'第12章(クラスター)'!S11+'第12章(クラスター)'!S10+'第12章(クラスター)'!T11+'第12章(クラスター)'!S12+'第12章(クラスター)'!R11+1)</f>
        <v>1</v>
      </c>
      <c r="T11" s="38">
        <f ca="1">INDEX('第12章(ルール)'!$C$3:$H$4,'第12章(媒質)'!T11+1,'第12章(クラスター)'!T11+'第12章(クラスター)'!T10+'第12章(クラスター)'!U11+'第12章(クラスター)'!T12+'第12章(クラスター)'!S11+1)</f>
        <v>1</v>
      </c>
      <c r="U11" s="38">
        <f ca="1">INDEX('第12章(ルール)'!$C$3:$H$4,'第12章(媒質)'!U11+1,'第12章(クラスター)'!U11+'第12章(クラスター)'!U10+'第12章(クラスター)'!V11+'第12章(クラスター)'!U12+'第12章(クラスター)'!T11+1)</f>
        <v>1</v>
      </c>
      <c r="V11" s="38">
        <f ca="1">INDEX('第12章(ルール)'!$C$3:$H$4,'第12章(媒質)'!V11+1,'第12章(クラスター)'!V11+'第12章(クラスター)'!V10+'第12章(クラスター)'!W11+'第12章(クラスター)'!V12+'第12章(クラスター)'!U11+1)</f>
        <v>1</v>
      </c>
    </row>
    <row r="12" spans="2:22" ht="12" customHeight="1" x14ac:dyDescent="0.15">
      <c r="B12" s="38">
        <f ca="1">INDEX('第12章(ルール)'!$C$3:$H$4,'第12章(媒質)'!B12+1,'第12章(クラスター)'!B12+'第12章(クラスター)'!B11+'第12章(クラスター)'!C12+'第12章(クラスター)'!B13+'第12章(クラスター)'!A12+1)</f>
        <v>1</v>
      </c>
      <c r="C12" s="38">
        <f ca="1">INDEX('第12章(ルール)'!$C$3:$H$4,'第12章(媒質)'!C12+1,'第12章(クラスター)'!C12+'第12章(クラスター)'!C11+'第12章(クラスター)'!D12+'第12章(クラスター)'!C13+'第12章(クラスター)'!B12+1)</f>
        <v>0</v>
      </c>
      <c r="D12" s="38">
        <f ca="1">INDEX('第12章(ルール)'!$C$3:$H$4,'第12章(媒質)'!D12+1,'第12章(クラスター)'!D12+'第12章(クラスター)'!D11+'第12章(クラスター)'!E12+'第12章(クラスター)'!D13+'第12章(クラスター)'!C12+1)</f>
        <v>1</v>
      </c>
      <c r="E12" s="38">
        <f ca="1">INDEX('第12章(ルール)'!$C$3:$H$4,'第12章(媒質)'!E12+1,'第12章(クラスター)'!E12+'第12章(クラスター)'!E11+'第12章(クラスター)'!F12+'第12章(クラスター)'!E13+'第12章(クラスター)'!D12+1)</f>
        <v>1</v>
      </c>
      <c r="F12" s="38">
        <f ca="1">INDEX('第12章(ルール)'!$C$3:$H$4,'第12章(媒質)'!F12+1,'第12章(クラスター)'!F12+'第12章(クラスター)'!F11+'第12章(クラスター)'!G12+'第12章(クラスター)'!F13+'第12章(クラスター)'!E12+1)</f>
        <v>1</v>
      </c>
      <c r="G12" s="38">
        <f ca="1">INDEX('第12章(ルール)'!$C$3:$H$4,'第12章(媒質)'!G12+1,'第12章(クラスター)'!G12+'第12章(クラスター)'!G11+'第12章(クラスター)'!H12+'第12章(クラスター)'!G13+'第12章(クラスター)'!F12+1)</f>
        <v>1</v>
      </c>
      <c r="H12" s="38">
        <f ca="1">INDEX('第12章(ルール)'!$C$3:$H$4,'第12章(媒質)'!H12+1,'第12章(クラスター)'!H12+'第12章(クラスター)'!H11+'第12章(クラスター)'!I12+'第12章(クラスター)'!H13+'第12章(クラスター)'!G12+1)</f>
        <v>1</v>
      </c>
      <c r="I12" s="38">
        <f ca="1">INDEX('第12章(ルール)'!$C$3:$H$4,'第12章(媒質)'!I12+1,'第12章(クラスター)'!I12+'第12章(クラスター)'!I11+'第12章(クラスター)'!J12+'第12章(クラスター)'!I13+'第12章(クラスター)'!H12+1)</f>
        <v>1</v>
      </c>
      <c r="J12" s="38">
        <f ca="1">INDEX('第12章(ルール)'!$C$3:$H$4,'第12章(媒質)'!J12+1,'第12章(クラスター)'!J12+'第12章(クラスター)'!J11+'第12章(クラスター)'!K12+'第12章(クラスター)'!J13+'第12章(クラスター)'!I12+1)</f>
        <v>1</v>
      </c>
      <c r="K12" s="38">
        <f ca="1">INDEX('第12章(ルール)'!$C$3:$H$4,'第12章(媒質)'!K12+1,'第12章(クラスター)'!K12+'第12章(クラスター)'!K11+'第12章(クラスター)'!L12+'第12章(クラスター)'!K13+'第12章(クラスター)'!J12+1)</f>
        <v>1</v>
      </c>
      <c r="L12" s="38">
        <f>INDEX('第12章(ルール)'!$C$3:$H$4,'第12章(媒質)'!L12+1,'第12章(クラスター)'!L12+'第12章(クラスター)'!L11+'第12章(クラスター)'!M12+'第12章(クラスター)'!L13+'第12章(クラスター)'!K12+1)</f>
        <v>1</v>
      </c>
      <c r="M12" s="38">
        <f ca="1">INDEX('第12章(ルール)'!$C$3:$H$4,'第12章(媒質)'!M12+1,'第12章(クラスター)'!M12+'第12章(クラスター)'!M11+'第12章(クラスター)'!N12+'第12章(クラスター)'!M13+'第12章(クラスター)'!L12+1)</f>
        <v>0</v>
      </c>
      <c r="N12" s="38">
        <f ca="1">INDEX('第12章(ルール)'!$C$3:$H$4,'第12章(媒質)'!N12+1,'第12章(クラスター)'!N12+'第12章(クラスター)'!N11+'第12章(クラスター)'!O12+'第12章(クラスター)'!N13+'第12章(クラスター)'!M12+1)</f>
        <v>1</v>
      </c>
      <c r="O12" s="38">
        <f ca="1">INDEX('第12章(ルール)'!$C$3:$H$4,'第12章(媒質)'!O12+1,'第12章(クラスター)'!O12+'第12章(クラスター)'!O11+'第12章(クラスター)'!P12+'第12章(クラスター)'!O13+'第12章(クラスター)'!N12+1)</f>
        <v>1</v>
      </c>
      <c r="P12" s="38">
        <f ca="1">INDEX('第12章(ルール)'!$C$3:$H$4,'第12章(媒質)'!P12+1,'第12章(クラスター)'!P12+'第12章(クラスター)'!P11+'第12章(クラスター)'!Q12+'第12章(クラスター)'!P13+'第12章(クラスター)'!O12+1)</f>
        <v>1</v>
      </c>
      <c r="Q12" s="38">
        <f ca="1">INDEX('第12章(ルール)'!$C$3:$H$4,'第12章(媒質)'!Q12+1,'第12章(クラスター)'!Q12+'第12章(クラスター)'!Q11+'第12章(クラスター)'!R12+'第12章(クラスター)'!Q13+'第12章(クラスター)'!P12+1)</f>
        <v>1</v>
      </c>
      <c r="R12" s="38">
        <f ca="1">INDEX('第12章(ルール)'!$C$3:$H$4,'第12章(媒質)'!R12+1,'第12章(クラスター)'!R12+'第12章(クラスター)'!R11+'第12章(クラスター)'!S12+'第12章(クラスター)'!R13+'第12章(クラスター)'!Q12+1)</f>
        <v>1</v>
      </c>
      <c r="S12" s="38">
        <f ca="1">INDEX('第12章(ルール)'!$C$3:$H$4,'第12章(媒質)'!S12+1,'第12章(クラスター)'!S12+'第12章(クラスター)'!S11+'第12章(クラスター)'!T12+'第12章(クラスター)'!S13+'第12章(クラスター)'!R12+1)</f>
        <v>1</v>
      </c>
      <c r="T12" s="38">
        <f ca="1">INDEX('第12章(ルール)'!$C$3:$H$4,'第12章(媒質)'!T12+1,'第12章(クラスター)'!T12+'第12章(クラスター)'!T11+'第12章(クラスター)'!U12+'第12章(クラスター)'!T13+'第12章(クラスター)'!S12+1)</f>
        <v>0</v>
      </c>
      <c r="U12" s="38">
        <f ca="1">INDEX('第12章(ルール)'!$C$3:$H$4,'第12章(媒質)'!U12+1,'第12章(クラスター)'!U12+'第12章(クラスター)'!U11+'第12章(クラスター)'!V12+'第12章(クラスター)'!U13+'第12章(クラスター)'!T12+1)</f>
        <v>1</v>
      </c>
      <c r="V12" s="38">
        <f ca="1">INDEX('第12章(ルール)'!$C$3:$H$4,'第12章(媒質)'!V12+1,'第12章(クラスター)'!V12+'第12章(クラスター)'!V11+'第12章(クラスター)'!W12+'第12章(クラスター)'!V13+'第12章(クラスター)'!U12+1)</f>
        <v>1</v>
      </c>
    </row>
    <row r="13" spans="2:22" ht="12" customHeight="1" x14ac:dyDescent="0.15">
      <c r="B13" s="38">
        <f ca="1">INDEX('第12章(ルール)'!$C$3:$H$4,'第12章(媒質)'!B13+1,'第12章(クラスター)'!B13+'第12章(クラスター)'!B12+'第12章(クラスター)'!C13+'第12章(クラスター)'!B14+'第12章(クラスター)'!A13+1)</f>
        <v>1</v>
      </c>
      <c r="C13" s="38">
        <f ca="1">INDEX('第12章(ルール)'!$C$3:$H$4,'第12章(媒質)'!C13+1,'第12章(クラスター)'!C13+'第12章(クラスター)'!C12+'第12章(クラスター)'!D13+'第12章(クラスター)'!C14+'第12章(クラスター)'!B13+1)</f>
        <v>1</v>
      </c>
      <c r="D13" s="38">
        <f ca="1">INDEX('第12章(ルール)'!$C$3:$H$4,'第12章(媒質)'!D13+1,'第12章(クラスター)'!D13+'第12章(クラスター)'!D12+'第12章(クラスター)'!E13+'第12章(クラスター)'!D14+'第12章(クラスター)'!C13+1)</f>
        <v>1</v>
      </c>
      <c r="E13" s="38">
        <f ca="1">INDEX('第12章(ルール)'!$C$3:$H$4,'第12章(媒質)'!E13+1,'第12章(クラスター)'!E13+'第12章(クラスター)'!E12+'第12章(クラスター)'!F13+'第12章(クラスター)'!E14+'第12章(クラスター)'!D13+1)</f>
        <v>1</v>
      </c>
      <c r="F13" s="38">
        <f ca="1">INDEX('第12章(ルール)'!$C$3:$H$4,'第12章(媒質)'!F13+1,'第12章(クラスター)'!F13+'第12章(クラスター)'!F12+'第12章(クラスター)'!G13+'第12章(クラスター)'!F14+'第12章(クラスター)'!E13+1)</f>
        <v>1</v>
      </c>
      <c r="G13" s="38">
        <f ca="1">INDEX('第12章(ルール)'!$C$3:$H$4,'第12章(媒質)'!G13+1,'第12章(クラスター)'!G13+'第12章(クラスター)'!G12+'第12章(クラスター)'!H13+'第12章(クラスター)'!G14+'第12章(クラスター)'!F13+1)</f>
        <v>1</v>
      </c>
      <c r="H13" s="38">
        <f ca="1">INDEX('第12章(ルール)'!$C$3:$H$4,'第12章(媒質)'!H13+1,'第12章(クラスター)'!H13+'第12章(クラスター)'!H12+'第12章(クラスター)'!I13+'第12章(クラスター)'!H14+'第12章(クラスター)'!G13+1)</f>
        <v>1</v>
      </c>
      <c r="I13" s="38">
        <f ca="1">INDEX('第12章(ルール)'!$C$3:$H$4,'第12章(媒質)'!I13+1,'第12章(クラスター)'!I13+'第12章(クラスター)'!I12+'第12章(クラスター)'!J13+'第12章(クラスター)'!I14+'第12章(クラスター)'!H13+1)</f>
        <v>1</v>
      </c>
      <c r="J13" s="38">
        <f ca="1">INDEX('第12章(ルール)'!$C$3:$H$4,'第12章(媒質)'!J13+1,'第12章(クラスター)'!J13+'第12章(クラスター)'!J12+'第12章(クラスター)'!K13+'第12章(クラスター)'!J14+'第12章(クラスター)'!I13+1)</f>
        <v>1</v>
      </c>
      <c r="K13" s="38">
        <f ca="1">INDEX('第12章(ルール)'!$C$3:$H$4,'第12章(媒質)'!K13+1,'第12章(クラスター)'!K13+'第12章(クラスター)'!K12+'第12章(クラスター)'!L13+'第12章(クラスター)'!K14+'第12章(クラスター)'!J13+1)</f>
        <v>1</v>
      </c>
      <c r="L13" s="38">
        <f ca="1">INDEX('第12章(ルール)'!$C$3:$H$4,'第12章(媒質)'!L13+1,'第12章(クラスター)'!L13+'第12章(クラスター)'!L12+'第12章(クラスター)'!M13+'第12章(クラスター)'!L14+'第12章(クラスター)'!K13+1)</f>
        <v>1</v>
      </c>
      <c r="M13" s="38">
        <f ca="1">INDEX('第12章(ルール)'!$C$3:$H$4,'第12章(媒質)'!M13+1,'第12章(クラスター)'!M13+'第12章(クラスター)'!M12+'第12章(クラスター)'!N13+'第12章(クラスター)'!M14+'第12章(クラスター)'!L13+1)</f>
        <v>1</v>
      </c>
      <c r="N13" s="38">
        <f ca="1">INDEX('第12章(ルール)'!$C$3:$H$4,'第12章(媒質)'!N13+1,'第12章(クラスター)'!N13+'第12章(クラスター)'!N12+'第12章(クラスター)'!O13+'第12章(クラスター)'!N14+'第12章(クラスター)'!M13+1)</f>
        <v>0</v>
      </c>
      <c r="O13" s="38">
        <f ca="1">INDEX('第12章(ルール)'!$C$3:$H$4,'第12章(媒質)'!O13+1,'第12章(クラスター)'!O13+'第12章(クラスター)'!O12+'第12章(クラスター)'!P13+'第12章(クラスター)'!O14+'第12章(クラスター)'!N13+1)</f>
        <v>1</v>
      </c>
      <c r="P13" s="38">
        <f ca="1">INDEX('第12章(ルール)'!$C$3:$H$4,'第12章(媒質)'!P13+1,'第12章(クラスター)'!P13+'第12章(クラスター)'!P12+'第12章(クラスター)'!Q13+'第12章(クラスター)'!P14+'第12章(クラスター)'!O13+1)</f>
        <v>1</v>
      </c>
      <c r="Q13" s="38">
        <f ca="1">INDEX('第12章(ルール)'!$C$3:$H$4,'第12章(媒質)'!Q13+1,'第12章(クラスター)'!Q13+'第12章(クラスター)'!Q12+'第12章(クラスター)'!R13+'第12章(クラスター)'!Q14+'第12章(クラスター)'!P13+1)</f>
        <v>1</v>
      </c>
      <c r="R13" s="38">
        <f ca="1">INDEX('第12章(ルール)'!$C$3:$H$4,'第12章(媒質)'!R13+1,'第12章(クラスター)'!R13+'第12章(クラスター)'!R12+'第12章(クラスター)'!S13+'第12章(クラスター)'!R14+'第12章(クラスター)'!Q13+1)</f>
        <v>1</v>
      </c>
      <c r="S13" s="38">
        <f ca="1">INDEX('第12章(ルール)'!$C$3:$H$4,'第12章(媒質)'!S13+1,'第12章(クラスター)'!S13+'第12章(クラスター)'!S12+'第12章(クラスター)'!T13+'第12章(クラスター)'!S14+'第12章(クラスター)'!R13+1)</f>
        <v>1</v>
      </c>
      <c r="T13" s="38">
        <f ca="1">INDEX('第12章(ルール)'!$C$3:$H$4,'第12章(媒質)'!T13+1,'第12章(クラスター)'!T13+'第12章(クラスター)'!T12+'第12章(クラスター)'!U13+'第12章(クラスター)'!T14+'第12章(クラスター)'!S13+1)</f>
        <v>1</v>
      </c>
      <c r="U13" s="38">
        <f ca="1">INDEX('第12章(ルール)'!$C$3:$H$4,'第12章(媒質)'!U13+1,'第12章(クラスター)'!U13+'第12章(クラスター)'!U12+'第12章(クラスター)'!V13+'第12章(クラスター)'!U14+'第12章(クラスター)'!T13+1)</f>
        <v>1</v>
      </c>
      <c r="V13" s="38">
        <f ca="1">INDEX('第12章(ルール)'!$C$3:$H$4,'第12章(媒質)'!V13+1,'第12章(クラスター)'!V13+'第12章(クラスター)'!V12+'第12章(クラスター)'!W13+'第12章(クラスター)'!V14+'第12章(クラスター)'!U13+1)</f>
        <v>1</v>
      </c>
    </row>
    <row r="14" spans="2:22" ht="12" customHeight="1" x14ac:dyDescent="0.15">
      <c r="B14" s="38">
        <f ca="1">INDEX('第12章(ルール)'!$C$3:$H$4,'第12章(媒質)'!B14+1,'第12章(クラスター)'!B14+'第12章(クラスター)'!B13+'第12章(クラスター)'!C14+'第12章(クラスター)'!B15+'第12章(クラスター)'!A14+1)</f>
        <v>1</v>
      </c>
      <c r="C14" s="38">
        <f ca="1">INDEX('第12章(ルール)'!$C$3:$H$4,'第12章(媒質)'!C14+1,'第12章(クラスター)'!C14+'第12章(クラスター)'!C13+'第12章(クラスター)'!D14+'第12章(クラスター)'!C15+'第12章(クラスター)'!B14+1)</f>
        <v>1</v>
      </c>
      <c r="D14" s="38">
        <f ca="1">INDEX('第12章(ルール)'!$C$3:$H$4,'第12章(媒質)'!D14+1,'第12章(クラスター)'!D14+'第12章(クラスター)'!D13+'第12章(クラスター)'!E14+'第12章(クラスター)'!D15+'第12章(クラスター)'!C14+1)</f>
        <v>1</v>
      </c>
      <c r="E14" s="38">
        <f ca="1">INDEX('第12章(ルール)'!$C$3:$H$4,'第12章(媒質)'!E14+1,'第12章(クラスター)'!E14+'第12章(クラスター)'!E13+'第12章(クラスター)'!F14+'第12章(クラスター)'!E15+'第12章(クラスター)'!D14+1)</f>
        <v>1</v>
      </c>
      <c r="F14" s="38">
        <f ca="1">INDEX('第12章(ルール)'!$C$3:$H$4,'第12章(媒質)'!F14+1,'第12章(クラスター)'!F14+'第12章(クラスター)'!F13+'第12章(クラスター)'!G14+'第12章(クラスター)'!F15+'第12章(クラスター)'!E14+1)</f>
        <v>1</v>
      </c>
      <c r="G14" s="38">
        <f ca="1">INDEX('第12章(ルール)'!$C$3:$H$4,'第12章(媒質)'!G14+1,'第12章(クラスター)'!G14+'第12章(クラスター)'!G13+'第12章(クラスター)'!H14+'第12章(クラスター)'!G15+'第12章(クラスター)'!F14+1)</f>
        <v>1</v>
      </c>
      <c r="H14" s="38">
        <f ca="1">INDEX('第12章(ルール)'!$C$3:$H$4,'第12章(媒質)'!H14+1,'第12章(クラスター)'!H14+'第12章(クラスター)'!H13+'第12章(クラスター)'!I14+'第12章(クラスター)'!H15+'第12章(クラスター)'!G14+1)</f>
        <v>1</v>
      </c>
      <c r="I14" s="38">
        <f ca="1">INDEX('第12章(ルール)'!$C$3:$H$4,'第12章(媒質)'!I14+1,'第12章(クラスター)'!I14+'第12章(クラスター)'!I13+'第12章(クラスター)'!J14+'第12章(クラスター)'!I15+'第12章(クラスター)'!H14+1)</f>
        <v>1</v>
      </c>
      <c r="J14" s="38">
        <f ca="1">INDEX('第12章(ルール)'!$C$3:$H$4,'第12章(媒質)'!J14+1,'第12章(クラスター)'!J14+'第12章(クラスター)'!J13+'第12章(クラスター)'!K14+'第12章(クラスター)'!J15+'第12章(クラスター)'!I14+1)</f>
        <v>1</v>
      </c>
      <c r="K14" s="38">
        <f ca="1">INDEX('第12章(ルール)'!$C$3:$H$4,'第12章(媒質)'!K14+1,'第12章(クラスター)'!K14+'第12章(クラスター)'!K13+'第12章(クラスター)'!L14+'第12章(クラスター)'!K15+'第12章(クラスター)'!J14+1)</f>
        <v>1</v>
      </c>
      <c r="L14" s="38">
        <f ca="1">INDEX('第12章(ルール)'!$C$3:$H$4,'第12章(媒質)'!L14+1,'第12章(クラスター)'!L14+'第12章(クラスター)'!L13+'第12章(クラスター)'!M14+'第12章(クラスター)'!L15+'第12章(クラスター)'!K14+1)</f>
        <v>1</v>
      </c>
      <c r="M14" s="38">
        <f ca="1">INDEX('第12章(ルール)'!$C$3:$H$4,'第12章(媒質)'!M14+1,'第12章(クラスター)'!M14+'第12章(クラスター)'!M13+'第12章(クラスター)'!N14+'第12章(クラスター)'!M15+'第12章(クラスター)'!L14+1)</f>
        <v>1</v>
      </c>
      <c r="N14" s="38">
        <f ca="1">INDEX('第12章(ルール)'!$C$3:$H$4,'第12章(媒質)'!N14+1,'第12章(クラスター)'!N14+'第12章(クラスター)'!N13+'第12章(クラスター)'!O14+'第12章(クラスター)'!N15+'第12章(クラスター)'!M14+1)</f>
        <v>0</v>
      </c>
      <c r="O14" s="38">
        <f ca="1">INDEX('第12章(ルール)'!$C$3:$H$4,'第12章(媒質)'!O14+1,'第12章(クラスター)'!O14+'第12章(クラスター)'!O13+'第12章(クラスター)'!P14+'第12章(クラスター)'!O15+'第12章(クラスター)'!N14+1)</f>
        <v>1</v>
      </c>
      <c r="P14" s="38">
        <f ca="1">INDEX('第12章(ルール)'!$C$3:$H$4,'第12章(媒質)'!P14+1,'第12章(クラスター)'!P14+'第12章(クラスター)'!P13+'第12章(クラスター)'!Q14+'第12章(クラスター)'!P15+'第12章(クラスター)'!O14+1)</f>
        <v>1</v>
      </c>
      <c r="Q14" s="38">
        <f ca="1">INDEX('第12章(ルール)'!$C$3:$H$4,'第12章(媒質)'!Q14+1,'第12章(クラスター)'!Q14+'第12章(クラスター)'!Q13+'第12章(クラスター)'!R14+'第12章(クラスター)'!Q15+'第12章(クラスター)'!P14+1)</f>
        <v>1</v>
      </c>
      <c r="R14" s="38">
        <f ca="1">INDEX('第12章(ルール)'!$C$3:$H$4,'第12章(媒質)'!R14+1,'第12章(クラスター)'!R14+'第12章(クラスター)'!R13+'第12章(クラスター)'!S14+'第12章(クラスター)'!R15+'第12章(クラスター)'!Q14+1)</f>
        <v>1</v>
      </c>
      <c r="S14" s="38">
        <f ca="1">INDEX('第12章(ルール)'!$C$3:$H$4,'第12章(媒質)'!S14+1,'第12章(クラスター)'!S14+'第12章(クラスター)'!S13+'第12章(クラスター)'!T14+'第12章(クラスター)'!S15+'第12章(クラスター)'!R14+1)</f>
        <v>1</v>
      </c>
      <c r="T14" s="38">
        <f ca="1">INDEX('第12章(ルール)'!$C$3:$H$4,'第12章(媒質)'!T14+1,'第12章(クラスター)'!T14+'第12章(クラスター)'!T13+'第12章(クラスター)'!U14+'第12章(クラスター)'!T15+'第12章(クラスター)'!S14+1)</f>
        <v>1</v>
      </c>
      <c r="U14" s="38">
        <f ca="1">INDEX('第12章(ルール)'!$C$3:$H$4,'第12章(媒質)'!U14+1,'第12章(クラスター)'!U14+'第12章(クラスター)'!U13+'第12章(クラスター)'!V14+'第12章(クラスター)'!U15+'第12章(クラスター)'!T14+1)</f>
        <v>1</v>
      </c>
      <c r="V14" s="38">
        <f ca="1">INDEX('第12章(ルール)'!$C$3:$H$4,'第12章(媒質)'!V14+1,'第12章(クラスター)'!V14+'第12章(クラスター)'!V13+'第12章(クラスター)'!W14+'第12章(クラスター)'!V15+'第12章(クラスター)'!U14+1)</f>
        <v>1</v>
      </c>
    </row>
    <row r="15" spans="2:22" ht="12" customHeight="1" x14ac:dyDescent="0.15">
      <c r="B15" s="38">
        <f ca="1">INDEX('第12章(ルール)'!$C$3:$H$4,'第12章(媒質)'!B15+1,'第12章(クラスター)'!B15+'第12章(クラスター)'!B14+'第12章(クラスター)'!C15+'第12章(クラスター)'!B16+'第12章(クラスター)'!A15+1)</f>
        <v>1</v>
      </c>
      <c r="C15" s="38">
        <f ca="1">INDEX('第12章(ルール)'!$C$3:$H$4,'第12章(媒質)'!C15+1,'第12章(クラスター)'!C15+'第12章(クラスター)'!C14+'第12章(クラスター)'!D15+'第12章(クラスター)'!C16+'第12章(クラスター)'!B15+1)</f>
        <v>1</v>
      </c>
      <c r="D15" s="38">
        <f ca="1">INDEX('第12章(ルール)'!$C$3:$H$4,'第12章(媒質)'!D15+1,'第12章(クラスター)'!D15+'第12章(クラスター)'!D14+'第12章(クラスター)'!E15+'第12章(クラスター)'!D16+'第12章(クラスター)'!C15+1)</f>
        <v>0</v>
      </c>
      <c r="E15" s="38">
        <f ca="1">INDEX('第12章(ルール)'!$C$3:$H$4,'第12章(媒質)'!E15+1,'第12章(クラスター)'!E15+'第12章(クラスター)'!E14+'第12章(クラスター)'!F15+'第12章(クラスター)'!E16+'第12章(クラスター)'!D15+1)</f>
        <v>1</v>
      </c>
      <c r="F15" s="38">
        <f ca="1">INDEX('第12章(ルール)'!$C$3:$H$4,'第12章(媒質)'!F15+1,'第12章(クラスター)'!F15+'第12章(クラスター)'!F14+'第12章(クラスター)'!G15+'第12章(クラスター)'!F16+'第12章(クラスター)'!E15+1)</f>
        <v>1</v>
      </c>
      <c r="G15" s="38">
        <f ca="1">INDEX('第12章(ルール)'!$C$3:$H$4,'第12章(媒質)'!G15+1,'第12章(クラスター)'!G15+'第12章(クラスター)'!G14+'第12章(クラスター)'!H15+'第12章(クラスター)'!G16+'第12章(クラスター)'!F15+1)</f>
        <v>1</v>
      </c>
      <c r="H15" s="38">
        <f ca="1">INDEX('第12章(ルール)'!$C$3:$H$4,'第12章(媒質)'!H15+1,'第12章(クラスター)'!H15+'第12章(クラスター)'!H14+'第12章(クラスター)'!I15+'第12章(クラスター)'!H16+'第12章(クラスター)'!G15+1)</f>
        <v>0</v>
      </c>
      <c r="I15" s="38">
        <f ca="1">INDEX('第12章(ルール)'!$C$3:$H$4,'第12章(媒質)'!I15+1,'第12章(クラスター)'!I15+'第12章(クラスター)'!I14+'第12章(クラスター)'!J15+'第12章(クラスター)'!I16+'第12章(クラスター)'!H15+1)</f>
        <v>1</v>
      </c>
      <c r="J15" s="38">
        <f ca="1">INDEX('第12章(ルール)'!$C$3:$H$4,'第12章(媒質)'!J15+1,'第12章(クラスター)'!J15+'第12章(クラスター)'!J14+'第12章(クラスター)'!K15+'第12章(クラスター)'!J16+'第12章(クラスター)'!I15+1)</f>
        <v>1</v>
      </c>
      <c r="K15" s="38">
        <f ca="1">INDEX('第12章(ルール)'!$C$3:$H$4,'第12章(媒質)'!K15+1,'第12章(クラスター)'!K15+'第12章(クラスター)'!K14+'第12章(クラスター)'!L15+'第12章(クラスター)'!K16+'第12章(クラスター)'!J15+1)</f>
        <v>1</v>
      </c>
      <c r="L15" s="38">
        <f ca="1">INDEX('第12章(ルール)'!$C$3:$H$4,'第12章(媒質)'!L15+1,'第12章(クラスター)'!L15+'第12章(クラスター)'!L14+'第12章(クラスター)'!M15+'第12章(クラスター)'!L16+'第12章(クラスター)'!K15+1)</f>
        <v>1</v>
      </c>
      <c r="M15" s="38">
        <f ca="1">INDEX('第12章(ルール)'!$C$3:$H$4,'第12章(媒質)'!M15+1,'第12章(クラスター)'!M15+'第12章(クラスター)'!M14+'第12章(クラスター)'!N15+'第12章(クラスター)'!M16+'第12章(クラスター)'!L15+1)</f>
        <v>1</v>
      </c>
      <c r="N15" s="38">
        <f ca="1">INDEX('第12章(ルール)'!$C$3:$H$4,'第12章(媒質)'!N15+1,'第12章(クラスター)'!N15+'第12章(クラスター)'!N14+'第12章(クラスター)'!O15+'第12章(クラスター)'!N16+'第12章(クラスター)'!M15+1)</f>
        <v>1</v>
      </c>
      <c r="O15" s="38">
        <f ca="1">INDEX('第12章(ルール)'!$C$3:$H$4,'第12章(媒質)'!O15+1,'第12章(クラスター)'!O15+'第12章(クラスター)'!O14+'第12章(クラスター)'!P15+'第12章(クラスター)'!O16+'第12章(クラスター)'!N15+1)</f>
        <v>1</v>
      </c>
      <c r="P15" s="38">
        <f ca="1">INDEX('第12章(ルール)'!$C$3:$H$4,'第12章(媒質)'!P15+1,'第12章(クラスター)'!P15+'第12章(クラスター)'!P14+'第12章(クラスター)'!Q15+'第12章(クラスター)'!P16+'第12章(クラスター)'!O15+1)</f>
        <v>1</v>
      </c>
      <c r="Q15" s="38">
        <f ca="1">INDEX('第12章(ルール)'!$C$3:$H$4,'第12章(媒質)'!Q15+1,'第12章(クラスター)'!Q15+'第12章(クラスター)'!Q14+'第12章(クラスター)'!R15+'第12章(クラスター)'!Q16+'第12章(クラスター)'!P15+1)</f>
        <v>1</v>
      </c>
      <c r="R15" s="38">
        <f ca="1">INDEX('第12章(ルール)'!$C$3:$H$4,'第12章(媒質)'!R15+1,'第12章(クラスター)'!R15+'第12章(クラスター)'!R14+'第12章(クラスター)'!S15+'第12章(クラスター)'!R16+'第12章(クラスター)'!Q15+1)</f>
        <v>1</v>
      </c>
      <c r="S15" s="38">
        <f ca="1">INDEX('第12章(ルール)'!$C$3:$H$4,'第12章(媒質)'!S15+1,'第12章(クラスター)'!S15+'第12章(クラスター)'!S14+'第12章(クラスター)'!T15+'第12章(クラスター)'!S16+'第12章(クラスター)'!R15+1)</f>
        <v>1</v>
      </c>
      <c r="T15" s="38">
        <f ca="1">INDEX('第12章(ルール)'!$C$3:$H$4,'第12章(媒質)'!T15+1,'第12章(クラスター)'!T15+'第12章(クラスター)'!T14+'第12章(クラスター)'!U15+'第12章(クラスター)'!T16+'第12章(クラスター)'!S15+1)</f>
        <v>1</v>
      </c>
      <c r="U15" s="38">
        <f ca="1">INDEX('第12章(ルール)'!$C$3:$H$4,'第12章(媒質)'!U15+1,'第12章(クラスター)'!U15+'第12章(クラスター)'!U14+'第12章(クラスター)'!V15+'第12章(クラスター)'!U16+'第12章(クラスター)'!T15+1)</f>
        <v>1</v>
      </c>
      <c r="V15" s="38">
        <f ca="1">INDEX('第12章(ルール)'!$C$3:$H$4,'第12章(媒質)'!V15+1,'第12章(クラスター)'!V15+'第12章(クラスター)'!V14+'第12章(クラスター)'!W15+'第12章(クラスター)'!V16+'第12章(クラスター)'!U15+1)</f>
        <v>1</v>
      </c>
    </row>
    <row r="16" spans="2:22" ht="12" customHeight="1" x14ac:dyDescent="0.15">
      <c r="B16" s="38">
        <f ca="1">INDEX('第12章(ルール)'!$C$3:$H$4,'第12章(媒質)'!B16+1,'第12章(クラスター)'!B16+'第12章(クラスター)'!B15+'第12章(クラスター)'!C16+'第12章(クラスター)'!B17+'第12章(クラスター)'!A16+1)</f>
        <v>1</v>
      </c>
      <c r="C16" s="38">
        <f ca="1">INDEX('第12章(ルール)'!$C$3:$H$4,'第12章(媒質)'!C16+1,'第12章(クラスター)'!C16+'第12章(クラスター)'!C15+'第12章(クラスター)'!D16+'第12章(クラスター)'!C17+'第12章(クラスター)'!B16+1)</f>
        <v>1</v>
      </c>
      <c r="D16" s="38">
        <f ca="1">INDEX('第12章(ルール)'!$C$3:$H$4,'第12章(媒質)'!D16+1,'第12章(クラスター)'!D16+'第12章(クラスター)'!D15+'第12章(クラスター)'!E16+'第12章(クラスター)'!D17+'第12章(クラスター)'!C16+1)</f>
        <v>1</v>
      </c>
      <c r="E16" s="38">
        <f ca="1">INDEX('第12章(ルール)'!$C$3:$H$4,'第12章(媒質)'!E16+1,'第12章(クラスター)'!E16+'第12章(クラスター)'!E15+'第12章(クラスター)'!F16+'第12章(クラスター)'!E17+'第12章(クラスター)'!D16+1)</f>
        <v>1</v>
      </c>
      <c r="F16" s="38">
        <f ca="1">INDEX('第12章(ルール)'!$C$3:$H$4,'第12章(媒質)'!F16+1,'第12章(クラスター)'!F16+'第12章(クラスター)'!F15+'第12章(クラスター)'!G16+'第12章(クラスター)'!F17+'第12章(クラスター)'!E16+1)</f>
        <v>1</v>
      </c>
      <c r="G16" s="38">
        <f ca="1">INDEX('第12章(ルール)'!$C$3:$H$4,'第12章(媒質)'!G16+1,'第12章(クラスター)'!G16+'第12章(クラスター)'!G15+'第12章(クラスター)'!H16+'第12章(クラスター)'!G17+'第12章(クラスター)'!F16+1)</f>
        <v>1</v>
      </c>
      <c r="H16" s="38">
        <f ca="1">INDEX('第12章(ルール)'!$C$3:$H$4,'第12章(媒質)'!H16+1,'第12章(クラスター)'!H16+'第12章(クラスター)'!H15+'第12章(クラスター)'!I16+'第12章(クラスター)'!H17+'第12章(クラスター)'!G16+1)</f>
        <v>1</v>
      </c>
      <c r="I16" s="38">
        <f ca="1">INDEX('第12章(ルール)'!$C$3:$H$4,'第12章(媒質)'!I16+1,'第12章(クラスター)'!I16+'第12章(クラスター)'!I15+'第12章(クラスター)'!J16+'第12章(クラスター)'!I17+'第12章(クラスター)'!H16+1)</f>
        <v>1</v>
      </c>
      <c r="J16" s="38">
        <f ca="1">INDEX('第12章(ルール)'!$C$3:$H$4,'第12章(媒質)'!J16+1,'第12章(クラスター)'!J16+'第12章(クラスター)'!J15+'第12章(クラスター)'!K16+'第12章(クラスター)'!J17+'第12章(クラスター)'!I16+1)</f>
        <v>1</v>
      </c>
      <c r="K16" s="38">
        <f ca="1">INDEX('第12章(ルール)'!$C$3:$H$4,'第12章(媒質)'!K16+1,'第12章(クラスター)'!K16+'第12章(クラスター)'!K15+'第12章(クラスター)'!L16+'第12章(クラスター)'!K17+'第12章(クラスター)'!J16+1)</f>
        <v>1</v>
      </c>
      <c r="L16" s="38">
        <f ca="1">INDEX('第12章(ルール)'!$C$3:$H$4,'第12章(媒質)'!L16+1,'第12章(クラスター)'!L16+'第12章(クラスター)'!L15+'第12章(クラスター)'!M16+'第12章(クラスター)'!L17+'第12章(クラスター)'!K16+1)</f>
        <v>1</v>
      </c>
      <c r="M16" s="38">
        <f ca="1">INDEX('第12章(ルール)'!$C$3:$H$4,'第12章(媒質)'!M16+1,'第12章(クラスター)'!M16+'第12章(クラスター)'!M15+'第12章(クラスター)'!N16+'第12章(クラスター)'!M17+'第12章(クラスター)'!L16+1)</f>
        <v>0</v>
      </c>
      <c r="N16" s="38">
        <f ca="1">INDEX('第12章(ルール)'!$C$3:$H$4,'第12章(媒質)'!N16+1,'第12章(クラスター)'!N16+'第12章(クラスター)'!N15+'第12章(クラスター)'!O16+'第12章(クラスター)'!N17+'第12章(クラスター)'!M16+1)</f>
        <v>1</v>
      </c>
      <c r="O16" s="38">
        <f ca="1">INDEX('第12章(ルール)'!$C$3:$H$4,'第12章(媒質)'!O16+1,'第12章(クラスター)'!O16+'第12章(クラスター)'!O15+'第12章(クラスター)'!P16+'第12章(クラスター)'!O17+'第12章(クラスター)'!N16+1)</f>
        <v>1</v>
      </c>
      <c r="P16" s="38">
        <f ca="1">INDEX('第12章(ルール)'!$C$3:$H$4,'第12章(媒質)'!P16+1,'第12章(クラスター)'!P16+'第12章(クラスター)'!P15+'第12章(クラスター)'!Q16+'第12章(クラスター)'!P17+'第12章(クラスター)'!O16+1)</f>
        <v>1</v>
      </c>
      <c r="Q16" s="38">
        <f ca="1">INDEX('第12章(ルール)'!$C$3:$H$4,'第12章(媒質)'!Q16+1,'第12章(クラスター)'!Q16+'第12章(クラスター)'!Q15+'第12章(クラスター)'!R16+'第12章(クラスター)'!Q17+'第12章(クラスター)'!P16+1)</f>
        <v>1</v>
      </c>
      <c r="R16" s="38">
        <f ca="1">INDEX('第12章(ルール)'!$C$3:$H$4,'第12章(媒質)'!R16+1,'第12章(クラスター)'!R16+'第12章(クラスター)'!R15+'第12章(クラスター)'!S16+'第12章(クラスター)'!R17+'第12章(クラスター)'!Q16+1)</f>
        <v>1</v>
      </c>
      <c r="S16" s="38">
        <f ca="1">INDEX('第12章(ルール)'!$C$3:$H$4,'第12章(媒質)'!S16+1,'第12章(クラスター)'!S16+'第12章(クラスター)'!S15+'第12章(クラスター)'!T16+'第12章(クラスター)'!S17+'第12章(クラスター)'!R16+1)</f>
        <v>1</v>
      </c>
      <c r="T16" s="38">
        <f ca="1">INDEX('第12章(ルール)'!$C$3:$H$4,'第12章(媒質)'!T16+1,'第12章(クラスター)'!T16+'第12章(クラスター)'!T15+'第12章(クラスター)'!U16+'第12章(クラスター)'!T17+'第12章(クラスター)'!S16+1)</f>
        <v>0</v>
      </c>
      <c r="U16" s="38">
        <f ca="1">INDEX('第12章(ルール)'!$C$3:$H$4,'第12章(媒質)'!U16+1,'第12章(クラスター)'!U16+'第12章(クラスター)'!U15+'第12章(クラスター)'!V16+'第12章(クラスター)'!U17+'第12章(クラスター)'!T16+1)</f>
        <v>0</v>
      </c>
      <c r="V16" s="38">
        <f ca="1">INDEX('第12章(ルール)'!$C$3:$H$4,'第12章(媒質)'!V16+1,'第12章(クラスター)'!V16+'第12章(クラスター)'!V15+'第12章(クラスター)'!W16+'第12章(クラスター)'!V17+'第12章(クラスター)'!U16+1)</f>
        <v>0</v>
      </c>
    </row>
    <row r="17" spans="2:22" ht="12" customHeight="1" x14ac:dyDescent="0.15">
      <c r="B17" s="38">
        <f ca="1">INDEX('第12章(ルール)'!$C$3:$H$4,'第12章(媒質)'!B17+1,'第12章(クラスター)'!B17+'第12章(クラスター)'!B16+'第12章(クラスター)'!C17+'第12章(クラスター)'!B18+'第12章(クラスター)'!A17+1)</f>
        <v>1</v>
      </c>
      <c r="C17" s="38">
        <f ca="1">INDEX('第12章(ルール)'!$C$3:$H$4,'第12章(媒質)'!C17+1,'第12章(クラスター)'!C17+'第12章(クラスター)'!C16+'第12章(クラスター)'!D17+'第12章(クラスター)'!C18+'第12章(クラスター)'!B17+1)</f>
        <v>1</v>
      </c>
      <c r="D17" s="38">
        <f ca="1">INDEX('第12章(ルール)'!$C$3:$H$4,'第12章(媒質)'!D17+1,'第12章(クラスター)'!D17+'第12章(クラスター)'!D16+'第12章(クラスター)'!E17+'第12章(クラスター)'!D18+'第12章(クラスター)'!C17+1)</f>
        <v>1</v>
      </c>
      <c r="E17" s="38">
        <f ca="1">INDEX('第12章(ルール)'!$C$3:$H$4,'第12章(媒質)'!E17+1,'第12章(クラスター)'!E17+'第12章(クラスター)'!E16+'第12章(クラスター)'!F17+'第12章(クラスター)'!E18+'第12章(クラスター)'!D17+1)</f>
        <v>1</v>
      </c>
      <c r="F17" s="38">
        <f ca="1">INDEX('第12章(ルール)'!$C$3:$H$4,'第12章(媒質)'!F17+1,'第12章(クラスター)'!F17+'第12章(クラスター)'!F16+'第12章(クラスター)'!G17+'第12章(クラスター)'!F18+'第12章(クラスター)'!E17+1)</f>
        <v>0</v>
      </c>
      <c r="G17" s="38">
        <f ca="1">INDEX('第12章(ルール)'!$C$3:$H$4,'第12章(媒質)'!G17+1,'第12章(クラスター)'!G17+'第12章(クラスター)'!G16+'第12章(クラスター)'!H17+'第12章(クラスター)'!G18+'第12章(クラスター)'!F17+1)</f>
        <v>1</v>
      </c>
      <c r="H17" s="38">
        <f ca="1">INDEX('第12章(ルール)'!$C$3:$H$4,'第12章(媒質)'!H17+1,'第12章(クラスター)'!H17+'第12章(クラスター)'!H16+'第12章(クラスター)'!I17+'第12章(クラスター)'!H18+'第12章(クラスター)'!G17+1)</f>
        <v>1</v>
      </c>
      <c r="I17" s="38">
        <f ca="1">INDEX('第12章(ルール)'!$C$3:$H$4,'第12章(媒質)'!I17+1,'第12章(クラスター)'!I17+'第12章(クラスター)'!I16+'第12章(クラスター)'!J17+'第12章(クラスター)'!I18+'第12章(クラスター)'!H17+1)</f>
        <v>1</v>
      </c>
      <c r="J17" s="38">
        <f ca="1">INDEX('第12章(ルール)'!$C$3:$H$4,'第12章(媒質)'!J17+1,'第12章(クラスター)'!J17+'第12章(クラスター)'!J16+'第12章(クラスター)'!K17+'第12章(クラスター)'!J18+'第12章(クラスター)'!I17+1)</f>
        <v>1</v>
      </c>
      <c r="K17" s="38">
        <f ca="1">INDEX('第12章(ルール)'!$C$3:$H$4,'第12章(媒質)'!K17+1,'第12章(クラスター)'!K17+'第12章(クラスター)'!K16+'第12章(クラスター)'!L17+'第12章(クラスター)'!K18+'第12章(クラスター)'!J17+1)</f>
        <v>0</v>
      </c>
      <c r="L17" s="38">
        <f ca="1">INDEX('第12章(ルール)'!$C$3:$H$4,'第12章(媒質)'!L17+1,'第12章(クラスター)'!L17+'第12章(クラスター)'!L16+'第12章(クラスター)'!M17+'第12章(クラスター)'!L18+'第12章(クラスター)'!K17+1)</f>
        <v>1</v>
      </c>
      <c r="M17" s="38">
        <f ca="1">INDEX('第12章(ルール)'!$C$3:$H$4,'第12章(媒質)'!M17+1,'第12章(クラスター)'!M17+'第12章(クラスター)'!M16+'第12章(クラスター)'!N17+'第12章(クラスター)'!M18+'第12章(クラスター)'!L17+1)</f>
        <v>1</v>
      </c>
      <c r="N17" s="38">
        <f ca="1">INDEX('第12章(ルール)'!$C$3:$H$4,'第12章(媒質)'!N17+1,'第12章(クラスター)'!N17+'第12章(クラスター)'!N16+'第12章(クラスター)'!O17+'第12章(クラスター)'!N18+'第12章(クラスター)'!M17+1)</f>
        <v>1</v>
      </c>
      <c r="O17" s="38">
        <f ca="1">INDEX('第12章(ルール)'!$C$3:$H$4,'第12章(媒質)'!O17+1,'第12章(クラスター)'!O17+'第12章(クラスター)'!O16+'第12章(クラスター)'!P17+'第12章(クラスター)'!O18+'第12章(クラスター)'!N17+1)</f>
        <v>1</v>
      </c>
      <c r="P17" s="38">
        <f ca="1">INDEX('第12章(ルール)'!$C$3:$H$4,'第12章(媒質)'!P17+1,'第12章(クラスター)'!P17+'第12章(クラスター)'!P16+'第12章(クラスター)'!Q17+'第12章(クラスター)'!P18+'第12章(クラスター)'!O17+1)</f>
        <v>1</v>
      </c>
      <c r="Q17" s="38">
        <f ca="1">INDEX('第12章(ルール)'!$C$3:$H$4,'第12章(媒質)'!Q17+1,'第12章(クラスター)'!Q17+'第12章(クラスター)'!Q16+'第12章(クラスター)'!R17+'第12章(クラスター)'!Q18+'第12章(クラスター)'!P17+1)</f>
        <v>1</v>
      </c>
      <c r="R17" s="38">
        <f ca="1">INDEX('第12章(ルール)'!$C$3:$H$4,'第12章(媒質)'!R17+1,'第12章(クラスター)'!R17+'第12章(クラスター)'!R16+'第12章(クラスター)'!S17+'第12章(クラスター)'!R18+'第12章(クラスター)'!Q17+1)</f>
        <v>1</v>
      </c>
      <c r="S17" s="38">
        <f ca="1">INDEX('第12章(ルール)'!$C$3:$H$4,'第12章(媒質)'!S17+1,'第12章(クラスター)'!S17+'第12章(クラスター)'!S16+'第12章(クラスター)'!T17+'第12章(クラスター)'!S18+'第12章(クラスター)'!R17+1)</f>
        <v>1</v>
      </c>
      <c r="T17" s="38">
        <f ca="1">INDEX('第12章(ルール)'!$C$3:$H$4,'第12章(媒質)'!T17+1,'第12章(クラスター)'!T17+'第12章(クラスター)'!T16+'第12章(クラスター)'!U17+'第12章(クラスター)'!T18+'第12章(クラスター)'!S17+1)</f>
        <v>1</v>
      </c>
      <c r="U17" s="38">
        <f ca="1">INDEX('第12章(ルール)'!$C$3:$H$4,'第12章(媒質)'!U17+1,'第12章(クラスター)'!U17+'第12章(クラスター)'!U16+'第12章(クラスター)'!V17+'第12章(クラスター)'!U18+'第12章(クラスター)'!T17+1)</f>
        <v>1</v>
      </c>
      <c r="V17" s="38">
        <f ca="1">INDEX('第12章(ルール)'!$C$3:$H$4,'第12章(媒質)'!V17+1,'第12章(クラスター)'!V17+'第12章(クラスター)'!V16+'第12章(クラスター)'!W17+'第12章(クラスター)'!V18+'第12章(クラスター)'!U17+1)</f>
        <v>1</v>
      </c>
    </row>
    <row r="18" spans="2:22" ht="12" customHeight="1" x14ac:dyDescent="0.15">
      <c r="B18" s="38">
        <f ca="1">INDEX('第12章(ルール)'!$C$3:$H$4,'第12章(媒質)'!B18+1,'第12章(クラスター)'!B18+'第12章(クラスター)'!B17+'第12章(クラスター)'!C18+'第12章(クラスター)'!B19+'第12章(クラスター)'!A18+1)</f>
        <v>1</v>
      </c>
      <c r="C18" s="38">
        <f ca="1">INDEX('第12章(ルール)'!$C$3:$H$4,'第12章(媒質)'!C18+1,'第12章(クラスター)'!C18+'第12章(クラスター)'!C17+'第12章(クラスター)'!D18+'第12章(クラスター)'!C19+'第12章(クラスター)'!B18+1)</f>
        <v>1</v>
      </c>
      <c r="D18" s="38">
        <f ca="1">INDEX('第12章(ルール)'!$C$3:$H$4,'第12章(媒質)'!D18+1,'第12章(クラスター)'!D18+'第12章(クラスター)'!D17+'第12章(クラスター)'!E18+'第12章(クラスター)'!D19+'第12章(クラスター)'!C18+1)</f>
        <v>1</v>
      </c>
      <c r="E18" s="38">
        <f ca="1">INDEX('第12章(ルール)'!$C$3:$H$4,'第12章(媒質)'!E18+1,'第12章(クラスター)'!E18+'第12章(クラスター)'!E17+'第12章(クラスター)'!F18+'第12章(クラスター)'!E19+'第12章(クラスター)'!D18+1)</f>
        <v>1</v>
      </c>
      <c r="F18" s="38">
        <f ca="1">INDEX('第12章(ルール)'!$C$3:$H$4,'第12章(媒質)'!F18+1,'第12章(クラスター)'!F18+'第12章(クラスター)'!F17+'第12章(クラスター)'!G18+'第12章(クラスター)'!F19+'第12章(クラスター)'!E18+1)</f>
        <v>1</v>
      </c>
      <c r="G18" s="38">
        <f ca="1">INDEX('第12章(ルール)'!$C$3:$H$4,'第12章(媒質)'!G18+1,'第12章(クラスター)'!G18+'第12章(クラスター)'!G17+'第12章(クラスター)'!H18+'第12章(クラスター)'!G19+'第12章(クラスター)'!F18+1)</f>
        <v>1</v>
      </c>
      <c r="H18" s="38">
        <f ca="1">INDEX('第12章(ルール)'!$C$3:$H$4,'第12章(媒質)'!H18+1,'第12章(クラスター)'!H18+'第12章(クラスター)'!H17+'第12章(クラスター)'!I18+'第12章(クラスター)'!H19+'第12章(クラスター)'!G18+1)</f>
        <v>0</v>
      </c>
      <c r="I18" s="38">
        <f ca="1">INDEX('第12章(ルール)'!$C$3:$H$4,'第12章(媒質)'!I18+1,'第12章(クラスター)'!I18+'第12章(クラスター)'!I17+'第12章(クラスター)'!J18+'第12章(クラスター)'!I19+'第12章(クラスター)'!H18+1)</f>
        <v>1</v>
      </c>
      <c r="J18" s="38">
        <f ca="1">INDEX('第12章(ルール)'!$C$3:$H$4,'第12章(媒質)'!J18+1,'第12章(クラスター)'!J18+'第12章(クラスター)'!J17+'第12章(クラスター)'!K18+'第12章(クラスター)'!J19+'第12章(クラスター)'!I18+1)</f>
        <v>1</v>
      </c>
      <c r="K18" s="38">
        <f ca="1">INDEX('第12章(ルール)'!$C$3:$H$4,'第12章(媒質)'!K18+1,'第12章(クラスター)'!K18+'第12章(クラスター)'!K17+'第12章(クラスター)'!L18+'第12章(クラスター)'!K19+'第12章(クラスター)'!J18+1)</f>
        <v>1</v>
      </c>
      <c r="L18" s="38">
        <f ca="1">INDEX('第12章(ルール)'!$C$3:$H$4,'第12章(媒質)'!L18+1,'第12章(クラスター)'!L18+'第12章(クラスター)'!L17+'第12章(クラスター)'!M18+'第12章(クラスター)'!L19+'第12章(クラスター)'!K18+1)</f>
        <v>1</v>
      </c>
      <c r="M18" s="38">
        <f ca="1">INDEX('第12章(ルール)'!$C$3:$H$4,'第12章(媒質)'!M18+1,'第12章(クラスター)'!M18+'第12章(クラスター)'!M17+'第12章(クラスター)'!N18+'第12章(クラスター)'!M19+'第12章(クラスター)'!L18+1)</f>
        <v>1</v>
      </c>
      <c r="N18" s="38">
        <f ca="1">INDEX('第12章(ルール)'!$C$3:$H$4,'第12章(媒質)'!N18+1,'第12章(クラスター)'!N18+'第12章(クラスター)'!N17+'第12章(クラスター)'!O18+'第12章(クラスター)'!N19+'第12章(クラスター)'!M18+1)</f>
        <v>0</v>
      </c>
      <c r="O18" s="38">
        <f ca="1">INDEX('第12章(ルール)'!$C$3:$H$4,'第12章(媒質)'!O18+1,'第12章(クラスター)'!O18+'第12章(クラスター)'!O17+'第12章(クラスター)'!P18+'第12章(クラスター)'!O19+'第12章(クラスター)'!N18+1)</f>
        <v>1</v>
      </c>
      <c r="P18" s="38">
        <f ca="1">INDEX('第12章(ルール)'!$C$3:$H$4,'第12章(媒質)'!P18+1,'第12章(クラスター)'!P18+'第12章(クラスター)'!P17+'第12章(クラスター)'!Q18+'第12章(クラスター)'!P19+'第12章(クラスター)'!O18+1)</f>
        <v>1</v>
      </c>
      <c r="Q18" s="38">
        <f ca="1">INDEX('第12章(ルール)'!$C$3:$H$4,'第12章(媒質)'!Q18+1,'第12章(クラスター)'!Q18+'第12章(クラスター)'!Q17+'第12章(クラスター)'!R18+'第12章(クラスター)'!Q19+'第12章(クラスター)'!P18+1)</f>
        <v>1</v>
      </c>
      <c r="R18" s="38">
        <f ca="1">INDEX('第12章(ルール)'!$C$3:$H$4,'第12章(媒質)'!R18+1,'第12章(クラスター)'!R18+'第12章(クラスター)'!R17+'第12章(クラスター)'!S18+'第12章(クラスター)'!R19+'第12章(クラスター)'!Q18+1)</f>
        <v>1</v>
      </c>
      <c r="S18" s="38">
        <f ca="1">INDEX('第12章(ルール)'!$C$3:$H$4,'第12章(媒質)'!S18+1,'第12章(クラスター)'!S18+'第12章(クラスター)'!S17+'第12章(クラスター)'!T18+'第12章(クラスター)'!S19+'第12章(クラスター)'!R18+1)</f>
        <v>1</v>
      </c>
      <c r="T18" s="38">
        <f ca="1">INDEX('第12章(ルール)'!$C$3:$H$4,'第12章(媒質)'!T18+1,'第12章(クラスター)'!T18+'第12章(クラスター)'!T17+'第12章(クラスター)'!U18+'第12章(クラスター)'!T19+'第12章(クラスター)'!S18+1)</f>
        <v>1</v>
      </c>
      <c r="U18" s="38">
        <f ca="1">INDEX('第12章(ルール)'!$C$3:$H$4,'第12章(媒質)'!U18+1,'第12章(クラスター)'!U18+'第12章(クラスター)'!U17+'第12章(クラスター)'!V18+'第12章(クラスター)'!U19+'第12章(クラスター)'!T18+1)</f>
        <v>0</v>
      </c>
      <c r="V18" s="38">
        <f ca="1">INDEX('第12章(ルール)'!$C$3:$H$4,'第12章(媒質)'!V18+1,'第12章(クラスター)'!V18+'第12章(クラスター)'!V17+'第12章(クラスター)'!W18+'第12章(クラスター)'!V19+'第12章(クラスター)'!U18+1)</f>
        <v>1</v>
      </c>
    </row>
    <row r="19" spans="2:22" ht="12" customHeight="1" x14ac:dyDescent="0.15">
      <c r="B19" s="38">
        <f ca="1">INDEX('第12章(ルール)'!$C$3:$H$4,'第12章(媒質)'!B19+1,'第12章(クラスター)'!B19+'第12章(クラスター)'!B18+'第12章(クラスター)'!C19+'第12章(クラスター)'!B20+'第12章(クラスター)'!A19+1)</f>
        <v>1</v>
      </c>
      <c r="C19" s="38">
        <f ca="1">INDEX('第12章(ルール)'!$C$3:$H$4,'第12章(媒質)'!C19+1,'第12章(クラスター)'!C19+'第12章(クラスター)'!C18+'第12章(クラスター)'!D19+'第12章(クラスター)'!C20+'第12章(クラスター)'!B19+1)</f>
        <v>1</v>
      </c>
      <c r="D19" s="38">
        <f ca="1">INDEX('第12章(ルール)'!$C$3:$H$4,'第12章(媒質)'!D19+1,'第12章(クラスター)'!D19+'第12章(クラスター)'!D18+'第12章(クラスター)'!E19+'第12章(クラスター)'!D20+'第12章(クラスター)'!C19+1)</f>
        <v>1</v>
      </c>
      <c r="E19" s="38">
        <f ca="1">INDEX('第12章(ルール)'!$C$3:$H$4,'第12章(媒質)'!E19+1,'第12章(クラスター)'!E19+'第12章(クラスター)'!E18+'第12章(クラスター)'!F19+'第12章(クラスター)'!E20+'第12章(クラスター)'!D19+1)</f>
        <v>1</v>
      </c>
      <c r="F19" s="38">
        <f ca="1">INDEX('第12章(ルール)'!$C$3:$H$4,'第12章(媒質)'!F19+1,'第12章(クラスター)'!F19+'第12章(クラスター)'!F18+'第12章(クラスター)'!G19+'第12章(クラスター)'!F20+'第12章(クラスター)'!E19+1)</f>
        <v>1</v>
      </c>
      <c r="G19" s="38">
        <f ca="1">INDEX('第12章(ルール)'!$C$3:$H$4,'第12章(媒質)'!G19+1,'第12章(クラスター)'!G19+'第12章(クラスター)'!G18+'第12章(クラスター)'!H19+'第12章(クラスター)'!G20+'第12章(クラスター)'!F19+1)</f>
        <v>1</v>
      </c>
      <c r="H19" s="38">
        <f ca="1">INDEX('第12章(ルール)'!$C$3:$H$4,'第12章(媒質)'!H19+1,'第12章(クラスター)'!H19+'第12章(クラスター)'!H18+'第12章(クラスター)'!I19+'第12章(クラスター)'!H20+'第12章(クラスター)'!G19+1)</f>
        <v>0</v>
      </c>
      <c r="I19" s="38">
        <f ca="1">INDEX('第12章(ルール)'!$C$3:$H$4,'第12章(媒質)'!I19+1,'第12章(クラスター)'!I19+'第12章(クラスター)'!I18+'第12章(クラスター)'!J19+'第12章(クラスター)'!I20+'第12章(クラスター)'!H19+1)</f>
        <v>1</v>
      </c>
      <c r="J19" s="38">
        <f ca="1">INDEX('第12章(ルール)'!$C$3:$H$4,'第12章(媒質)'!J19+1,'第12章(クラスター)'!J19+'第12章(クラスター)'!J18+'第12章(クラスター)'!K19+'第12章(クラスター)'!J20+'第12章(クラスター)'!I19+1)</f>
        <v>1</v>
      </c>
      <c r="K19" s="38">
        <f ca="1">INDEX('第12章(ルール)'!$C$3:$H$4,'第12章(媒質)'!K19+1,'第12章(クラスター)'!K19+'第12章(クラスター)'!K18+'第12章(クラスター)'!L19+'第12章(クラスター)'!K20+'第12章(クラスター)'!J19+1)</f>
        <v>1</v>
      </c>
      <c r="L19" s="38">
        <f ca="1">INDEX('第12章(ルール)'!$C$3:$H$4,'第12章(媒質)'!L19+1,'第12章(クラスター)'!L19+'第12章(クラスター)'!L18+'第12章(クラスター)'!M19+'第12章(クラスター)'!L20+'第12章(クラスター)'!K19+1)</f>
        <v>1</v>
      </c>
      <c r="M19" s="38">
        <f ca="1">INDEX('第12章(ルール)'!$C$3:$H$4,'第12章(媒質)'!M19+1,'第12章(クラスター)'!M19+'第12章(クラスター)'!M18+'第12章(クラスター)'!N19+'第12章(クラスター)'!M20+'第12章(クラスター)'!L19+1)</f>
        <v>1</v>
      </c>
      <c r="N19" s="38">
        <f ca="1">INDEX('第12章(ルール)'!$C$3:$H$4,'第12章(媒質)'!N19+1,'第12章(クラスター)'!N19+'第12章(クラスター)'!N18+'第12章(クラスター)'!O19+'第12章(クラスター)'!N20+'第12章(クラスター)'!M19+1)</f>
        <v>1</v>
      </c>
      <c r="O19" s="38">
        <f ca="1">INDEX('第12章(ルール)'!$C$3:$H$4,'第12章(媒質)'!O19+1,'第12章(クラスター)'!O19+'第12章(クラスター)'!O18+'第12章(クラスター)'!P19+'第12章(クラスター)'!O20+'第12章(クラスター)'!N19+1)</f>
        <v>1</v>
      </c>
      <c r="P19" s="38">
        <f ca="1">INDEX('第12章(ルール)'!$C$3:$H$4,'第12章(媒質)'!P19+1,'第12章(クラスター)'!P19+'第12章(クラスター)'!P18+'第12章(クラスター)'!Q19+'第12章(クラスター)'!P20+'第12章(クラスター)'!O19+1)</f>
        <v>1</v>
      </c>
      <c r="Q19" s="38">
        <f ca="1">INDEX('第12章(ルール)'!$C$3:$H$4,'第12章(媒質)'!Q19+1,'第12章(クラスター)'!Q19+'第12章(クラスター)'!Q18+'第12章(クラスター)'!R19+'第12章(クラスター)'!Q20+'第12章(クラスター)'!P19+1)</f>
        <v>1</v>
      </c>
      <c r="R19" s="38">
        <f ca="1">INDEX('第12章(ルール)'!$C$3:$H$4,'第12章(媒質)'!R19+1,'第12章(クラスター)'!R19+'第12章(クラスター)'!R18+'第12章(クラスター)'!S19+'第12章(クラスター)'!R20+'第12章(クラスター)'!Q19+1)</f>
        <v>1</v>
      </c>
      <c r="S19" s="38">
        <f ca="1">INDEX('第12章(ルール)'!$C$3:$H$4,'第12章(媒質)'!S19+1,'第12章(クラスター)'!S19+'第12章(クラスター)'!S18+'第12章(クラスター)'!T19+'第12章(クラスター)'!S20+'第12章(クラスター)'!R19+1)</f>
        <v>1</v>
      </c>
      <c r="T19" s="38">
        <f ca="1">INDEX('第12章(ルール)'!$C$3:$H$4,'第12章(媒質)'!T19+1,'第12章(クラスター)'!T19+'第12章(クラスター)'!T18+'第12章(クラスター)'!U19+'第12章(クラスター)'!T20+'第12章(クラスター)'!S19+1)</f>
        <v>1</v>
      </c>
      <c r="U19" s="38">
        <f ca="1">INDEX('第12章(ルール)'!$C$3:$H$4,'第12章(媒質)'!U19+1,'第12章(クラスター)'!U19+'第12章(クラスター)'!U18+'第12章(クラスター)'!V19+'第12章(クラスター)'!U20+'第12章(クラスター)'!T19+1)</f>
        <v>1</v>
      </c>
      <c r="V19" s="38">
        <f ca="1">INDEX('第12章(ルール)'!$C$3:$H$4,'第12章(媒質)'!V19+1,'第12章(クラスター)'!V19+'第12章(クラスター)'!V18+'第12章(クラスター)'!W19+'第12章(クラスター)'!V20+'第12章(クラスター)'!U19+1)</f>
        <v>1</v>
      </c>
    </row>
    <row r="20" spans="2:22" ht="12" customHeight="1" x14ac:dyDescent="0.15">
      <c r="B20" s="38">
        <f ca="1">INDEX('第12章(ルール)'!$C$3:$H$4,'第12章(媒質)'!B20+1,'第12章(クラスター)'!B20+'第12章(クラスター)'!B19+'第12章(クラスター)'!C20+'第12章(クラスター)'!B21+'第12章(クラスター)'!A20+1)</f>
        <v>1</v>
      </c>
      <c r="C20" s="38">
        <f ca="1">INDEX('第12章(ルール)'!$C$3:$H$4,'第12章(媒質)'!C20+1,'第12章(クラスター)'!C20+'第12章(クラスター)'!C19+'第12章(クラスター)'!D20+'第12章(クラスター)'!C21+'第12章(クラスター)'!B20+1)</f>
        <v>1</v>
      </c>
      <c r="D20" s="38">
        <f ca="1">INDEX('第12章(ルール)'!$C$3:$H$4,'第12章(媒質)'!D20+1,'第12章(クラスター)'!D20+'第12章(クラスター)'!D19+'第12章(クラスター)'!E20+'第12章(クラスター)'!D21+'第12章(クラスター)'!C20+1)</f>
        <v>1</v>
      </c>
      <c r="E20" s="38">
        <f ca="1">INDEX('第12章(ルール)'!$C$3:$H$4,'第12章(媒質)'!E20+1,'第12章(クラスター)'!E20+'第12章(クラスター)'!E19+'第12章(クラスター)'!F20+'第12章(クラスター)'!E21+'第12章(クラスター)'!D20+1)</f>
        <v>1</v>
      </c>
      <c r="F20" s="38">
        <f ca="1">INDEX('第12章(ルール)'!$C$3:$H$4,'第12章(媒質)'!F20+1,'第12章(クラスター)'!F20+'第12章(クラスター)'!F19+'第12章(クラスター)'!G20+'第12章(クラスター)'!F21+'第12章(クラスター)'!E20+1)</f>
        <v>1</v>
      </c>
      <c r="G20" s="38">
        <f ca="1">INDEX('第12章(ルール)'!$C$3:$H$4,'第12章(媒質)'!G20+1,'第12章(クラスター)'!G20+'第12章(クラスター)'!G19+'第12章(クラスター)'!H20+'第12章(クラスター)'!G21+'第12章(クラスター)'!F20+1)</f>
        <v>1</v>
      </c>
      <c r="H20" s="38">
        <f ca="1">INDEX('第12章(ルール)'!$C$3:$H$4,'第12章(媒質)'!H20+1,'第12章(クラスター)'!H20+'第12章(クラスター)'!H19+'第12章(クラスター)'!I20+'第12章(クラスター)'!H21+'第12章(クラスター)'!G20+1)</f>
        <v>1</v>
      </c>
      <c r="I20" s="38">
        <f ca="1">INDEX('第12章(ルール)'!$C$3:$H$4,'第12章(媒質)'!I20+1,'第12章(クラスター)'!I20+'第12章(クラスター)'!I19+'第12章(クラスター)'!J20+'第12章(クラスター)'!I21+'第12章(クラスター)'!H20+1)</f>
        <v>1</v>
      </c>
      <c r="J20" s="38">
        <f ca="1">INDEX('第12章(ルール)'!$C$3:$H$4,'第12章(媒質)'!J20+1,'第12章(クラスター)'!J20+'第12章(クラスター)'!J19+'第12章(クラスター)'!K20+'第12章(クラスター)'!J21+'第12章(クラスター)'!I20+1)</f>
        <v>1</v>
      </c>
      <c r="K20" s="38">
        <f ca="1">INDEX('第12章(ルール)'!$C$3:$H$4,'第12章(媒質)'!K20+1,'第12章(クラスター)'!K20+'第12章(クラスター)'!K19+'第12章(クラスター)'!L20+'第12章(クラスター)'!K21+'第12章(クラスター)'!J20+1)</f>
        <v>1</v>
      </c>
      <c r="L20" s="38">
        <f ca="1">INDEX('第12章(ルール)'!$C$3:$H$4,'第12章(媒質)'!L20+1,'第12章(クラスター)'!L20+'第12章(クラスター)'!L19+'第12章(クラスター)'!M20+'第12章(クラスター)'!L21+'第12章(クラスター)'!K20+1)</f>
        <v>1</v>
      </c>
      <c r="M20" s="38">
        <f ca="1">INDEX('第12章(ルール)'!$C$3:$H$4,'第12章(媒質)'!M20+1,'第12章(クラスター)'!M20+'第12章(クラスター)'!M19+'第12章(クラスター)'!N20+'第12章(クラスター)'!M21+'第12章(クラスター)'!L20+1)</f>
        <v>1</v>
      </c>
      <c r="N20" s="38">
        <f ca="1">INDEX('第12章(ルール)'!$C$3:$H$4,'第12章(媒質)'!N20+1,'第12章(クラスター)'!N20+'第12章(クラスター)'!N19+'第12章(クラスター)'!O20+'第12章(クラスター)'!N21+'第12章(クラスター)'!M20+1)</f>
        <v>1</v>
      </c>
      <c r="O20" s="38">
        <f ca="1">INDEX('第12章(ルール)'!$C$3:$H$4,'第12章(媒質)'!O20+1,'第12章(クラスター)'!O20+'第12章(クラスター)'!O19+'第12章(クラスター)'!P20+'第12章(クラスター)'!O21+'第12章(クラスター)'!N20+1)</f>
        <v>1</v>
      </c>
      <c r="P20" s="38">
        <f ca="1">INDEX('第12章(ルール)'!$C$3:$H$4,'第12章(媒質)'!P20+1,'第12章(クラスター)'!P20+'第12章(クラスター)'!P19+'第12章(クラスター)'!Q20+'第12章(クラスター)'!P21+'第12章(クラスター)'!O20+1)</f>
        <v>1</v>
      </c>
      <c r="Q20" s="38">
        <f ca="1">INDEX('第12章(ルール)'!$C$3:$H$4,'第12章(媒質)'!Q20+1,'第12章(クラスター)'!Q20+'第12章(クラスター)'!Q19+'第12章(クラスター)'!R20+'第12章(クラスター)'!Q21+'第12章(クラスター)'!P20+1)</f>
        <v>1</v>
      </c>
      <c r="R20" s="38">
        <f ca="1">INDEX('第12章(ルール)'!$C$3:$H$4,'第12章(媒質)'!R20+1,'第12章(クラスター)'!R20+'第12章(クラスター)'!R19+'第12章(クラスター)'!S20+'第12章(クラスター)'!R21+'第12章(クラスター)'!Q20+1)</f>
        <v>0</v>
      </c>
      <c r="S20" s="38">
        <f ca="1">INDEX('第12章(ルール)'!$C$3:$H$4,'第12章(媒質)'!S20+1,'第12章(クラスター)'!S20+'第12章(クラスター)'!S19+'第12章(クラスター)'!T20+'第12章(クラスター)'!S21+'第12章(クラスター)'!R20+1)</f>
        <v>1</v>
      </c>
      <c r="T20" s="38">
        <f ca="1">INDEX('第12章(ルール)'!$C$3:$H$4,'第12章(媒質)'!T20+1,'第12章(クラスター)'!T20+'第12章(クラスター)'!T19+'第12章(クラスター)'!U20+'第12章(クラスター)'!T21+'第12章(クラスター)'!S20+1)</f>
        <v>1</v>
      </c>
      <c r="U20" s="38">
        <f ca="1">INDEX('第12章(ルール)'!$C$3:$H$4,'第12章(媒質)'!U20+1,'第12章(クラスター)'!U20+'第12章(クラスター)'!U19+'第12章(クラスター)'!V20+'第12章(クラスター)'!U21+'第12章(クラスター)'!T20+1)</f>
        <v>1</v>
      </c>
      <c r="V20" s="38">
        <f ca="1">INDEX('第12章(ルール)'!$C$3:$H$4,'第12章(媒質)'!V20+1,'第12章(クラスター)'!V20+'第12章(クラスター)'!V19+'第12章(クラスター)'!W20+'第12章(クラスター)'!V21+'第12章(クラスター)'!U20+1)</f>
        <v>1</v>
      </c>
    </row>
    <row r="21" spans="2:22" ht="12" customHeight="1" x14ac:dyDescent="0.15">
      <c r="B21" s="38">
        <f ca="1">INDEX('第12章(ルール)'!$C$3:$H$4,'第12章(媒質)'!B21+1,'第12章(クラスター)'!B21+'第12章(クラスター)'!B20+'第12章(クラスター)'!C21+'第12章(クラスター)'!B22+'第12章(クラスター)'!A21+1)</f>
        <v>1</v>
      </c>
      <c r="C21" s="38">
        <f ca="1">INDEX('第12章(ルール)'!$C$3:$H$4,'第12章(媒質)'!C21+1,'第12章(クラスター)'!C21+'第12章(クラスター)'!C20+'第12章(クラスター)'!D21+'第12章(クラスター)'!C22+'第12章(クラスター)'!B21+1)</f>
        <v>1</v>
      </c>
      <c r="D21" s="38">
        <f ca="1">INDEX('第12章(ルール)'!$C$3:$H$4,'第12章(媒質)'!D21+1,'第12章(クラスター)'!D21+'第12章(クラスター)'!D20+'第12章(クラスター)'!E21+'第12章(クラスター)'!D22+'第12章(クラスター)'!C21+1)</f>
        <v>0</v>
      </c>
      <c r="E21" s="38">
        <f ca="1">INDEX('第12章(ルール)'!$C$3:$H$4,'第12章(媒質)'!E21+1,'第12章(クラスター)'!E21+'第12章(クラスター)'!E20+'第12章(クラスター)'!F21+'第12章(クラスター)'!E22+'第12章(クラスター)'!D21+1)</f>
        <v>1</v>
      </c>
      <c r="F21" s="38">
        <f ca="1">INDEX('第12章(ルール)'!$C$3:$H$4,'第12章(媒質)'!F21+1,'第12章(クラスター)'!F21+'第12章(クラスター)'!F20+'第12章(クラスター)'!G21+'第12章(クラスター)'!F22+'第12章(クラスター)'!E21+1)</f>
        <v>1</v>
      </c>
      <c r="G21" s="38">
        <f ca="1">INDEX('第12章(ルール)'!$C$3:$H$4,'第12章(媒質)'!G21+1,'第12章(クラスター)'!G21+'第12章(クラスター)'!G20+'第12章(クラスター)'!H21+'第12章(クラスター)'!G22+'第12章(クラスター)'!F21+1)</f>
        <v>1</v>
      </c>
      <c r="H21" s="38">
        <f ca="1">INDEX('第12章(ルール)'!$C$3:$H$4,'第12章(媒質)'!H21+1,'第12章(クラスター)'!H21+'第12章(クラスター)'!H20+'第12章(クラスター)'!I21+'第12章(クラスター)'!H22+'第12章(クラスター)'!G21+1)</f>
        <v>1</v>
      </c>
      <c r="I21" s="38">
        <f ca="1">INDEX('第12章(ルール)'!$C$3:$H$4,'第12章(媒質)'!I21+1,'第12章(クラスター)'!I21+'第12章(クラスター)'!I20+'第12章(クラスター)'!J21+'第12章(クラスター)'!I22+'第12章(クラスター)'!H21+1)</f>
        <v>1</v>
      </c>
      <c r="J21" s="38">
        <f ca="1">INDEX('第12章(ルール)'!$C$3:$H$4,'第12章(媒質)'!J21+1,'第12章(クラスター)'!J21+'第12章(クラスター)'!J20+'第12章(クラスター)'!K21+'第12章(クラスター)'!J22+'第12章(クラスター)'!I21+1)</f>
        <v>1</v>
      </c>
      <c r="K21" s="38">
        <f ca="1">INDEX('第12章(ルール)'!$C$3:$H$4,'第12章(媒質)'!K21+1,'第12章(クラスター)'!K21+'第12章(クラスター)'!K20+'第12章(クラスター)'!L21+'第12章(クラスター)'!K22+'第12章(クラスター)'!J21+1)</f>
        <v>1</v>
      </c>
      <c r="L21" s="38">
        <f ca="1">INDEX('第12章(ルール)'!$C$3:$H$4,'第12章(媒質)'!L21+1,'第12章(クラスター)'!L21+'第12章(クラスター)'!L20+'第12章(クラスター)'!M21+'第12章(クラスター)'!L22+'第12章(クラスター)'!K21+1)</f>
        <v>1</v>
      </c>
      <c r="M21" s="38">
        <f ca="1">INDEX('第12章(ルール)'!$C$3:$H$4,'第12章(媒質)'!M21+1,'第12章(クラスター)'!M21+'第12章(クラスター)'!M20+'第12章(クラスター)'!N21+'第12章(クラスター)'!M22+'第12章(クラスター)'!L21+1)</f>
        <v>0</v>
      </c>
      <c r="N21" s="38">
        <f ca="1">INDEX('第12章(ルール)'!$C$3:$H$4,'第12章(媒質)'!N21+1,'第12章(クラスター)'!N21+'第12章(クラスター)'!N20+'第12章(クラスター)'!O21+'第12章(クラスター)'!N22+'第12章(クラスター)'!M21+1)</f>
        <v>1</v>
      </c>
      <c r="O21" s="38">
        <f ca="1">INDEX('第12章(ルール)'!$C$3:$H$4,'第12章(媒質)'!O21+1,'第12章(クラスター)'!O21+'第12章(クラスター)'!O20+'第12章(クラスター)'!P21+'第12章(クラスター)'!O22+'第12章(クラスター)'!N21+1)</f>
        <v>1</v>
      </c>
      <c r="P21" s="38">
        <f ca="1">INDEX('第12章(ルール)'!$C$3:$H$4,'第12章(媒質)'!P21+1,'第12章(クラスター)'!P21+'第12章(クラスター)'!P20+'第12章(クラスター)'!Q21+'第12章(クラスター)'!P22+'第12章(クラスター)'!O21+1)</f>
        <v>1</v>
      </c>
      <c r="Q21" s="38">
        <f ca="1">INDEX('第12章(ルール)'!$C$3:$H$4,'第12章(媒質)'!Q21+1,'第12章(クラスター)'!Q21+'第12章(クラスター)'!Q20+'第12章(クラスター)'!R21+'第12章(クラスター)'!Q22+'第12章(クラスター)'!P21+1)</f>
        <v>1</v>
      </c>
      <c r="R21" s="38">
        <f ca="1">INDEX('第12章(ルール)'!$C$3:$H$4,'第12章(媒質)'!R21+1,'第12章(クラスター)'!R21+'第12章(クラスター)'!R20+'第12章(クラスター)'!S21+'第12章(クラスター)'!R22+'第12章(クラスター)'!Q21+1)</f>
        <v>1</v>
      </c>
      <c r="S21" s="38">
        <f ca="1">INDEX('第12章(ルール)'!$C$3:$H$4,'第12章(媒質)'!S21+1,'第12章(クラスター)'!S21+'第12章(クラスター)'!S20+'第12章(クラスター)'!T21+'第12章(クラスター)'!S22+'第12章(クラスター)'!R21+1)</f>
        <v>1</v>
      </c>
      <c r="T21" s="38">
        <f ca="1">INDEX('第12章(ルール)'!$C$3:$H$4,'第12章(媒質)'!T21+1,'第12章(クラスター)'!T21+'第12章(クラスター)'!T20+'第12章(クラスター)'!U21+'第12章(クラスター)'!T22+'第12章(クラスター)'!S21+1)</f>
        <v>1</v>
      </c>
      <c r="U21" s="38">
        <f ca="1">INDEX('第12章(ルール)'!$C$3:$H$4,'第12章(媒質)'!U21+1,'第12章(クラスター)'!U21+'第12章(クラスター)'!U20+'第12章(クラスター)'!V21+'第12章(クラスター)'!U22+'第12章(クラスター)'!T21+1)</f>
        <v>0</v>
      </c>
      <c r="V21" s="38">
        <f ca="1">INDEX('第12章(ルール)'!$C$3:$H$4,'第12章(媒質)'!V21+1,'第12章(クラスター)'!V21+'第12章(クラスター)'!V20+'第12章(クラスター)'!W21+'第12章(クラスター)'!V22+'第12章(クラスター)'!U21+1)</f>
        <v>1</v>
      </c>
    </row>
    <row r="22" spans="2:22" ht="12" customHeight="1" x14ac:dyDescent="0.15">
      <c r="B22" s="38">
        <f ca="1">INDEX('第12章(ルール)'!$C$3:$H$4,'第12章(媒質)'!B22+1,'第12章(クラスター)'!B22+'第12章(クラスター)'!B21+'第12章(クラスター)'!C22+'第12章(クラスター)'!B23+'第12章(クラスター)'!A22+1)</f>
        <v>1</v>
      </c>
      <c r="C22" s="38">
        <f ca="1">INDEX('第12章(ルール)'!$C$3:$H$4,'第12章(媒質)'!C22+1,'第12章(クラスター)'!C22+'第12章(クラスター)'!C21+'第12章(クラスター)'!D22+'第12章(クラスター)'!C23+'第12章(クラスター)'!B22+1)</f>
        <v>1</v>
      </c>
      <c r="D22" s="38">
        <f ca="1">INDEX('第12章(ルール)'!$C$3:$H$4,'第12章(媒質)'!D22+1,'第12章(クラスター)'!D22+'第12章(クラスター)'!D21+'第12章(クラスター)'!E22+'第12章(クラスター)'!D23+'第12章(クラスター)'!C22+1)</f>
        <v>1</v>
      </c>
      <c r="E22" s="38">
        <f ca="1">INDEX('第12章(ルール)'!$C$3:$H$4,'第12章(媒質)'!E22+1,'第12章(クラスター)'!E22+'第12章(クラスター)'!E21+'第12章(クラスター)'!F22+'第12章(クラスター)'!E23+'第12章(クラスター)'!D22+1)</f>
        <v>1</v>
      </c>
      <c r="F22" s="38">
        <f ca="1">INDEX('第12章(ルール)'!$C$3:$H$4,'第12章(媒質)'!F22+1,'第12章(クラスター)'!F22+'第12章(クラスター)'!F21+'第12章(クラスター)'!G22+'第12章(クラスター)'!F23+'第12章(クラスター)'!E22+1)</f>
        <v>1</v>
      </c>
      <c r="G22" s="38">
        <f ca="1">INDEX('第12章(ルール)'!$C$3:$H$4,'第12章(媒質)'!G22+1,'第12章(クラスター)'!G22+'第12章(クラスター)'!G21+'第12章(クラスター)'!H22+'第12章(クラスター)'!G23+'第12章(クラスター)'!F22+1)</f>
        <v>1</v>
      </c>
      <c r="H22" s="38">
        <f ca="1">INDEX('第12章(ルール)'!$C$3:$H$4,'第12章(媒質)'!H22+1,'第12章(クラスター)'!H22+'第12章(クラスター)'!H21+'第12章(クラスター)'!I22+'第12章(クラスター)'!H23+'第12章(クラスター)'!G22+1)</f>
        <v>1</v>
      </c>
      <c r="I22" s="38">
        <f ca="1">INDEX('第12章(ルール)'!$C$3:$H$4,'第12章(媒質)'!I22+1,'第12章(クラスター)'!I22+'第12章(クラスター)'!I21+'第12章(クラスター)'!J22+'第12章(クラスター)'!I23+'第12章(クラスター)'!H22+1)</f>
        <v>0</v>
      </c>
      <c r="J22" s="38">
        <f ca="1">INDEX('第12章(ルール)'!$C$3:$H$4,'第12章(媒質)'!J22+1,'第12章(クラスター)'!J22+'第12章(クラスター)'!J21+'第12章(クラスター)'!K22+'第12章(クラスター)'!J23+'第12章(クラスター)'!I22+1)</f>
        <v>1</v>
      </c>
      <c r="K22" s="38">
        <f ca="1">INDEX('第12章(ルール)'!$C$3:$H$4,'第12章(媒質)'!K22+1,'第12章(クラスター)'!K22+'第12章(クラスター)'!K21+'第12章(クラスター)'!L22+'第12章(クラスター)'!K23+'第12章(クラスター)'!J22+1)</f>
        <v>1</v>
      </c>
      <c r="L22" s="38">
        <f ca="1">INDEX('第12章(ルール)'!$C$3:$H$4,'第12章(媒質)'!L22+1,'第12章(クラスター)'!L22+'第12章(クラスター)'!L21+'第12章(クラスター)'!M22+'第12章(クラスター)'!L23+'第12章(クラスター)'!K22+1)</f>
        <v>1</v>
      </c>
      <c r="M22" s="38">
        <f ca="1">INDEX('第12章(ルール)'!$C$3:$H$4,'第12章(媒質)'!M22+1,'第12章(クラスター)'!M22+'第12章(クラスター)'!M21+'第12章(クラスター)'!N22+'第12章(クラスター)'!M23+'第12章(クラスター)'!L22+1)</f>
        <v>1</v>
      </c>
      <c r="N22" s="38">
        <f ca="1">INDEX('第12章(ルール)'!$C$3:$H$4,'第12章(媒質)'!N22+1,'第12章(クラスター)'!N22+'第12章(クラスター)'!N21+'第12章(クラスター)'!O22+'第12章(クラスター)'!N23+'第12章(クラスター)'!M22+1)</f>
        <v>1</v>
      </c>
      <c r="O22" s="38">
        <f ca="1">INDEX('第12章(ルール)'!$C$3:$H$4,'第12章(媒質)'!O22+1,'第12章(クラスター)'!O22+'第12章(クラスター)'!O21+'第12章(クラスター)'!P22+'第12章(クラスター)'!O23+'第12章(クラスター)'!N22+1)</f>
        <v>1</v>
      </c>
      <c r="P22" s="38">
        <f ca="1">INDEX('第12章(ルール)'!$C$3:$H$4,'第12章(媒質)'!P22+1,'第12章(クラスター)'!P22+'第12章(クラスター)'!P21+'第12章(クラスター)'!Q22+'第12章(クラスター)'!P23+'第12章(クラスター)'!O22+1)</f>
        <v>1</v>
      </c>
      <c r="Q22" s="38">
        <f ca="1">INDEX('第12章(ルール)'!$C$3:$H$4,'第12章(媒質)'!Q22+1,'第12章(クラスター)'!Q22+'第12章(クラスター)'!Q21+'第12章(クラスター)'!R22+'第12章(クラスター)'!Q23+'第12章(クラスター)'!P22+1)</f>
        <v>1</v>
      </c>
      <c r="R22" s="38">
        <f ca="1">INDEX('第12章(ルール)'!$C$3:$H$4,'第12章(媒質)'!R22+1,'第12章(クラスター)'!R22+'第12章(クラスター)'!R21+'第12章(クラスター)'!S22+'第12章(クラスター)'!R23+'第12章(クラスター)'!Q22+1)</f>
        <v>1</v>
      </c>
      <c r="S22" s="38">
        <f ca="1">INDEX('第12章(ルール)'!$C$3:$H$4,'第12章(媒質)'!S22+1,'第12章(クラスター)'!S22+'第12章(クラスター)'!S21+'第12章(クラスター)'!T22+'第12章(クラスター)'!S23+'第12章(クラスター)'!R22+1)</f>
        <v>1</v>
      </c>
      <c r="T22" s="38">
        <f ca="1">INDEX('第12章(ルール)'!$C$3:$H$4,'第12章(媒質)'!T22+1,'第12章(クラスター)'!T22+'第12章(クラスター)'!T21+'第12章(クラスター)'!U22+'第12章(クラスター)'!T23+'第12章(クラスター)'!S22+1)</f>
        <v>1</v>
      </c>
      <c r="U22" s="38">
        <f ca="1">INDEX('第12章(ルール)'!$C$3:$H$4,'第12章(媒質)'!U22+1,'第12章(クラスター)'!U22+'第12章(クラスター)'!U21+'第12章(クラスター)'!V22+'第12章(クラスター)'!U23+'第12章(クラスター)'!T22+1)</f>
        <v>1</v>
      </c>
      <c r="V22" s="38">
        <f ca="1">INDEX('第12章(ルール)'!$C$3:$H$4,'第12章(媒質)'!V22+1,'第12章(クラスター)'!V22+'第12章(クラスター)'!V21+'第12章(クラスター)'!W22+'第12章(クラスター)'!V23+'第12章(クラスター)'!U22+1)</f>
        <v>1</v>
      </c>
    </row>
  </sheetData>
  <phoneticPr fontId="1"/>
  <conditionalFormatting sqref="B2:V22">
    <cfRule type="cellIs" dxfId="19" priority="1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4"/>
  <sheetViews>
    <sheetView workbookViewId="0">
      <selection activeCell="H11" sqref="H11"/>
    </sheetView>
  </sheetViews>
  <sheetFormatPr defaultRowHeight="13.5" x14ac:dyDescent="0.15"/>
  <sheetData>
    <row r="1" spans="1:8" x14ac:dyDescent="0.15">
      <c r="C1" s="50" t="s">
        <v>39</v>
      </c>
      <c r="D1" s="51"/>
      <c r="E1" s="51"/>
      <c r="F1" s="51"/>
      <c r="G1" s="51"/>
      <c r="H1" s="52"/>
    </row>
    <row r="2" spans="1:8" ht="14.25" thickBot="1" x14ac:dyDescent="0.2">
      <c r="C2" s="21">
        <v>0</v>
      </c>
      <c r="D2" s="22">
        <v>1</v>
      </c>
      <c r="E2" s="22">
        <v>2</v>
      </c>
      <c r="F2" s="22">
        <v>3</v>
      </c>
      <c r="G2" s="22">
        <v>4</v>
      </c>
      <c r="H2" s="23">
        <v>5</v>
      </c>
    </row>
    <row r="3" spans="1:8" x14ac:dyDescent="0.15">
      <c r="A3" s="53" t="s">
        <v>40</v>
      </c>
      <c r="B3" s="18">
        <v>0</v>
      </c>
      <c r="C3" s="16">
        <v>0</v>
      </c>
      <c r="D3" s="17">
        <v>0</v>
      </c>
      <c r="E3" s="17">
        <v>0</v>
      </c>
      <c r="F3" s="17">
        <v>0</v>
      </c>
      <c r="G3" s="17">
        <v>0</v>
      </c>
      <c r="H3" s="18">
        <v>0</v>
      </c>
    </row>
    <row r="4" spans="1:8" ht="14.25" thickBot="1" x14ac:dyDescent="0.2">
      <c r="A4" s="54"/>
      <c r="B4" s="23">
        <v>1</v>
      </c>
      <c r="C4" s="21">
        <v>0</v>
      </c>
      <c r="D4" s="22">
        <v>1</v>
      </c>
      <c r="E4" s="22">
        <v>1</v>
      </c>
      <c r="F4" s="22">
        <v>1</v>
      </c>
      <c r="G4" s="22">
        <v>1</v>
      </c>
      <c r="H4" s="23">
        <v>1</v>
      </c>
    </row>
  </sheetData>
  <mergeCells count="2">
    <mergeCell ref="C1:H1"/>
    <mergeCell ref="A3:A4"/>
  </mergeCells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14"/>
  <sheetViews>
    <sheetView workbookViewId="0">
      <selection activeCell="X28" sqref="X28"/>
    </sheetView>
  </sheetViews>
  <sheetFormatPr defaultRowHeight="13.5" x14ac:dyDescent="0.15"/>
  <cols>
    <col min="1" max="1" width="2.875" bestFit="1" customWidth="1"/>
    <col min="3" max="11" width="2.5" bestFit="1" customWidth="1"/>
    <col min="12" max="22" width="3.5" bestFit="1" customWidth="1"/>
  </cols>
  <sheetData>
    <row r="1" spans="1:23" ht="14.25" thickBot="1" x14ac:dyDescent="0.2">
      <c r="B1" s="9"/>
      <c r="C1" s="56" t="s">
        <v>42</v>
      </c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</row>
    <row r="2" spans="1:23" ht="14.25" thickBot="1" x14ac:dyDescent="0.2">
      <c r="A2" s="9"/>
      <c r="B2" s="9"/>
      <c r="C2" s="41">
        <v>1</v>
      </c>
      <c r="D2" s="42">
        <v>2</v>
      </c>
      <c r="E2" s="42">
        <v>3</v>
      </c>
      <c r="F2" s="42">
        <v>4</v>
      </c>
      <c r="G2" s="42">
        <v>5</v>
      </c>
      <c r="H2" s="42">
        <v>6</v>
      </c>
      <c r="I2" s="42">
        <v>7</v>
      </c>
      <c r="J2" s="42">
        <v>8</v>
      </c>
      <c r="K2" s="42">
        <v>9</v>
      </c>
      <c r="L2" s="42">
        <v>10</v>
      </c>
      <c r="M2" s="42">
        <v>11</v>
      </c>
      <c r="N2" s="42">
        <v>12</v>
      </c>
      <c r="O2" s="42">
        <v>13</v>
      </c>
      <c r="P2" s="42">
        <v>14</v>
      </c>
      <c r="Q2" s="42">
        <v>15</v>
      </c>
      <c r="R2" s="42">
        <v>16</v>
      </c>
      <c r="S2" s="42">
        <v>17</v>
      </c>
      <c r="T2" s="42">
        <v>18</v>
      </c>
      <c r="U2" s="42">
        <v>19</v>
      </c>
      <c r="V2" s="42">
        <v>20</v>
      </c>
      <c r="W2" s="43" t="s">
        <v>43</v>
      </c>
    </row>
    <row r="3" spans="1:23" ht="14.25" thickTop="1" x14ac:dyDescent="0.15">
      <c r="A3" s="55" t="s">
        <v>41</v>
      </c>
      <c r="B3" s="44">
        <v>0.1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40">
        <f>SUM(C3:V3)</f>
        <v>0</v>
      </c>
    </row>
    <row r="4" spans="1:23" x14ac:dyDescent="0.15">
      <c r="A4" s="55"/>
      <c r="B4" s="45">
        <v>0.2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40">
        <f t="shared" ref="W4" si="0">SUM(C4:V4)</f>
        <v>0</v>
      </c>
    </row>
    <row r="5" spans="1:23" x14ac:dyDescent="0.15">
      <c r="A5" s="55"/>
      <c r="B5" s="45">
        <v>0.30000000000000004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40">
        <f t="shared" ref="W5:W14" si="1">SUM(C5:V5)</f>
        <v>0</v>
      </c>
    </row>
    <row r="6" spans="1:23" x14ac:dyDescent="0.15">
      <c r="A6" s="55"/>
      <c r="B6" s="45">
        <v>0.4</v>
      </c>
      <c r="C6" s="39">
        <v>0</v>
      </c>
      <c r="D6" s="39">
        <v>0</v>
      </c>
      <c r="E6" s="39">
        <v>1</v>
      </c>
      <c r="F6" s="39">
        <v>0</v>
      </c>
      <c r="G6" s="39">
        <v>0</v>
      </c>
      <c r="H6" s="39">
        <v>1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40">
        <f t="shared" si="1"/>
        <v>2</v>
      </c>
    </row>
    <row r="7" spans="1:23" x14ac:dyDescent="0.15">
      <c r="A7" s="55"/>
      <c r="B7" s="45">
        <v>0.45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1</v>
      </c>
      <c r="J7" s="39">
        <v>0</v>
      </c>
      <c r="K7" s="39">
        <v>0</v>
      </c>
      <c r="L7" s="39">
        <v>0</v>
      </c>
      <c r="M7" s="39">
        <v>1</v>
      </c>
      <c r="N7" s="39">
        <v>0</v>
      </c>
      <c r="O7" s="39">
        <v>0</v>
      </c>
      <c r="P7" s="39">
        <v>1</v>
      </c>
      <c r="Q7" s="39">
        <v>0</v>
      </c>
      <c r="R7" s="39">
        <v>0</v>
      </c>
      <c r="S7" s="39">
        <v>0</v>
      </c>
      <c r="T7" s="39">
        <v>0</v>
      </c>
      <c r="U7" s="39">
        <v>1</v>
      </c>
      <c r="V7" s="39">
        <v>0</v>
      </c>
      <c r="W7" s="40">
        <f t="shared" si="1"/>
        <v>4</v>
      </c>
    </row>
    <row r="8" spans="1:23" x14ac:dyDescent="0.15">
      <c r="A8" s="55"/>
      <c r="B8" s="45">
        <v>0.5</v>
      </c>
      <c r="C8" s="39">
        <v>0</v>
      </c>
      <c r="D8" s="39">
        <v>1</v>
      </c>
      <c r="E8" s="39">
        <v>0</v>
      </c>
      <c r="F8" s="39">
        <v>1</v>
      </c>
      <c r="G8" s="39">
        <v>0</v>
      </c>
      <c r="H8" s="39">
        <v>0</v>
      </c>
      <c r="I8" s="39">
        <v>0</v>
      </c>
      <c r="J8" s="39">
        <v>0</v>
      </c>
      <c r="K8" s="39">
        <v>1</v>
      </c>
      <c r="L8" s="39">
        <v>0</v>
      </c>
      <c r="M8" s="39">
        <v>0</v>
      </c>
      <c r="N8" s="39">
        <v>0</v>
      </c>
      <c r="O8" s="39">
        <v>1</v>
      </c>
      <c r="P8" s="39">
        <v>1</v>
      </c>
      <c r="Q8" s="39">
        <v>0</v>
      </c>
      <c r="R8" s="39">
        <v>1</v>
      </c>
      <c r="S8" s="39">
        <v>0</v>
      </c>
      <c r="T8" s="39">
        <v>0</v>
      </c>
      <c r="U8" s="39">
        <v>0</v>
      </c>
      <c r="V8" s="39">
        <v>1</v>
      </c>
      <c r="W8" s="40">
        <f t="shared" si="1"/>
        <v>7</v>
      </c>
    </row>
    <row r="9" spans="1:23" x14ac:dyDescent="0.15">
      <c r="A9" s="55"/>
      <c r="B9" s="45">
        <v>0.55000000000000004</v>
      </c>
      <c r="C9" s="39">
        <v>0</v>
      </c>
      <c r="D9" s="39">
        <v>0</v>
      </c>
      <c r="E9" s="39">
        <v>1</v>
      </c>
      <c r="F9" s="39">
        <v>0</v>
      </c>
      <c r="G9" s="39">
        <v>0</v>
      </c>
      <c r="H9" s="39">
        <v>1</v>
      </c>
      <c r="I9" s="39">
        <v>1</v>
      </c>
      <c r="J9" s="39">
        <v>1</v>
      </c>
      <c r="K9" s="39">
        <v>1</v>
      </c>
      <c r="L9" s="39">
        <v>1</v>
      </c>
      <c r="M9" s="39">
        <v>1</v>
      </c>
      <c r="N9" s="39">
        <v>1</v>
      </c>
      <c r="O9" s="39">
        <v>1</v>
      </c>
      <c r="P9" s="39">
        <v>1</v>
      </c>
      <c r="Q9" s="39">
        <v>0</v>
      </c>
      <c r="R9" s="39">
        <v>1</v>
      </c>
      <c r="S9" s="39">
        <v>1</v>
      </c>
      <c r="T9" s="39">
        <v>1</v>
      </c>
      <c r="U9" s="39">
        <v>1</v>
      </c>
      <c r="V9" s="39">
        <v>1</v>
      </c>
      <c r="W9" s="40">
        <f t="shared" si="1"/>
        <v>15</v>
      </c>
    </row>
    <row r="10" spans="1:23" x14ac:dyDescent="0.15">
      <c r="A10" s="55"/>
      <c r="B10" s="45">
        <v>0.60000000000000009</v>
      </c>
      <c r="C10" s="39">
        <v>1</v>
      </c>
      <c r="D10" s="39">
        <v>1</v>
      </c>
      <c r="E10" s="39">
        <v>1</v>
      </c>
      <c r="F10" s="39">
        <v>0</v>
      </c>
      <c r="G10" s="39">
        <v>1</v>
      </c>
      <c r="H10" s="39">
        <v>1</v>
      </c>
      <c r="I10" s="39">
        <v>1</v>
      </c>
      <c r="J10" s="39">
        <v>1</v>
      </c>
      <c r="K10" s="39">
        <v>1</v>
      </c>
      <c r="L10" s="39">
        <v>1</v>
      </c>
      <c r="M10" s="39">
        <v>1</v>
      </c>
      <c r="N10" s="39">
        <v>1</v>
      </c>
      <c r="O10" s="39">
        <v>1</v>
      </c>
      <c r="P10" s="39">
        <v>1</v>
      </c>
      <c r="Q10" s="39">
        <v>1</v>
      </c>
      <c r="R10" s="39">
        <v>1</v>
      </c>
      <c r="S10" s="39">
        <v>1</v>
      </c>
      <c r="T10" s="39">
        <v>1</v>
      </c>
      <c r="U10" s="39">
        <v>1</v>
      </c>
      <c r="V10" s="39">
        <v>1</v>
      </c>
      <c r="W10" s="40">
        <f t="shared" si="1"/>
        <v>19</v>
      </c>
    </row>
    <row r="11" spans="1:23" x14ac:dyDescent="0.15">
      <c r="A11" s="55"/>
      <c r="B11" s="45">
        <v>0.65</v>
      </c>
      <c r="C11" s="39">
        <v>1</v>
      </c>
      <c r="D11" s="39">
        <v>1</v>
      </c>
      <c r="E11" s="39">
        <v>1</v>
      </c>
      <c r="F11" s="39">
        <v>1</v>
      </c>
      <c r="G11" s="39">
        <v>1</v>
      </c>
      <c r="H11" s="39">
        <v>1</v>
      </c>
      <c r="I11" s="39">
        <v>1</v>
      </c>
      <c r="J11" s="39">
        <v>1</v>
      </c>
      <c r="K11" s="39">
        <v>1</v>
      </c>
      <c r="L11" s="39">
        <v>1</v>
      </c>
      <c r="M11" s="39">
        <v>1</v>
      </c>
      <c r="N11" s="39">
        <v>1</v>
      </c>
      <c r="O11" s="39">
        <v>1</v>
      </c>
      <c r="P11" s="39">
        <v>1</v>
      </c>
      <c r="Q11" s="39">
        <v>1</v>
      </c>
      <c r="R11" s="39">
        <v>1</v>
      </c>
      <c r="S11" s="39">
        <v>0</v>
      </c>
      <c r="T11" s="39">
        <v>1</v>
      </c>
      <c r="U11" s="39">
        <v>1</v>
      </c>
      <c r="V11" s="39">
        <v>1</v>
      </c>
      <c r="W11" s="40">
        <f t="shared" si="1"/>
        <v>19</v>
      </c>
    </row>
    <row r="12" spans="1:23" x14ac:dyDescent="0.15">
      <c r="A12" s="55"/>
      <c r="B12" s="45">
        <v>0.70000000000000007</v>
      </c>
      <c r="C12" s="39">
        <v>1</v>
      </c>
      <c r="D12" s="39">
        <v>1</v>
      </c>
      <c r="E12" s="39">
        <v>1</v>
      </c>
      <c r="F12" s="39">
        <v>1</v>
      </c>
      <c r="G12" s="39">
        <v>1</v>
      </c>
      <c r="H12" s="39">
        <v>1</v>
      </c>
      <c r="I12" s="39">
        <v>1</v>
      </c>
      <c r="J12" s="39">
        <v>1</v>
      </c>
      <c r="K12" s="39">
        <v>1</v>
      </c>
      <c r="L12" s="39">
        <v>1</v>
      </c>
      <c r="M12" s="39">
        <v>1</v>
      </c>
      <c r="N12" s="39">
        <v>1</v>
      </c>
      <c r="O12" s="39">
        <v>1</v>
      </c>
      <c r="P12" s="39">
        <v>1</v>
      </c>
      <c r="Q12" s="39">
        <v>1</v>
      </c>
      <c r="R12" s="39">
        <v>1</v>
      </c>
      <c r="S12" s="39">
        <v>1</v>
      </c>
      <c r="T12" s="39">
        <v>1</v>
      </c>
      <c r="U12" s="39">
        <v>1</v>
      </c>
      <c r="V12" s="39">
        <v>1</v>
      </c>
      <c r="W12" s="40">
        <f t="shared" si="1"/>
        <v>20</v>
      </c>
    </row>
    <row r="13" spans="1:23" x14ac:dyDescent="0.15">
      <c r="A13" s="55"/>
      <c r="B13" s="45">
        <v>0.8</v>
      </c>
      <c r="C13" s="39">
        <v>1</v>
      </c>
      <c r="D13" s="39">
        <v>1</v>
      </c>
      <c r="E13" s="39">
        <v>1</v>
      </c>
      <c r="F13" s="39">
        <v>1</v>
      </c>
      <c r="G13" s="39">
        <v>1</v>
      </c>
      <c r="H13" s="39">
        <v>1</v>
      </c>
      <c r="I13" s="39">
        <v>1</v>
      </c>
      <c r="J13" s="39">
        <v>1</v>
      </c>
      <c r="K13" s="39">
        <v>1</v>
      </c>
      <c r="L13" s="39">
        <v>1</v>
      </c>
      <c r="M13" s="39">
        <v>1</v>
      </c>
      <c r="N13" s="39">
        <v>1</v>
      </c>
      <c r="O13" s="39">
        <v>1</v>
      </c>
      <c r="P13" s="39">
        <v>1</v>
      </c>
      <c r="Q13" s="39">
        <v>1</v>
      </c>
      <c r="R13" s="39">
        <v>1</v>
      </c>
      <c r="S13" s="39">
        <v>1</v>
      </c>
      <c r="T13" s="39">
        <v>1</v>
      </c>
      <c r="U13" s="39">
        <v>1</v>
      </c>
      <c r="V13" s="39">
        <v>1</v>
      </c>
      <c r="W13" s="40">
        <f t="shared" si="1"/>
        <v>20</v>
      </c>
    </row>
    <row r="14" spans="1:23" ht="14.25" thickBot="1" x14ac:dyDescent="0.2">
      <c r="A14" s="55"/>
      <c r="B14" s="46">
        <v>0.90000000000000013</v>
      </c>
      <c r="C14" s="39">
        <v>1</v>
      </c>
      <c r="D14" s="39">
        <v>1</v>
      </c>
      <c r="E14" s="39">
        <v>1</v>
      </c>
      <c r="F14" s="39">
        <v>1</v>
      </c>
      <c r="G14" s="39">
        <v>1</v>
      </c>
      <c r="H14" s="39">
        <v>1</v>
      </c>
      <c r="I14" s="39">
        <v>1</v>
      </c>
      <c r="J14" s="39">
        <v>1</v>
      </c>
      <c r="K14" s="39">
        <v>1</v>
      </c>
      <c r="L14" s="39">
        <v>1</v>
      </c>
      <c r="M14" s="39">
        <v>1</v>
      </c>
      <c r="N14" s="39">
        <v>1</v>
      </c>
      <c r="O14" s="39">
        <v>1</v>
      </c>
      <c r="P14" s="39">
        <v>1</v>
      </c>
      <c r="Q14" s="39">
        <v>1</v>
      </c>
      <c r="R14" s="39">
        <v>1</v>
      </c>
      <c r="S14" s="39">
        <v>1</v>
      </c>
      <c r="T14" s="39">
        <v>1</v>
      </c>
      <c r="U14" s="39">
        <v>1</v>
      </c>
      <c r="V14" s="39">
        <v>1</v>
      </c>
      <c r="W14" s="40">
        <f t="shared" si="1"/>
        <v>20</v>
      </c>
    </row>
  </sheetData>
  <mergeCells count="2">
    <mergeCell ref="A3:A14"/>
    <mergeCell ref="C1:V1"/>
  </mergeCells>
  <phoneticPr fontId="1"/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二次関数</vt:lpstr>
      <vt:lpstr>演習問題1</vt:lpstr>
      <vt:lpstr>ウサギとキツネの生態系</vt:lpstr>
      <vt:lpstr>感染症の流行</vt:lpstr>
      <vt:lpstr>第7章</vt:lpstr>
      <vt:lpstr>第9章(セルオートマトン)</vt:lpstr>
      <vt:lpstr>第9章(計算用)</vt:lpstr>
      <vt:lpstr>第10章</vt:lpstr>
      <vt:lpstr>第10章（セル値の合計）</vt:lpstr>
      <vt:lpstr>第10章 (次ステップ)</vt:lpstr>
      <vt:lpstr>第10章（ルール表）</vt:lpstr>
      <vt:lpstr>第11章(森林)</vt:lpstr>
      <vt:lpstr>第11章(次ステップ)</vt:lpstr>
      <vt:lpstr>第11章(発火セル合計)</vt:lpstr>
      <vt:lpstr>第11章(ルール)</vt:lpstr>
      <vt:lpstr>第12章(媒質)</vt:lpstr>
      <vt:lpstr>第12章(クラスター)</vt:lpstr>
      <vt:lpstr>第12章(次ステップのクラスター)</vt:lpstr>
      <vt:lpstr>第12章(ルール)</vt:lpstr>
      <vt:lpstr>第12章(演習問題)</vt:lpstr>
    </vt:vector>
  </TitlesOfParts>
  <Company>関西大学文学部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ESASHIKA KENTO</dc:creator>
  <cp:lastModifiedBy>Kento_E</cp:lastModifiedBy>
  <dcterms:created xsi:type="dcterms:W3CDTF">2015-06-09T04:10:40Z</dcterms:created>
  <dcterms:modified xsi:type="dcterms:W3CDTF">2015-07-24T15:59:18Z</dcterms:modified>
</cp:coreProperties>
</file>